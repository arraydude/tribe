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COMPRAS TRIBE" sheetId="1" r:id="rId4"/>
    <sheet state="visible" name="STOCK" sheetId="2" r:id="rId5"/>
    <sheet state="visible" name="REPRO" sheetId="3" r:id="rId6"/>
    <sheet state="visible" name="PAQUETES" sheetId="4" r:id="rId7"/>
    <sheet state="visible" name="DETALLE DE PAGOS ENVIOS A APCAR" sheetId="5" r:id="rId8"/>
  </sheets>
  <definedNames>
    <definedName hidden="1" localSheetId="0" name="_xlnm._FilterDatabase">'SEGUIMIENTO COMPRAS TRIBE'!$A$1:$T$746</definedName>
    <definedName hidden="1" localSheetId="1" name="_xlnm._FilterDatabase">STOCK!$A$2:$O$33</definedName>
    <definedName hidden="1" localSheetId="2" name="_xlnm._FilterDatabase">REPRO!$A$1:$R$65</definedName>
    <definedName hidden="1" localSheetId="4" name="_xlnm._FilterDatabase">'DETALLE DE PAGOS ENVIOS A APCAR'!$F$33</definedName>
    <definedName hidden="1" localSheetId="0" name="Z_08CBD0B8_C811_4C10_9807_5A3254B7D6A6_.wvu.FilterData">'SEGUIMIENTO COMPRAS TRIBE'!$B$1:$T$897</definedName>
    <definedName hidden="1" localSheetId="0" name="Z_24E321AA_1E5F_43CA_807B_597EAF67B9C7_.wvu.FilterData">'SEGUIMIENTO COMPRAS TRIBE'!$A$1:$T$893</definedName>
    <definedName hidden="1" localSheetId="0" name="Z_8604E571_012C_4E2B_B1BB_F7499F341B37_.wvu.FilterData">'SEGUIMIENTO COMPRAS TRIBE'!$B$1:$T$893</definedName>
    <definedName hidden="1" localSheetId="0" name="Z_872FEEC4_E8BA_4992_8F98_2924DA0793B9_.wvu.FilterData">'SEGUIMIENTO COMPRAS TRIBE'!$A$1:$T$893</definedName>
    <definedName hidden="1" localSheetId="0" name="Z_DF6C0D78_0D0F_48EA_8FB4_B8D2036D662C_.wvu.FilterData">'SEGUIMIENTO COMPRAS TRIBE'!$A$1:$T$893</definedName>
    <definedName hidden="1" localSheetId="0" name="Z_C635B5A1_6948_403A_9900_EA8CA6F5A6D3_.wvu.FilterData">'SEGUIMIENTO COMPRAS TRIBE'!$A$1:$AG$893</definedName>
    <definedName hidden="1" localSheetId="0" name="Z_4EF261A7_24B1_422C_9866_DD979F56E684_.wvu.FilterData">'SEGUIMIENTO COMPRAS TRIBE'!$A$1:$T$896</definedName>
  </definedNames>
  <calcPr/>
  <customWorkbookViews>
    <customWorkbookView activeSheetId="0" maximized="1" windowHeight="0" windowWidth="0" guid="{8604E571-012C-4E2B-B1BB-F7499F341B37}" name="Sin valor debitado"/>
    <customWorkbookView activeSheetId="0" maximized="1" windowHeight="0" windowWidth="0" guid="{24E321AA-1E5F-43CA-807B-597EAF67B9C7}" name="FEDE: Sin saldar"/>
    <customWorkbookView activeSheetId="0" maximized="1" windowHeight="0" windowWidth="0" guid="{872FEEC4-E8BA-4992-8F98-2924DA0793B9}" name="En progreso"/>
    <customWorkbookView activeSheetId="0" maximized="1" windowHeight="0" windowWidth="0" guid="{08CBD0B8-C811-4C10-9807-5A3254B7D6A6}" name="NERF: Sin saldar"/>
    <customWorkbookView activeSheetId="0" maximized="1" windowHeight="0" windowWidth="0" guid="{4EF261A7-24B1-422C-9866-DD979F56E684}" name="STOCK"/>
    <customWorkbookView activeSheetId="0" maximized="1" windowHeight="0" windowWidth="0" guid="{C635B5A1-6948-403A-9900-EA8CA6F5A6D3}" name="Clientes: No saldado"/>
    <customWorkbookView activeSheetId="0" maximized="1" windowHeight="0" windowWidth="0" guid="{DF6C0D78-0D0F-48EA-8FB4-B8D2036D662C}" name="Tribe: No saldado"/>
  </customWorkbookViews>
  <extLst>
    <ext uri="GoogleSheetsCustomDataVersion2">
      <go:sheetsCustomData xmlns:go="http://customooxmlschemas.google.com/" r:id="rId9" roundtripDataChecksum="vQeBis2nE7HSTPmvT7ht2oxg/KK5MbCukZTcts2Sok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64">
      <text>
        <t xml:space="preserve">======
ID#AAAB1MKUTuo
Federico Crespo    (2026-02-27 17:37:20)
fee 54.50 pagado por fede</t>
      </text>
    </comment>
    <comment authorId="0" ref="J740">
      <text>
        <t xml:space="preserve">======
ID#AAAB1I22OPo
Nahuel Emiliano Rosso Fandiño    (2026-02-26 17:05:44)
agregado fee de retorno desde alemania @federico@tribeshipping.com</t>
      </text>
    </comment>
    <comment authorId="0" ref="H752">
      <text>
        <t xml:space="preserve">======
ID#AAAB0miCsLQ
Federico Crespo    (2026-02-20 12:38:48)
Agregado el valor del expedited pagado por Nahue el 19/02</t>
      </text>
    </comment>
    <comment authorId="0" ref="K761">
      <text>
        <t xml:space="preserve">======
ID#AAAB0hr-sBs
Federico Crespo    (2026-02-18 14:38:19)
envio DHL abonado pro fede + fee pagado por fede (cobraron el doble de fee , $37,44)</t>
      </text>
    </comment>
    <comment authorId="0" ref="K760">
      <text>
        <t xml:space="preserve">======
ID#AAAB0hr-sBo
Federico Crespo    (2026-02-18 14:38:12)
envio dhl abonado por fede + fee pagados por fede 25-02</t>
      </text>
    </comment>
    <comment authorId="0" ref="K740">
      <text>
        <t xml:space="preserve">======
ID#AAAB0fXrNTc
Federico Crespo    (2026-02-18 00:10:26)
fee dhl pagado por fede</t>
      </text>
    </comment>
    <comment authorId="0" ref="K759">
      <text>
        <t xml:space="preserve">======
ID#AAAB0Yt5wgQ
Federico Crespo    (2026-02-13 22:24:01)
Págado con tarjeta personal Fede 13/02</t>
      </text>
    </comment>
    <comment authorId="0" ref="K737">
      <text>
        <t xml:space="preserve">======
ID#AAABvJNEUkM
Federico Crespo    (2026-02-02 14:48:10)
a razon de $47,62 el kg</t>
      </text>
    </comment>
    <comment authorId="0" ref="H731">
      <text>
        <t xml:space="preserve">======
ID#AAABvFhIccY
Federico Crespo    (2026-01-28 19:00:14)
agregado envio dhl abonado por nahue</t>
      </text>
    </comment>
    <comment authorId="0" ref="K733">
      <text>
        <t xml:space="preserve">======
ID#AAABzHFDIRk
Federico Crespo    (2026-01-27 17:55:20)
1kg de portapatentes + 3 kg de caja aleron ventana + 5kg de spacers Bimecc de ventana (envio abonado por fuera de caja comun - Saldar)</t>
      </text>
    </comment>
    <comment authorId="0" ref="H729">
      <text>
        <t xml:space="preserve">======
ID#AAAByh2Ww_c
Nahuel Emiliano Rosso Fandiño    (2026-01-13 20:21:03)
Agregado tariffs / 2</t>
      </text>
    </comment>
    <comment authorId="0" ref="H728">
      <text>
        <t xml:space="preserve">======
ID#AAAByh2Ww_Y
Nahuel Emiliano Rosso Fandiño    (2026-01-13 20:20:58)
Agregado tariffs / 2</t>
      </text>
    </comment>
    <comment authorId="0" ref="E735">
      <text>
        <t xml:space="preserve">======
ID#AAAByZFTo60
Nahuel Emiliano Rosso Fandiño    (2026-01-08 14:21:36)
@federico@tribeshipping.com comprado en summit, safamos encima mas barato
_Asignada a federico@tribeshipping.com_</t>
      </text>
    </comment>
    <comment authorId="0" ref="K731">
      <text>
        <t xml:space="preserve">======
ID#AAAByQHuHF4
Federico Crespo    (2026-01-05 12:29:51)
trump fee pagado por fede 05/01</t>
      </text>
    </comment>
    <comment authorId="0" ref="K721">
      <text>
        <t xml:space="preserve">======
ID#AAAByJ26so0
Federico Crespo    (2025-12-30 20:20:33)
2kg de lentes y zapas +  2kg de todo el resto de items que faltaban de ropa</t>
      </text>
    </comment>
    <comment authorId="0" ref="J733">
      <text>
        <t xml:space="preserve">======
ID#AAAByEC5exQ
Federico Crespo    (2025-12-23 15:08:39)
abonado de fondo comun de inversion
------
ID#AAABvuccURU
Nahuel Emiliano Rosso Fandiño    (2026-01-16 16:45:51)
agregado tariffs @federico@tribeshipping.com</t>
      </text>
    </comment>
    <comment authorId="0" ref="K713">
      <text>
        <t xml:space="preserve">======
ID#AAAByEC5exM
Federico Crespo    (2025-12-23 15:07:00)
envio abonado por fuera de caja comun de inversion (SALDAR)</t>
      </text>
    </comment>
    <comment authorId="0" ref="K719">
      <text>
        <t xml:space="preserve">======
ID#AAAByEC5exI
Federico Crespo    (2025-12-23 15:06:20)
envio abonado por fuera de caja comun de inversion (SALDAR)</t>
      </text>
    </comment>
    <comment authorId="0" ref="J719">
      <text>
        <t xml:space="preserve">======
ID#AAABu0ax8hU
Federico Crespo    (2025-12-15 12:50:05)
Valor saldado con caja comun</t>
      </text>
    </comment>
    <comment authorId="0" ref="J713">
      <text>
        <t xml:space="preserve">======
ID#AAABxckSHy0
Federico Crespo    (2025-12-11 13:44:28)
Valor saldado con caja en comun
------
ID#AAABxen3_ec
Nahuel Emiliano Rosso Fandiño    (2025-12-12 13:13:47)
agregado tariffs</t>
      </text>
    </comment>
    <comment authorId="0" ref="J696">
      <text>
        <t xml:space="preserve">======
ID#AAABxckSHyw
Federico Crespo    (2025-12-11 13:44:16)
valor saldado con caja en comun</t>
      </text>
    </comment>
    <comment authorId="0" ref="K696">
      <text>
        <t xml:space="preserve">======
ID#AAABxUNCRL0
Federico Crespo    (2025-12-10 21:51:23)
saldar valor por fuera de la caja comun de stock</t>
      </text>
    </comment>
    <comment authorId="0" ref="K716">
      <text>
        <t xml:space="preserve">======
ID#AAABuxxHTeU
Federico Crespo    (2025-12-10 18:10:48)
envio y trump fee abonado por Fede</t>
      </text>
    </comment>
    <comment authorId="0" ref="K710">
      <text>
        <t xml:space="preserve">======
ID#AAABuxxHTeQ
Federico Crespo    (2025-12-10 18:08:58)
envio y fee pagado por Fede</t>
      </text>
    </comment>
    <comment authorId="0" ref="K709">
      <text>
        <t xml:space="preserve">======
ID#AAABuxxHTeM
Federico Crespo    (2025-12-10 18:06:05)
envio y fee pagado por Fede</t>
      </text>
    </comment>
    <comment authorId="0" ref="K681">
      <text>
        <t xml:space="preserve">======
ID#AAABwGDr1gM
Federico Crespo    (2025-11-13 18:56:30)
fee trump abonado por fede el 13/11</t>
      </text>
    </comment>
    <comment authorId="0" ref="J686">
      <text>
        <t xml:space="preserve">======
ID#AAABv4pfj5A
Nahuel Emiliano Rosso Fandiño    (2025-11-10 23:02:27)
costo de envio de retorno</t>
      </text>
    </comment>
    <comment authorId="0" ref="H676">
      <text>
        <t xml:space="preserve">======
ID#AAABvNzGsEg
Nahuel Emiliano Rosso Fandiño    (2025-11-04 23:36:40)
fees added</t>
      </text>
    </comment>
    <comment authorId="0" ref="K672">
      <text>
        <t xml:space="preserve">======
ID#AAABt3DvYmI
Federico Crespo    (2025-11-04 14:31:40)
fee trump $35.75 abonado por fede</t>
      </text>
    </comment>
    <comment authorId="0" ref="J651">
      <text>
        <t xml:space="preserve">======
ID#AAABtRAQWsY
Federico Crespo    (2025-10-28 20:56:16)
agregado envio abonado por Nahue</t>
      </text>
    </comment>
    <comment authorId="0" ref="J658">
      <text>
        <t xml:space="preserve">======
ID#AAABtRAQWcY
Federico Crespo    (2025-10-28 14:57:39)
Corresponde agregar $469 usd de trump Fee abonado por Nahue</t>
      </text>
    </comment>
    <comment authorId="0" ref="N627">
      <text>
        <t xml:space="preserve">======
ID#AAABtL4DpUk
Nahuel Emiliano Rosso Fandiño    (2025-10-25 23:23:41)
@federico@tribeshipping.com esto no esta saldado?</t>
      </text>
    </comment>
    <comment authorId="0" ref="F664">
      <text>
        <t xml:space="preserve">======
ID#AAABtHDa8f8
Nahuel Emiliano Rosso Fandiño    (2025-10-22 14:18:40)
a ventana le habiamos presupuestado 120 @federico@tribeshipping.com 
https://docs.google.com/spreadsheets/d/11hRGX-AOrfUWjI2od1wINZzZ7ZulM8zApLSmTJo3U6Y/edit?gid=0#gid=0</t>
      </text>
    </comment>
    <comment authorId="0" ref="K632">
      <text>
        <t xml:space="preserve">======
ID#AAABtDxx91E
Federico Crespo    (2025-10-21 18:13:07)
trump fee abonado por Fede</t>
      </text>
    </comment>
    <comment authorId="0" ref="H635">
      <text>
        <t xml:space="preserve">======
ID#AAABsi5DnaU
Nahuel Emiliano Rosso Fandiño    (2025-10-20 16:38:22)
agragado 6.30 del shipping</t>
      </text>
    </comment>
    <comment authorId="0" ref="L625">
      <text>
        <t xml:space="preserve">======
ID#AAABslRWhFk
Federico Crespo    (2025-10-17 19:44:02)
18,5 kg de B58  x 4 unidades  (4,5KG por unidad) + 10,5 kg de S58 x 2 unidades (5,250KG la unidad) valor unidad emi b58: $600 y $680 publico, valor s58 emi $1050, y publico $1350</t>
      </text>
    </comment>
    <comment authorId="0" ref="K645">
      <text>
        <t xml:space="preserve">======
ID#AAABsg7_Qe8
Federico Crespo    (2025-10-16 12:38:28)
Envio abonado en DHL por Fede + fees trump abonado por fede</t>
      </text>
    </comment>
    <comment authorId="0" ref="J635">
      <text>
        <t xml:space="preserve">======
ID#AAABseuH2Yw
Nahuel Emiliano Rosso Fandiño    (2025-10-15 13:05:02)
agregado trump's tariffs</t>
      </text>
    </comment>
    <comment authorId="0" ref="K650">
      <text>
        <t xml:space="preserve">======
ID#AAABscmMZAw
Federico Crespo    (2025-10-14 15:17:00)
DHL pagado por FEDE + fees trumop abonado por fede</t>
      </text>
    </comment>
    <comment authorId="0" ref="J622">
      <text>
        <t xml:space="preserve">======
ID#AAABr6a_MV8
Nahuel Emiliano Rosso Fandiño    (2025-10-06 14:02:27)
trump's tariffs added @federico@tribeshipping.com
------
ID#AAABtObkDcQ
Federico Crespo    (2025-10-27 15:08:24)
dichos fees tambien corresponden a order de Martin de kit r44  + spacers (fue enviado all togheter)</t>
      </text>
    </comment>
    <comment authorId="0" ref="J623">
      <text>
        <t xml:space="preserve">======
ID#AAABsSkkRes
Nahuel Emiliano Rosso Fandiño    (2025-10-01 21:06:21)
fees added @federico@tribeshipping.com</t>
      </text>
    </comment>
    <comment authorId="0" ref="J624">
      <text>
        <t xml:space="preserve">======
ID#AAABsSkkReg
Nahuel Emiliano Rosso Fandiño    (2025-10-01 21:05:13)
agregado fees de importacion
------
ID#AAABsSkkRek
Nahuel Emiliano Rosso Fandiño    (2025-10-01 21:05:18)
@federico@tribeshipping.com</t>
      </text>
    </comment>
    <comment authorId="0" ref="J629">
      <text>
        <t xml:space="preserve">======
ID#AAABrqSh5Pw
Nahuel Emiliano Rosso Fandiño    (2025-09-29 20:56:35)
$21.98
de tariffs agregados aca @federico@tribeshipping.com</t>
      </text>
    </comment>
    <comment authorId="0" ref="K627">
      <text>
        <t xml:space="preserve">======
ID#AAABrj-_iEY
Federico Crespo    (2025-09-26 14:26:35)
Envio Dhl abonado por Fede</t>
      </text>
    </comment>
    <comment authorId="0" ref="K626">
      <text>
        <t xml:space="preserve">======
ID#AAABspHWrSI
Federico Crespo    (2025-09-24 13:40:57)
valor DHL abonado por Fede, falta AP CARGO</t>
      </text>
    </comment>
    <comment authorId="0" ref="H616">
      <text>
        <t xml:space="preserve">======
ID#AAABrYX4Uwc
Federico Crespo    (2025-09-21 22:26:38)
incluye envio por DHL enviado por Nahue</t>
      </text>
    </comment>
    <comment authorId="0" ref="K615">
      <text>
        <t xml:space="preserve">======
ID#AAABrYX4UwY
Federico Crespo    (2025-09-21 22:24:03)
incluye valor envio DHL abonado por Fede</t>
      </text>
    </comment>
    <comment authorId="0" ref="K526">
      <text>
        <t xml:space="preserve">======
ID#AAABhXdE784
Nahuel Emiliano Rosso Fandiño    (2025-03-31 22:08:32)
FALTA COSTO UNLOCK</t>
      </text>
    </comment>
    <comment authorId="0" ref="F526">
      <text>
        <t xml:space="preserve">======
ID#AAABfhIort0
Nahuel Emiliano Rosso Fandiño    (2025-03-10 15:56:11)
TBD todo esto, los calculos provistos fueron:
https://docs.google.com/spreadsheets/d/1KC8qNeTWAEj3DFA4iQLHT6CJ2t8BsbbzOrzPSoNRJyw/edit?gid=0#gid=0</t>
      </text>
    </comment>
    <comment authorId="0" ref="F450">
      <text>
        <t xml:space="preserve">======
ID#AAABToM-1ao
Nahuel Emiliano Rosso Fandiño    (2024-09-24 18:25:36)
le hice precio en este filtro ya que estuvo gastando fuerte con las otras cosas Y a demas lo estoy cebando para ponerle hondata+alcohol+levas, ahi va a gastar</t>
      </text>
    </comment>
    <comment authorId="0" ref="N379">
      <text>
        <t xml:space="preserve">======
ID#AAABWJHDTaU
Nahuel Emiliano Rosso Fandiño    (2024-09-23 18:35:00)
lo marco como saldado y con valor presupuestado 0 porque se perdieron</t>
      </text>
    </comment>
    <comment authorId="0" ref="H379">
      <text>
        <t xml:space="preserve">======
ID#AAABWJHDTaQ
Nahuel Emiliano Rosso Fandiño    (2024-09-23 18:34:18)
inyectores perdidos, paypal no me acepto el caso</t>
      </text>
    </comment>
    <comment authorId="0" ref="E420">
      <text>
        <t xml:space="preserve">======
ID#AAABT9t4nfU
Nahuel Emiliano Rosso Fandiño    (2024-08-15 19:50:25)
@federico@tribeshipping.com linkee aca este documento para hacer todo el detalle, aca deberiamos tener una linea por el proyecto completo</t>
      </text>
    </comment>
    <comment authorId="0" ref="K386">
      <text>
        <t xml:space="preserve">======
ID#AAABQ5xO_2U
Nahuel Emiliano Rosso Fandiño    (2024-07-05 23:57:30)
@federico@tribeshipping.com 
Le habiamos descontado 180 a Papa, termine descontandole 135 a papa y 45 a este</t>
      </text>
    </comment>
    <comment authorId="0" ref="K380">
      <text>
        <t xml:space="preserve">======
ID#AAABQnsJjGI
Nahuel Emiliano Rosso Fandiño    (2024-07-03 22:32:20)
500 real
180 descontados</t>
      </text>
    </comment>
    <comment authorId="0" ref="H384">
      <text>
        <t xml:space="preserve">======
ID#AAABOQaAVKc
Nahuel Emiliano Rosso Fandiño    (2024-06-28 21:02:01)
chequear formula.
Los 18 usd adicionales son debido al expedited</t>
      </text>
    </comment>
    <comment authorId="0" ref="F283">
      <text>
        <t xml:space="preserve">======
ID#AAABO5ZtEik
Nahuel Emiliano Rosso Fandiño    (2024-05-29 18:15:37)
Le hicimos descuento de 10% por paquete completo
8580 - 10% = 7,722
------
ID#AAABO5ZtEio
Nahuel Emiliano Rosso Fandiño    (2024-05-29 18:15:47)
https://docs.google.com/spreadsheets/d/1LClBLsuBiFGFREWtmvi4Xhq9RuBZLSD-qbb8C0VAWso/edit#gid=1423595884</t>
      </text>
    </comment>
    <comment authorId="0" ref="F224">
      <text>
        <t xml:space="preserve">======
ID#AAABMNYJkqw
Nahuel Emiliano Rosso Fandiño    (2024-05-01 21:16:18)
cargar valor presupuestado @federico@tribeshipping.com
_Asignada a federico@tribeshipping.com_</t>
      </text>
    </comment>
    <comment authorId="0" ref="F268">
      <text>
        <t xml:space="preserve">======
ID#AAABMNYJkqs
Nahuel Emiliano Rosso Fandiño    (2024-05-01 21:16:05)
@federico@tribeshipping.com cargar valor presupuestado
_Asignada a federico@tribeshipping.com_</t>
      </text>
    </comment>
    <comment authorId="0" ref="B310">
      <text>
        <t xml:space="preserve">======
ID#AAABMGjtY8E
Nahuel Emiliano Rosso Fandiño    (2024-04-17 20:30:01)
https://docs.google.com/spreadsheets/d/1v6XMVeElgJmo-cWx6adOPyb0e0d0QWD4APAI_YrpsPE/edit#gid=0</t>
      </text>
    </comment>
    <comment authorId="0" ref="F146">
      <text>
        <t xml:space="preserve">======
ID#AAAA8uDrIrM
Nahuel Emiliano Rosso Fandiño    (2023-11-24 20:40:43)
https://docs.google.com/spreadsheets/d/1rY_9gIibGtP0kCqraWRojaUIaw7ob369FIt9zb33b1M/edit#gid=1809549108
------
ID#AAAA8uDrIrQ
Nahuel Emiliano Rosso Fandiño    (2023-11-24 20:41:21)
19500 total - 2500 unlock</t>
      </text>
    </comment>
    <comment authorId="0" ref="F87">
      <text>
        <t xml:space="preserve">======
ID#AAAA4gPu4pA
Nahuel Emiliano Rosso Fandiño    (2023-08-31 15:53:56)
Precios en orden: 
1250+200+180</t>
      </text>
    </comment>
  </commentList>
  <extLst>
    <ext uri="GoogleSheetsCustomDataVersion2">
      <go:sheetsCustomData xmlns:go="http://customooxmlschemas.google.com/" r:id="rId1" roundtripDataSignature="AMtx7mjS7LU3zo0YAaE1b7K1L5G6l90D3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1">
      <text>
        <t xml:space="preserve">======
ID#AAABsi-zm-8
Nahuel Emiliano Rosso Fandiño    (2025-10-19 21:19:32)
Please let me know if this sounds right for you my nigga @federico@tribeshipping.com</t>
      </text>
    </comment>
    <comment authorId="0" ref="B11">
      <text>
        <t xml:space="preserve">======
ID#AAABUVy_Msw
Nahuel Emiliano Rosso Fandiño    (2024-08-21 17:54:49)
Licencia para OTS BUNDLE</t>
      </text>
    </comment>
  </commentList>
  <extLst>
    <ext uri="GoogleSheetsCustomDataVersion2">
      <go:sheetsCustomData xmlns:go="http://customooxmlschemas.google.com/" r:id="rId1" roundtripDataSignature="AMtx7mgk2lkfM8bQfis9eTyyxehLgVYQ5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ID#AAABzHF7PTY
Nahuel Emiliano Rosso Fandiño    (2026-01-27 20:53:18)
Incluye costo licencia
Chequear formula</t>
      </text>
    </comment>
  </commentList>
  <extLst>
    <ext uri="GoogleSheetsCustomDataVersion2">
      <go:sheetsCustomData xmlns:go="http://customooxmlschemas.google.com/" r:id="rId1" roundtripDataSignature="AMtx7mhwv3ri86Dd0FMyFY0wIVgznQ5U+A=="/>
    </ext>
  </extLst>
</comments>
</file>

<file path=xl/sharedStrings.xml><?xml version="1.0" encoding="utf-8"?>
<sst xmlns="http://schemas.openxmlformats.org/spreadsheetml/2006/main" count="9764" uniqueCount="3081">
  <si>
    <t>STOCK</t>
  </si>
  <si>
    <t>CLIENTE</t>
  </si>
  <si>
    <t>ITEM</t>
  </si>
  <si>
    <t>CANTIDAD</t>
  </si>
  <si>
    <t>LINK DE COMPRA</t>
  </si>
  <si>
    <t>VALOR PRESUPUESTADO</t>
  </si>
  <si>
    <t>FECHA DE COMPRA</t>
  </si>
  <si>
    <t>VALOR DE COMPRA</t>
  </si>
  <si>
    <t>VALOR DEBITADO</t>
  </si>
  <si>
    <t>TAX 4%</t>
  </si>
  <si>
    <t>COSTO ENVIO</t>
  </si>
  <si>
    <t>PESO</t>
  </si>
  <si>
    <t>ITEM STATUS</t>
  </si>
  <si>
    <t>SALDADO</t>
  </si>
  <si>
    <t>ASIGNADO</t>
  </si>
  <si>
    <t>GANANCIA</t>
  </si>
  <si>
    <t>SALDADO A ?</t>
  </si>
  <si>
    <t>✅ 🇺🇸 💵</t>
  </si>
  <si>
    <t>TRACKING</t>
  </si>
  <si>
    <t>OBSERVACIONES</t>
  </si>
  <si>
    <t>NO</t>
  </si>
  <si>
    <t>abel</t>
  </si>
  <si>
    <t>CHAPON WRX</t>
  </si>
  <si>
    <t>https://www.amazon.com/gp/product/B00PV6T5U4/ref=ppx_yo_dt_b_asin_title_o03_s00?ie=UTF8&amp;psc=1</t>
  </si>
  <si>
    <t>DONE</t>
  </si>
  <si>
    <t>SI</t>
  </si>
  <si>
    <t>UPS: 1ZVE87110302402577</t>
  </si>
  <si>
    <t>ENTREGADO A CLIENTE</t>
  </si>
  <si>
    <t>GUARDAPLAST WRX</t>
  </si>
  <si>
    <t>https://www.ebay.com/itm/371496693838</t>
  </si>
  <si>
    <t>FedEx: 396389639118</t>
  </si>
  <si>
    <t>yani</t>
  </si>
  <si>
    <t>BOMBA WALBRO</t>
  </si>
  <si>
    <t>TBA305962486126</t>
  </si>
  <si>
    <t>alfredo si</t>
  </si>
  <si>
    <t>PASTILLAS HAWK</t>
  </si>
  <si>
    <t>FedEx: 396305659584</t>
  </si>
  <si>
    <t>NERF</t>
  </si>
  <si>
    <t>TECLADO</t>
  </si>
  <si>
    <t>UPS: 1ZA533G60318105439</t>
  </si>
  <si>
    <t>PASARUEDAS WRX</t>
  </si>
  <si>
    <t>https://www.amazon.com/gp/product/B07F1C9MFJ/ref=ppx_yo_dt_b_asin_title_o04_s00?ie=UTF8&amp;psc=1</t>
  </si>
  <si>
    <t>FEDEX: 396202387161</t>
  </si>
  <si>
    <t>Migale</t>
  </si>
  <si>
    <t>OPTICA VOLVO DER</t>
  </si>
  <si>
    <t>https://www.ebay.com/itm/175564026454?hash=item28e06e7256:g:JvoAAOSw-7Zj5CHH&amp;amdata=enc%3AAQAHAAAAoIXUlg1UNk7TbYe3FabkWPJcOXfJjxUdU08uXWu1bYnwPC%2F23lQcUalfPDXA%2F0bT7Dz8P784RjZYuWHUWf3%2FRm9HK5lbZH%2Bpvp4UpWfQ6acBIQlrqP6gYfBB82zF0Jk0tSlwsMADKQudHIX1zkphqSG%2Fu1alGJE6zwIH1wHmaGDwTtkRuLmMbjumRFo4AXXWtp2rXLDnyNCurdnkhCTrurY%3D%7Ctkp%3ABk9SR_zgqLTJYQ</t>
  </si>
  <si>
    <t>FedEx: 396575849146</t>
  </si>
  <si>
    <t>OPTICA VOLVO IZQ</t>
  </si>
  <si>
    <t>https://www.ebay.com/itm/404223900795?hash=item5e1d9f3c7b:g:5YgAAOSwMyhkJdSM&amp;amdata=enc%3AAQAHAAAA8FSz39KtRB%2BPktdf2yt1G8hS8rRdtTIp4RLsIvLQuULpWtmk1v90Xi%2FEB4ii2lYGvs4cGUkO0HRK1lPAO34hmV5OUoiPnYQLJaqewa5lB3ZXz%2BhmsKNyhZof4IQJ%2FWv2xlZ9%2FWl5gnqKO0b4IM33c0zK7dT9oujExAc9Tv1tzcbmEXvX9Xrs%2Fenczwd4vz7Hi2yd7LarkyqKUoxuYSG8zCrePPHOhp7eqdQHkdlHV5%2Fn6p%2Bl2ARvfPH%2Bg8iwAahZZHXBXDJeBp7JoQdLCTWllwssyhqo%2BTb3OSANMyao9ed%2FYIVMVquVrL3lfOb0UeEmmQ%3D%3D%7Ctkp%3ABk9SR47u8L3mYQ</t>
  </si>
  <si>
    <t>FedEx: 396465905948</t>
  </si>
  <si>
    <t>COVER VOLVO</t>
  </si>
  <si>
    <t>https://www.ebay.com/itm/114182300635?epid=1825189926&amp;hash=item1a95cba3db:g:dFoAAOSwWPtekcc9&amp;amdata=enc%3AAQAHAAAA4JrdX9uEUhHyuVzc44752o8kG3lPhqEEx2lIvydvC4uYRyeK6WB8RMwkC%2Fx9qt50tLZSrVnQuH7AAsw%2BLfIJLxIPI9wDizaFB4OCCy8O46qP55QL9PHz6ikjO3v7lzenqPwNffIxxPZ98wa8KZok%2FfsR%2FTUlGu4CcWlA8YqX4ppIAhBxdqHDcHCLTRidFUObqkATtLCoek1IU6%2Bx8%2FlDry82UYsjVdxHcrTRBsNuibxu8W602dHpFgjPVHIiBDyXjBY1XvmfgXdDk5KH0U8hIobC3Ak2XpBA3NhYekhhHvPg%7Ctkp%3ABk9SR_L4zLzmYQ</t>
  </si>
  <si>
    <t>FedEx:642099607710</t>
  </si>
  <si>
    <t>PARTS VOLVO</t>
  </si>
  <si>
    <t>https://www.volvocarsoempartsdirect.com/checkout/aaa827035d449822ff600c6a73a71e65/shipping</t>
  </si>
  <si>
    <t>oldominion: 07114388254</t>
  </si>
  <si>
    <t>INTERFAZ VOLVO</t>
  </si>
  <si>
    <t>https://www.amazon.com/-/es/Davitu-CarPlay-corriente-cable-5G0035222E/dp/B07M9RL1GD</t>
  </si>
  <si>
    <t>I sent you something from Amazon. You can track the delivery with this link. https://a.co/d/0h0HmIc</t>
  </si>
  <si>
    <t>Juan Rosso</t>
  </si>
  <si>
    <t>AKRAPOVIC</t>
  </si>
  <si>
    <t>https://www.ebay.com/itm/115099474123</t>
  </si>
  <si>
    <t>DHL:5951504053</t>
  </si>
  <si>
    <t>Axel Margossian</t>
  </si>
  <si>
    <t>Repuestos monopatin</t>
  </si>
  <si>
    <t>n/a</t>
  </si>
  <si>
    <t>Fedex: 396683414634</t>
  </si>
  <si>
    <t>Alan Olmedo</t>
  </si>
  <si>
    <t>Paragolpe M3</t>
  </si>
  <si>
    <t>https://www.ecstuning.com/b-ecs-parts/m3-replica-bumper-kit-non-integrated-lip/bm51009akt/</t>
  </si>
  <si>
    <t>Fedex: 466153718655061</t>
  </si>
  <si>
    <t>Abel</t>
  </si>
  <si>
    <t>GFB Diverter T9356</t>
  </si>
  <si>
    <t>ebay</t>
  </si>
  <si>
    <t>USPS: 9400136106089681321152</t>
  </si>
  <si>
    <t>Filtro</t>
  </si>
  <si>
    <t>https://www.ecstuning.com/b-afe-parts/pro-dry-s-air-filter/31-10226~afe/</t>
  </si>
  <si>
    <t>Ups: 1Z404524YW90966922</t>
  </si>
  <si>
    <t>Pure turbo</t>
  </si>
  <si>
    <t>https://www.pureturbos.com/product/bmw-n55-pure-stage-2/?attribute_pa_wastegateactuatortype=8a-electronicewg&amp;attribute_pa_coredeposit-mustmatchturboyou=7b-ewgcore&amp;attribute_pa_divertervalveupgrade=f2-no&amp;attribute_pa_installationkit=f2-no&amp;attribute_pa_highflowinlet=0f-f-seriesoption2</t>
  </si>
  <si>
    <t>UPS: 1ZWA81613597112914</t>
  </si>
  <si>
    <t>VRSF INTERCOOLER &amp; CHARGE &amp; OUTLET</t>
  </si>
  <si>
    <t>https://www.vr-speed.com/checkout/order-received/100314774/?key=wc_order_7mfTX1ByiMW65&amp;utm_nooverride=1</t>
  </si>
  <si>
    <t>fedex: 396974811467</t>
  </si>
  <si>
    <t>Yani</t>
  </si>
  <si>
    <t>sensor Burger</t>
  </si>
  <si>
    <t>https://burgertuning.com/products/jb4-3-5-bar-tmap-adapter?variant=2104148885528</t>
  </si>
  <si>
    <t>usps: 9400111206214130779369</t>
  </si>
  <si>
    <t>Llantas M2</t>
  </si>
  <si>
    <t>T</t>
  </si>
  <si>
    <t>https://www.getbmwparts.com/oem-parts/bmw-m-performance-frozen-gold-19-quot-style-763m-rim-9jx19-et-29-36118097287</t>
  </si>
  <si>
    <t xml:space="preserve">UPS: 1Z283637A895717838 UPS: 1Z283637A898707647 / UPS: 1Z283637A895717838 UPS: 1Z283637A898707647        </t>
  </si>
  <si>
    <t>Dorch Stage 2</t>
  </si>
  <si>
    <t>https://dorchengineering.com/checkout/order-received/3789?key=wc_order_sjD8AdGJvJLAb</t>
  </si>
  <si>
    <t>https://www.trackmyshipment.co/shipment-tracking/ESUS140777492</t>
  </si>
  <si>
    <t>Mili mouso</t>
  </si>
  <si>
    <t>Bad bunny 7.5 us</t>
  </si>
  <si>
    <t>https://www.goat.com/</t>
  </si>
  <si>
    <t>https://track.parxl.com/PXLMY00323D02PU1</t>
  </si>
  <si>
    <t>Side Grill Trims</t>
  </si>
  <si>
    <t>https://order.ebay.com/ord/show?/ViewPaymentStatus&amp;purchaseOrderId=13-0996-606294#/</t>
  </si>
  <si>
    <t>Latvia Post: RR917399666LV</t>
  </si>
  <si>
    <t>sergio</t>
  </si>
  <si>
    <t>Downpipe 240 g42</t>
  </si>
  <si>
    <t>https://trackshipment.shipstation.com/?branding_id=001d6731-0000-0000-1ebf-030000000000&amp;carrier_code=ups&amp;tracking_number=1ZA83W70DG25025584&amp;order_number=MjI4Mzk4&amp;postal_code=33166-2783&amp;locale=en</t>
  </si>
  <si>
    <t>Rodri Freijedo</t>
  </si>
  <si>
    <t>Modulo encendido Honda</t>
  </si>
  <si>
    <t>https://www.ebay.com/itm/134478644829</t>
  </si>
  <si>
    <t>SpeedPAK: ES10023171321710001010001C0N</t>
  </si>
  <si>
    <t>IACV Honda</t>
  </si>
  <si>
    <t>https://www.ebay.com/itm/394507131153</t>
  </si>
  <si>
    <t>USPS: 9205590338269300665575</t>
  </si>
  <si>
    <t>CPK Sensor Honda</t>
  </si>
  <si>
    <t>https://www.ebay.com/itm/191369133571</t>
  </si>
  <si>
    <t>FedEx: 397477801104</t>
  </si>
  <si>
    <t>BMW M2 1:18</t>
  </si>
  <si>
    <t>https://order.ebay.com/ord/show?orderId=10-09967-16454#/</t>
  </si>
  <si>
    <t>Poste Italiane: RC179421742IT</t>
  </si>
  <si>
    <t>Carbon fiber Mirrors &amp; Exhaust tips</t>
  </si>
  <si>
    <t>https://ind-distribution.com/6762364997/orders/8f77180929762682c4a74bab5cbbd6a8</t>
  </si>
  <si>
    <t>UPS: 1Z57Y1080371048015 -  UPS: 1Z57Y1084270735380 (MIRRORS)</t>
  </si>
  <si>
    <t>Riñones</t>
  </si>
  <si>
    <t>https://autotecknic.com/26746278/orders/37b1e11fb56e0775086af1f0a7c31b51</t>
  </si>
  <si>
    <t>UPS: 1Z8A34840317299430</t>
  </si>
  <si>
    <t>Capot CS</t>
  </si>
  <si>
    <t>https://www.paypal.com/invoice/s/pay/INV2-ZPJ3-UVUH-2EG6-UPVY?v=1&amp;utm_source=unp&amp;utm_medium=email&amp;utm_campaign=RT000426&amp;utm_unptid=c884f738-df95-11ed-b2f8-3cecef47c1cd&amp;ppid=RT000426&amp;cnac=AR&amp;rsta=en_US%28en-AR%29&amp;cust=4JFB9WGZWMDB4&amp;unptid=c884f738-df95-11ed-b2f8-3cecef47c1cd&amp;calc=f392033bca259&amp;unp_tpcid=invoice-buyer-payment-notification&amp;page=main%3Aemail%3ART000426&amp;pgrp=main%3Aemail&amp;e=cl&amp;mchn=em&amp;s=ci&amp;mail=sys&amp;appVersion=1.161.0&amp;xt=104038</t>
  </si>
  <si>
    <t>road runner: 611707217</t>
  </si>
  <si>
    <t>Aleron</t>
  </si>
  <si>
    <t>https://www.aeroluxeautoboutique.com/commerce/orders/578a2dfb-2904-4c28-b500-4e3383b05d26</t>
  </si>
  <si>
    <t>Fedex: 772013125060</t>
  </si>
  <si>
    <t>Juan Papa</t>
  </si>
  <si>
    <t>ORDEN 1 Grande Repuestos M4</t>
  </si>
  <si>
    <t>https://www.getbmwparts.com/account/order?token=eyJ0eXAiOiJKV1QiLCJhbGciOiJIUzUxMiJ9.eyJvcmRlcl9udW1iZXIiOiI0NDEyMjcxOCIsInVzZXJfZW1haWwiOiJlbWlsaWFub0B0cmliZXNoaXBwaW5nLmNvbSJ9.csmHHYhXDjb5MDbQsrU24X0QXKD8eydtcXhM_Eh8qgvH0KQ7MChNrWSndrBee9w_UdEEiPd3K0-xjb3CgtDerA</t>
  </si>
  <si>
    <t>https://docs.google.com/spreadsheets/d/1krhqWKlIKFe6dnrTzcq6TyNLydmBDFXhPjvPEzYNR8M/edit#gid=0</t>
  </si>
  <si>
    <t>UPS: 089957302</t>
  </si>
  <si>
    <t>ORDEN 2 Grande Repuestos M4</t>
  </si>
  <si>
    <t>https://www.getbmwparts.com/account/order?token=eyJ0eXAiOiJKV1QiLCJhbGciOiJIUzUxMiJ9.eyJvcmRlcl9udW1iZXIiOiI0NDEyMjcyMCIsInVzZXJfZW1haWwiOiJlbWlsaWFub0B0cmliZXNoaXBwaW5nLmNvbSJ9.4LQ2CZE8zPJLyim14VsFbs0Sv7FZRFfeKc6_tn86JplyrWAWbfMJXpThiPKXEUq7MnArZlptOShvECs24MQVbw</t>
  </si>
  <si>
    <t>UPS: 1ZCF3305A818812337</t>
  </si>
  <si>
    <t>Cepillos detail</t>
  </si>
  <si>
    <t>amazon</t>
  </si>
  <si>
    <t>https://www.amazon.com/progress-tracker/package/ref=ppx_yo_dt_b_track_package?_encoding=UTF8&amp;itemId=pnnirskokptoqn&amp;orderId=111-5981075-1761066&amp;packageIndex=0&amp;shipmentId=MhhrVvplf&amp;vt=YOUR_ORDERS</t>
  </si>
  <si>
    <t>Tano</t>
  </si>
  <si>
    <t>Switch Mazda</t>
  </si>
  <si>
    <t>https://www.amazon.com/gp/product/B09FSSTD34/ref=ppx_yo_dt_b_asin_title_o01_s00?ie=UTF8&amp;psc=1</t>
  </si>
  <si>
    <t>https://www.amazon.com/progress-tracker/package/ref=ppx_yo_dt_b_track_package?_encoding=UTF8&amp;itemId=pmslpqhlrrkwqn&amp;orderId=111-7212672-1937055&amp;packageIndex=0&amp;shipmentId=Dv3mBRNG7&amp;vt=YOUR_ORDERS</t>
  </si>
  <si>
    <t>Intercooler VRSF</t>
  </si>
  <si>
    <t>https://www.vr-speed.com/vrsf-intercooler-fmic-upgrade-kit-12-16-f20-f30-228i-m235i-328i-335i-428i-435i-n20-n55.html</t>
  </si>
  <si>
    <t>Fedex: 398020036489</t>
  </si>
  <si>
    <t>Filtro ECS</t>
  </si>
  <si>
    <t>https://www.ecstuning.com/Cart/Receipt-652996050/?customerID=2679329</t>
  </si>
  <si>
    <t>Ups: 1Z404524YW99159663</t>
  </si>
  <si>
    <t>Anibal Bento</t>
  </si>
  <si>
    <t>Sensor de fase land rover</t>
  </si>
  <si>
    <t>https://www.roverparts.com/cart/receipt.cfm?id=5187696&amp;uuid=BF3D1404-4416-49AF-892352589BCF5921</t>
  </si>
  <si>
    <t>Usps: 9400116902200601765773</t>
  </si>
  <si>
    <t>Ropa</t>
  </si>
  <si>
    <t>DHL: X2</t>
  </si>
  <si>
    <t>Repuestos camaro</t>
  </si>
  <si>
    <t>UPS</t>
  </si>
  <si>
    <t>Discos traseros M3 E36</t>
  </si>
  <si>
    <t>https://www.ecstuning.com/MyAccount/Orders/Order-843805450/</t>
  </si>
  <si>
    <t>Fedex: 602607717461</t>
  </si>
  <si>
    <t>Pastillas traseras &amp; sensor</t>
  </si>
  <si>
    <t>https://www.ecstuning.com/MyAccount/Orders/Order-195283626/</t>
  </si>
  <si>
    <t>Ups: 1Z404524YW96708511</t>
  </si>
  <si>
    <t>Flange agua M3</t>
  </si>
  <si>
    <t>https://www.bmwpartsdeal.com/online/order/status?orderNumber=CB17237487&amp;email=arraydude%40gmail.com</t>
  </si>
  <si>
    <t>USPS: 9405511206364860656751</t>
  </si>
  <si>
    <t>Hector Mercedes</t>
  </si>
  <si>
    <t>Techo mercedes</t>
  </si>
  <si>
    <t>https://order.ebay.com/ord/show?itemId=354072826792&amp;transactionId=1430849518022&amp;mkevt=1&amp;mkpid=0&amp;emsid=e11401.m1842.l5919&amp;mkcid=7&amp;ch=osgood&amp;euid=615f5ab7ca6845a98239bdea3121b3c4&amp;bu=43795160990&amp;exe=0&amp;ext=0&amp;osub=-1%7E1&amp;crd=20230522034054&amp;segname=11401#/</t>
  </si>
  <si>
    <t>FedEx: 772208858778</t>
  </si>
  <si>
    <t xml:space="preserve">Riñones 335 </t>
  </si>
  <si>
    <t>https://www.ebay.com/itm/185726941194?fits=Make%3ABMW&amp;hash=item2b3e30380a:g:Ek4AAOSwpstjt754&amp;amdata=enc%3AAQAIAAAA0MVXu0UK3E%2FCTXKAHSy8VL8TueYAbyDu%2FV1k2QkTlwP767elk2MBw8PvY3v%2B2MKozJmO150FWRqKGADsUtrokiSMyTy0iVpaibEPP64NucxoqnLXw992CmTw9ow%2FnGDpCrf2nOpxRv5tKpfKzQJNoy2D3VrRfNDF42S2SK67rZjwT4LBSQbYWsXmlOAhwLGgKPPvWOFTixTY26D8%2BcmcGgpuPrIxxYBEyJ14UspDddefqa2Awdn8Y2OB2cB%2B0okEOBh7tMvX8u3%2BDC9tCYbYIPo%3D%7Ctkp%3ABk9SR4KS6sOIYg</t>
  </si>
  <si>
    <t>China Post: LR050011125CN</t>
  </si>
  <si>
    <t>Demian</t>
  </si>
  <si>
    <t>Ducha</t>
  </si>
  <si>
    <t>https://www.boelon.com/checkouts/c/8048b1285556474d9b0d6b1872375a4e/thank_you</t>
  </si>
  <si>
    <t>DHL: 4601426406</t>
  </si>
  <si>
    <t>Emiliano Righetti</t>
  </si>
  <si>
    <t>Radiador bmw</t>
  </si>
  <si>
    <t>https://www.ebay.com/itm/153972028238?_ul=AR</t>
  </si>
  <si>
    <t>UPS: 1Z7A377E0393770627</t>
  </si>
  <si>
    <t>Guardaplast</t>
  </si>
  <si>
    <t>https://www.bmwpartsdeal.com/online/order/summary?orderId=232250&amp;orderGuid=1bf5b7d7-2099-4762-be14-536dc495e96c</t>
  </si>
  <si>
    <t>Fedex: 399069149250</t>
  </si>
  <si>
    <t>Amortiguador capot</t>
  </si>
  <si>
    <t>UPS: 1Z256R4F0316055815</t>
  </si>
  <si>
    <t>plastico sapito</t>
  </si>
  <si>
    <t>USPS: 9405511206214676814565</t>
  </si>
  <si>
    <t>Front bumper convertion</t>
  </si>
  <si>
    <t>https://ind-distribution.com/products/ind-f87-m2-competition-bumper-retrofit-kit</t>
  </si>
  <si>
    <t>59576508-2</t>
  </si>
  <si>
    <t>Guardaplast honda</t>
  </si>
  <si>
    <t>https://order.ebay.com/ord/show?/ViewPaymentStatus&amp;purchaseOrderId=22-1012-367705#/</t>
  </si>
  <si>
    <t>UPS: 1Z1Y11Y70320609609</t>
  </si>
  <si>
    <t>Gonza Castellvi</t>
  </si>
  <si>
    <t>Chargepipe N55 X3</t>
  </si>
  <si>
    <t>vrsf</t>
  </si>
  <si>
    <t>Fedex: 399074428580</t>
  </si>
  <si>
    <t>Zapas Airmax</t>
  </si>
  <si>
    <t>https://stockx.com/buying/14135239533479773733</t>
  </si>
  <si>
    <t>Ups: 1Z45085V0300389210</t>
  </si>
  <si>
    <t>Danno</t>
  </si>
  <si>
    <t>Bujes RS4</t>
  </si>
  <si>
    <t>kuhl rennsport</t>
  </si>
  <si>
    <t>USPS: 9405511206214630044137</t>
  </si>
  <si>
    <t>Maximiliano</t>
  </si>
  <si>
    <t>Radiador bmw 135i n55</t>
  </si>
  <si>
    <t>https://www.ecstuning.com/b-csf-parts/radiator-bmw-x1-2-l-2015-2012bmw-135i-3-l-2012-2008bmw-335i-3-l-2012-2007bmw-335i-xdrive-3-l-2012-2009bmw-335is-3-l-2012-2011bmw-335xi-3-l-2008-2007bmw-x1-3-l-2015-2013bmw-z4-3-l-2016-2009/3717~csf/</t>
  </si>
  <si>
    <t>fedex: 466153718915363</t>
  </si>
  <si>
    <t xml:space="preserve">amortiguadorcitos </t>
  </si>
  <si>
    <t>https://www.ebay.com/itm/123556988063?epid=1630537340&amp;hash=item1cc492049f:g:ITcAAOSw8U9cHT-y&amp;amdata=enc%3AAQAIAAAA4Km64DIS%2F2X2Kk0xgw39bqvzBc692dtaG2YNjFhS%2BsoPHktif%2FypYjbmHuhnH9pSA7v1L6aBzHQYb3SgErSr4Ee0LBsspaDahKqnj7XGip17mXMMWuNuaCtAamJmXDwGH8lC3GlLFR5Bru14M38aBLNz9IvlDBqnKAcifP3EDn01hShyCi26oij8l0UdTBFsQVrAz0deSe8qvhtL1l%2B%2FgClfAm7XigfuaMKkDHIoX8%2FMmMyJzjfNCX%2BK4XQoYOqL4kuj%2F%2FnTeBft4Wd1IWTn9K892yIyZtIks0O5L4eMHEk%2B%7Ctkp%3ABk9SR-Su8aOXYg</t>
  </si>
  <si>
    <t>USPS: 9400111206215870921223</t>
  </si>
  <si>
    <t>Buje restante RS4</t>
  </si>
  <si>
    <t>USPS 9405511206215429326960</t>
  </si>
  <si>
    <t>Raz</t>
  </si>
  <si>
    <t>Reflector delete M2 competition</t>
  </si>
  <si>
    <t>https://www.ebay.com/itm/155227424268?hash=item242446860c:g:gCsAAOSwZQ1fC~nf&amp;amdata=enc%3AAQAIAAAA0NWpGp3xr%2FNGf0m65rMmKlwO71qL6meGHYe5jbKinT6PfPSCFBJXGRmR47kdPWoXPpoYxP7L%2FiznQJ94q%2BvAeZ%2BFTBhhQcwqPruRclT%2BjC5Cw19w%2FOnl6eOMlzs2stmhyt%2B3OnGfzD6g89dx69tGsLJEiOKlhreUZWPqSASU%2B0iSj%2FXEprM0LDe4o%2FvPI%2B6oJL1nG3JqcdnMeSa4JFCUxE9dwjF%2FgyMUhrJEKjAIFYTOJ%2Bi%2BAPvO25MEo8LWG3ny8Z86a5vYA%2F0f75rcrd7LSUk%3D%7Ctkp%3ABk9SR7ausfqbYg</t>
  </si>
  <si>
    <t>USPS: 9405509205568732088727</t>
  </si>
  <si>
    <t>INTAKE</t>
  </si>
  <si>
    <t>https://www.ebay.com/itm/403642568555</t>
  </si>
  <si>
    <t>UPS: 1Z4X554V0311327268</t>
  </si>
  <si>
    <t>Junta Cometic</t>
  </si>
  <si>
    <t>-</t>
  </si>
  <si>
    <t>Getbmw</t>
  </si>
  <si>
    <t>ECS Barra</t>
  </si>
  <si>
    <t>Manguera Bmw</t>
  </si>
  <si>
    <t>Genuine BMW - 17117541143 - Coolant Hose - Radiator to Oil Cooler (17-11-7-541-143) (ecstuning.com)</t>
  </si>
  <si>
    <t>Fedex: 74899989289339220974</t>
  </si>
  <si>
    <t>Nacho Itu</t>
  </si>
  <si>
    <t>Opticas LED 335</t>
  </si>
  <si>
    <t>https://order.ebay.com/ord/show?orderId=13-10225-01490#/</t>
  </si>
  <si>
    <t>Usps: 9361289677021605372732</t>
  </si>
  <si>
    <t>Facu Godoy</t>
  </si>
  <si>
    <t>Rotulas Jeep Wrangler</t>
  </si>
  <si>
    <t>https://status.roughcountry.com/#/order/0/7851886</t>
  </si>
  <si>
    <t>Fedex: 657933100060</t>
  </si>
  <si>
    <t>Bomba nafta m3</t>
  </si>
  <si>
    <t>https://www.ecstuning.com/Cart/Receipt-212205159/?customerID=2679329</t>
  </si>
  <si>
    <t>Fedex: 783459607617</t>
  </si>
  <si>
    <t>Javi Danno</t>
  </si>
  <si>
    <t>Opticas</t>
  </si>
  <si>
    <t>UPS: 1Z9FY4100328517764</t>
  </si>
  <si>
    <t>Brian Olmedo</t>
  </si>
  <si>
    <t>Herramienta sacabollo</t>
  </si>
  <si>
    <t>https://app.ecwid.com/print_invoice?ownerid=266218</t>
  </si>
  <si>
    <t>Boton auxiliar</t>
  </si>
  <si>
    <t>https://order.ebay.com/ord/show?orderId=23-10234-09916#/</t>
  </si>
  <si>
    <t>USPS: 9400108205499073046469</t>
  </si>
  <si>
    <t>Mud guard flaps</t>
  </si>
  <si>
    <t>https://order.ebay.com/ord/show?orderId=24-10248-11577#/</t>
  </si>
  <si>
    <t>UPS: 1Z0AX5770314211000</t>
  </si>
  <si>
    <t>Repuestos Honda</t>
  </si>
  <si>
    <t>https://www.hondapartsnow.com/online/order/summary?orderId=1006551&amp;orderGuid=9a3eab8c-1036-419d-8daa-c0d0514cde85</t>
  </si>
  <si>
    <t>fedex: 781229232866</t>
  </si>
  <si>
    <t>Burletes Honda</t>
  </si>
  <si>
    <t>https://order.ebay.com/ord/show?orderId=08-10268-23565#/</t>
  </si>
  <si>
    <t>FedEx: 772680647761</t>
  </si>
  <si>
    <t>Consola Central</t>
  </si>
  <si>
    <t>https://order.ebay.com/ord/show?orderId=11-10266-67398#/</t>
  </si>
  <si>
    <t>FedEx: 780918964796</t>
  </si>
  <si>
    <t>Rodrigo</t>
  </si>
  <si>
    <t>Selenoide Hyundai</t>
  </si>
  <si>
    <t>https://order.ebay.com/ord/show?orderId=02-10295-29228#/</t>
  </si>
  <si>
    <t>USPS: 9400116901337306215324</t>
  </si>
  <si>
    <t>Volante</t>
  </si>
  <si>
    <t>https://order.ebay.com/ord/show?orderId=03-10281-63770#/</t>
  </si>
  <si>
    <t>FedEx: 781249482099</t>
  </si>
  <si>
    <t>Rey</t>
  </si>
  <si>
    <t>Buje Powerflex</t>
  </si>
  <si>
    <t>https://www.powerflexusa.com/my/invoices/250146?model=account.move&amp;res_id=250146&amp;access_token=e8c8184a-f9fe-468d-a475-97725270cced</t>
  </si>
  <si>
    <t>Ups: 1ZE401340396020977</t>
  </si>
  <si>
    <t>Faros traseros honda</t>
  </si>
  <si>
    <t>https://order.ebay.com/ord/show?orderId=22-10327-87782#/</t>
  </si>
  <si>
    <t>UPS: 1Z14V5340322237733</t>
  </si>
  <si>
    <t>Giros Honda</t>
  </si>
  <si>
    <t>https://order.ebay.com/ord/show?orderId=07-10350-74068#/</t>
  </si>
  <si>
    <t>USPS: RS900165582LV</t>
  </si>
  <si>
    <t>Juan M BMW</t>
  </si>
  <si>
    <t>Sensor oxigeno</t>
  </si>
  <si>
    <t>https://www.ecstuning.com/Cart/Receipt-744703530/?customerID=2679329</t>
  </si>
  <si>
    <t>USPS: 9400111898518425880996</t>
  </si>
  <si>
    <t xml:space="preserve">Stereo Audi </t>
  </si>
  <si>
    <t>https://order.ebay.com/ord/show?orderId=25-10375-79531#/</t>
  </si>
  <si>
    <t>Fedex -DONE</t>
  </si>
  <si>
    <t>manija moto</t>
  </si>
  <si>
    <t>https://order.ebay.com/ord/show?orderId=25-10375-80045#/</t>
  </si>
  <si>
    <t>Global UPAAG000000053105047</t>
  </si>
  <si>
    <t>puños moto</t>
  </si>
  <si>
    <t>https://order.ebay.com/ord/show?orderId=24-10390-91466#/</t>
  </si>
  <si>
    <t>Usps 9400111206218591699754</t>
  </si>
  <si>
    <t>Guardabarros 335i e92</t>
  </si>
  <si>
    <t>https://www.amazon.com/gp/product/B07K2L6NQC/ref=ppx_yo_dt_b_asin_title_o00_s00?ie=UTF8&amp;psc=1</t>
  </si>
  <si>
    <t>Nico m3</t>
  </si>
  <si>
    <t>Kit metales y bulones + Junta Carter + Alcanza cinturon</t>
  </si>
  <si>
    <t>https://www.ecstuning.com/MyAccount/Orders/Order-757570075/</t>
  </si>
  <si>
    <t>1Z4045240390396368</t>
  </si>
  <si>
    <t>Riñones Black Chrome</t>
  </si>
  <si>
    <t>https://www.getbmwparts.com/account/order?token=eyJ0eXAiOiJKV1QiLCJhbGciOiJIUzUxMiJ9.eyJvcmRlcl9udW1iZXIiOiI0NDEyODI4NyIsInVzZXJfZW1haWwiOiJlbWlsaWFub0B0cmliZXNoaXBwaW5nLmNvbSJ9.VNHl9Jq-D5e7FwR7OoUbq-jLjvE0W6PFXZjkojdbNgPNKeDn_SpJMIbN-OuQOYjyk-g02Pa2kPud_KzCLzLzyw</t>
  </si>
  <si>
    <t>Fedex - 782614720297</t>
  </si>
  <si>
    <t>Tahio</t>
  </si>
  <si>
    <t>Guia paragolpe 240 y tapita</t>
  </si>
  <si>
    <t>https://www.bmwpartsdeal.com/online/order/summary?orderId=235912&amp;orderGuid=fe68a369-9160-49f1-b9d1-39f03ba363a9</t>
  </si>
  <si>
    <t>9405511206364495662325</t>
  </si>
  <si>
    <t>Repuesto gomaespuma</t>
  </si>
  <si>
    <t>https://order.ebay.com/ord/show?orderId=06-10461-31789#/</t>
  </si>
  <si>
    <t>Global: UPAAH000000053051095</t>
  </si>
  <si>
    <t>flotante</t>
  </si>
  <si>
    <t>https://order.ebay.com/ord/show?orderId=10-10458-91843#/</t>
  </si>
  <si>
    <t>USPS: LE527493705DE</t>
  </si>
  <si>
    <t>Juanma</t>
  </si>
  <si>
    <t>Insignia 240</t>
  </si>
  <si>
    <t>https://autotecknic.com/checkouts/co/c39c3224adbba307358b788e89f02417/thank_you</t>
  </si>
  <si>
    <t>USPS: 9405511206203054752636</t>
  </si>
  <si>
    <t>Bobinas M3 x8</t>
  </si>
  <si>
    <t>https://www.ecstuning.com/Cart/Receipt-769305190/?customerID=2679329</t>
  </si>
  <si>
    <t>UPS: 1Z4045240396106491</t>
  </si>
  <si>
    <t>Flavio Vega</t>
  </si>
  <si>
    <t>Cojinetes K series</t>
  </si>
  <si>
    <t>https://order.ebay.com/ord/show?orderId=20-10485-26250#/</t>
  </si>
  <si>
    <t>USPS: 9400108205498118015873</t>
  </si>
  <si>
    <t>Aixa</t>
  </si>
  <si>
    <t>Corta corrientes</t>
  </si>
  <si>
    <t>https://order.ebay.com/ord/show?itemId=402295987768&amp;transactionId=1178326743027&amp;mkevt=1&amp;mkpid=0&amp;emsid=e11400.m144670.l152615&amp;mkcid=7&amp;ch=osgood&amp;euid=a6aa402a5d9c40709e21de158bbd21cf&amp;bu=43795160990&amp;exe=0&amp;ext=0&amp;osub=-1%7E1&amp;crd=20230906105813&amp;segname=11400#/</t>
  </si>
  <si>
    <t>USPS: 9235990328168001642422</t>
  </si>
  <si>
    <t>Nacho Depa</t>
  </si>
  <si>
    <t>Valvula X6</t>
  </si>
  <si>
    <t>https://order.ebay.com/ord/show?/ViewPaymentStatus&amp;purchaseOrderId=24-1051-737983#/</t>
  </si>
  <si>
    <t>FedEx: 61290988122825198857</t>
  </si>
  <si>
    <t>Luciano Civic SI</t>
  </si>
  <si>
    <t>Sexta Corta</t>
  </si>
  <si>
    <t>https://www.megazip.net/order/642336-1</t>
  </si>
  <si>
    <t>FedEx: 773407113963</t>
  </si>
  <si>
    <t>Emiliano Rial</t>
  </si>
  <si>
    <t>Engine valve cover with gasket</t>
  </si>
  <si>
    <t>Factura descargada</t>
  </si>
  <si>
    <t>UPS: 1Z3Y18820332415575</t>
  </si>
  <si>
    <t>Ramiro Cordoba</t>
  </si>
  <si>
    <t>Carburador</t>
  </si>
  <si>
    <t>FedEx: 61299998825445922450</t>
  </si>
  <si>
    <t>Map n20</t>
  </si>
  <si>
    <t>https://www.ecstuning.com/b-continental-parts/map-sensor/13627843531~vdo/</t>
  </si>
  <si>
    <t>USPS: 9400111898518425253332</t>
  </si>
  <si>
    <t>Espejos M style</t>
  </si>
  <si>
    <t>https://autotecknic.com/26746278/orders/1874a8849a1a5c89457afe08550bf704</t>
  </si>
  <si>
    <t>UPS: 1Z83XV934234561101</t>
  </si>
  <si>
    <t>Suspension Civic</t>
  </si>
  <si>
    <t>https://shop.redline360.com/5802524785/orders/880a10ee3bb26a8aad0c53be05c66153</t>
  </si>
  <si>
    <t>FedEx: 784198231410 / UPS: 1Z5W01V70323125371 / fedex: 784249475306</t>
  </si>
  <si>
    <t>Antena radio civic</t>
  </si>
  <si>
    <t>https://order.ebay.com/ord/show?orderId=05-10578-81876#/</t>
  </si>
  <si>
    <t>USPS: 9400136106028407478398</t>
  </si>
  <si>
    <t>Calcos Honda</t>
  </si>
  <si>
    <t>https://www.restotuner.com/thank-you-page/4181423e-a531-482c-a79d-ca61bc034a72?appSectionParams=%7B%22objectType%22%3A%22order%22%2C%22origin%22%3A%22cashier-express-directly-to-typ%22%7D</t>
  </si>
  <si>
    <t>USPS Tracking #: 9400111206215034340075</t>
  </si>
  <si>
    <t>Alejandro  Trabajando Duro</t>
  </si>
  <si>
    <t>8 Bujias NGK</t>
  </si>
  <si>
    <t>https://www.amazon.com/gp/your-account/order-details/ref=dp_iou_view_this_order?ie=UTF8&amp;orderID=114-4824695-3921862</t>
  </si>
  <si>
    <t>https://www.amazon.com/progress-tracker/package/ref=ppx_od_dt_b_track_package?_encoding=UTF8&amp;itemId=qlohqwjooosqqn&amp;orderId=114-4824695-3921862&amp;vt=ORDER_DETAILS</t>
  </si>
  <si>
    <t>Diverter</t>
  </si>
  <si>
    <t>https://secure.bimmerworld.com/myaccount-1-06-0/index.ssp?sc=6#/ordershistory/view/3269501</t>
  </si>
  <si>
    <t>UPS: 1Z0R92020317633027</t>
  </si>
  <si>
    <t>Colitas M Perf</t>
  </si>
  <si>
    <t>https://usd.r44performance.com/checkouts/cn/3ba3d31af71784444063d5c4c4d895da/thank_you</t>
  </si>
  <si>
    <t>Fedex: 784840709758</t>
  </si>
  <si>
    <t>Nico rey</t>
  </si>
  <si>
    <t>Pastillas</t>
  </si>
  <si>
    <t>https://www.amazon.com/gp/your-account/order-details/ref=dp_iou_view_this_order?ie=UTF8&amp;orderID=114-8976138-4940250</t>
  </si>
  <si>
    <t>UPS: 1Z4XR0770333560675</t>
  </si>
  <si>
    <t>Disco izquierdo</t>
  </si>
  <si>
    <t>https://www.amazon.com/gp/your-account/order-details/ref=ppx_yo_dt_b_order_details_o02?ie=UTF8&amp;orderID=114-5191030-9496269</t>
  </si>
  <si>
    <t>Fedex: 784788327872</t>
  </si>
  <si>
    <t>Disco derecho</t>
  </si>
  <si>
    <t>https://www.amazon.com/gp/your-account/order-details/ref=ppx_yo_dt_b_order_details_o01?ie=UTF8&amp;orderID=114-5690241-3171412</t>
  </si>
  <si>
    <t>Fedex: 784789689761</t>
  </si>
  <si>
    <t>Nerf</t>
  </si>
  <si>
    <t>Aleron civic</t>
  </si>
  <si>
    <t>usps: done</t>
  </si>
  <si>
    <t>Aleron RS4</t>
  </si>
  <si>
    <t>Fedex: done</t>
  </si>
  <si>
    <t>Z4: Antenna y cobertor</t>
  </si>
  <si>
    <t>https://www.bmwpartsdeal.com/online/order/summary?orderId=239317&amp;orderGuid=fe68a369-9160-49f1-b9d1-39f03ba363a9</t>
  </si>
  <si>
    <t>Fedex: 785809601375</t>
  </si>
  <si>
    <t>Riñones negros m3</t>
  </si>
  <si>
    <t>https://www.amazon.com/gp/your-account/order-details/ref=ppx_yo_dt_b_order_details_o00?ie=UTF8&amp;orderID=113-2602114-4684260</t>
  </si>
  <si>
    <t>DHL: DONE</t>
  </si>
  <si>
    <t>Inlet N55</t>
  </si>
  <si>
    <t>https://www.vr-speed.com/my-account/view-order/100339352/</t>
  </si>
  <si>
    <t>fedex: 785387872179</t>
  </si>
  <si>
    <t>Bundle Original M3</t>
  </si>
  <si>
    <t>https://www.bmwpartsdeal.com/online/order/detail?orderId=239329&amp;orderGuid=fe68a369-9160-49f1-b9d1-39f03ba363a9</t>
  </si>
  <si>
    <t>fedex: 785574148620</t>
  </si>
  <si>
    <t>Espejo y guia Honda civic</t>
  </si>
  <si>
    <t>https://www.hondapartsnow.com/online/order/invoice?invoiceId=983464&amp;orderId=1054651&amp;orderGuid=3a5d4838-6c41-4a9a-aa25-94506aa7dc32</t>
  </si>
  <si>
    <t>USPS: 9405511206364492408599</t>
  </si>
  <si>
    <t>https://www.restotuner.com//_api/invoice/8aa6be3b-c03c-4d1f-bf47-6a8e328de66a:b3215904-7366-44ba-a78f-8e43bb6ea766/view?token=d303a9f5-5efa-49cd-8302-0925c0b53e70</t>
  </si>
  <si>
    <t>USPS Tracking #: 9400111206216425172671</t>
  </si>
  <si>
    <t>Nico Rey</t>
  </si>
  <si>
    <t>Disco de freno</t>
  </si>
  <si>
    <t>https://www.amazon.com/gp/your-account/order-details/ref=ppx_yo_dt_b_order_details_o00?ie=UTF8&amp;orderID=111-6690470-3224269</t>
  </si>
  <si>
    <t>Fedex: 785446016857</t>
  </si>
  <si>
    <t>Bujias 97506 x 6</t>
  </si>
  <si>
    <t>https://www.amazon.com/gp/your-account/order-details/ref=ppx_yo_dt_b_order_details_o01?ie=UTF8&amp;orderID=111-0800040-4134643</t>
  </si>
  <si>
    <t>Tracking ID: TBA309387963378</t>
  </si>
  <si>
    <t>Anibal</t>
  </si>
  <si>
    <t>Leva y botadores rover v8</t>
  </si>
  <si>
    <t>https://www.roverparts.com/cart/receipt.cfm?id=5204797&amp;uuid=D954EAA1-8C18-4B93-BF37D3A306FD71D2</t>
  </si>
  <si>
    <t>UPS: 1Z1276480367785388</t>
  </si>
  <si>
    <t>Borzi</t>
  </si>
  <si>
    <t>Kit espejo F22 carbono</t>
  </si>
  <si>
    <t>https://autotecknic.com/checkouts/cn/7126b7934c88e65acfaaa14669c0b5fe/thank_you</t>
  </si>
  <si>
    <t>UPS: 1Z83XV934291428372</t>
  </si>
  <si>
    <t>EL CLIENTE DA VUELTAS</t>
  </si>
  <si>
    <t xml:space="preserve">Subframe and control arms </t>
  </si>
  <si>
    <t>UPS: 1Z5W01V74222897574</t>
  </si>
  <si>
    <t>Jovito Instagram</t>
  </si>
  <si>
    <t>Repuesto lexus</t>
  </si>
  <si>
    <t>USPS: 9400108205498236485084</t>
  </si>
  <si>
    <t>https://www.amazon.com/gp/your-account/order-details/ref=ppx_yo_dt_b_order_details_o00?ie=UTF8&amp;orderID=111-2049469-2685066</t>
  </si>
  <si>
    <t>TBA 364</t>
  </si>
  <si>
    <t>Pablo Gatti</t>
  </si>
  <si>
    <t>Sensor de oxigeno DENSO</t>
  </si>
  <si>
    <t>https://www.amazon.com/gp/your-account/order-details/ref=ppx_yo_dt_b_veo_o00_s00?ie=UTF8&amp;orderID=113-0399233-0429056</t>
  </si>
  <si>
    <t>Tba 47425</t>
  </si>
  <si>
    <t>Amort traseros bilstein Z4</t>
  </si>
  <si>
    <t>https://www.ecstuning.com/MyAccount/Orders/Order-108994595/</t>
  </si>
  <si>
    <t>Fedex: 785329745776</t>
  </si>
  <si>
    <t>Tornillo M5x10mm</t>
  </si>
  <si>
    <t>https://www.amazon.com/gp/your-account/order-details/ref=ppx_yo_dt_b_order_details_o03?ie=UTF8&amp;orderID=113-0749165-6993805</t>
  </si>
  <si>
    <t>TBA 120</t>
  </si>
  <si>
    <t>Tornillo M6x10mm</t>
  </si>
  <si>
    <t>https://www.amazon.com/gp/css/summary/print.html/ref=ppx_od_dt_b_invoice?ie=UTF8&amp;orderID=113-0850967-5016249</t>
  </si>
  <si>
    <t>Tba 47425 / ups: done</t>
  </si>
  <si>
    <t>Emblema Negro M3</t>
  </si>
  <si>
    <t>https://www.amazon.com/gp/your-account/order-details/ref=ppx_yo_dt_b_order_details_o01?ie=UTF8&amp;orderID=113-3382593-5166664</t>
  </si>
  <si>
    <t>Opticas M3</t>
  </si>
  <si>
    <t>https://order.ebay.com/ord/show?orderId=03-10689-29954#/</t>
  </si>
  <si>
    <t>FedEx: 785334743603</t>
  </si>
  <si>
    <t>Plastico reclina asiento</t>
  </si>
  <si>
    <t>https://order.ebay.com/ord/show?orderId=01-10686-99129#/</t>
  </si>
  <si>
    <t>USPS: 9400108205499404403350</t>
  </si>
  <si>
    <t>ARP de tapa</t>
  </si>
  <si>
    <t>https://www.amazon.com/gp/your-account/order-details/ref=ppx_yo_dt_b_order_details_o00?ie=UTF8&amp;orderID=114-8512243-5560202</t>
  </si>
  <si>
    <t>Tracking ID: TBA309375983882</t>
  </si>
  <si>
    <t>Emiliano RIghetti</t>
  </si>
  <si>
    <t>Z4 Amortiguadores delanteros Bilstein</t>
  </si>
  <si>
    <t>https://www.ecstuning.com/b-bilstein-parts/b8-performance-plus-front-strut-assembly-pair/35-124115kt/</t>
  </si>
  <si>
    <t>ups: 1Z89W74E1293751664 / fedex: 702991122970</t>
  </si>
  <si>
    <t>Filtro Burger</t>
  </si>
  <si>
    <t>https://burgertuning.com/products/replacement-n55-performance-filter-no-hardware</t>
  </si>
  <si>
    <t>fedex: 785572481201</t>
  </si>
  <si>
    <t>Lucas 135 n55</t>
  </si>
  <si>
    <t>sensor lambda</t>
  </si>
  <si>
    <t>https://www.ecstuning.com/b-bosch-parts/oxygen-sensor/11787596924~bos/</t>
  </si>
  <si>
    <t>USPS: 9400111898518425565640</t>
  </si>
  <si>
    <t>map n20</t>
  </si>
  <si>
    <t>Opticas Custom</t>
  </si>
  <si>
    <t>Por KG</t>
  </si>
  <si>
    <t>https://track24.net/service/plpost/tracking/CP272110023PL</t>
  </si>
  <si>
    <t>ENTRAGADO, DEUDOR</t>
  </si>
  <si>
    <t>Tornillos m5x20mm</t>
  </si>
  <si>
    <t>https://www.amazon.com/gp/your-account/order-details/ref=ppx_yo_dt_b_order_details_o01?ie=UTF8&amp;orderID=114-0810433-0849813</t>
  </si>
  <si>
    <t>Tracking ID: TBA309524786777</t>
  </si>
  <si>
    <t>Tornillos M6x25mm</t>
  </si>
  <si>
    <t>https://www.amazon.com/gp/your-account/order-details/ref=ppx_yo_dt_b_order_details_o00?ie=UTF8&amp;orderID=114-3763702-2283436</t>
  </si>
  <si>
    <t>Tracking ID: 9300189696000348765343</t>
  </si>
  <si>
    <t>usps:  9400111898518425581497</t>
  </si>
  <si>
    <t>Funda tablet jessi</t>
  </si>
  <si>
    <t>https://www.aliexpress.com/p/order/detail.html?orderId=8178594193235219&amp;tracelog=rowan&amp;rowan_id1=logistics_default_20221027_1_en_US_2023-11-05&amp;rowan_msg_id=5219817859419323$3b08018d1776493c9cae1a89cce5ac74&amp;ck=in_edm_other</t>
  </si>
  <si>
    <t>https://track.aliexpress.com/logisticsdetail.htm?spm=a2g0o.order_detail.order_detail_item.2.556cf19cQ17xyO&amp;tradeId=8178594193235219</t>
  </si>
  <si>
    <t xml:space="preserve">Espejos F30 </t>
  </si>
  <si>
    <t>N/A</t>
  </si>
  <si>
    <t>Molduras Honda</t>
  </si>
  <si>
    <t>USPS: done</t>
  </si>
  <si>
    <t>ENTREGADO CLIENTE</t>
  </si>
  <si>
    <t>Luis 240 G42</t>
  </si>
  <si>
    <t>Armado 240 g42</t>
  </si>
  <si>
    <t>https://titanmotorsports.com/account/orders/13b70e0dd717f602e564eb3cd9583f86</t>
  </si>
  <si>
    <t>UPS: VARIOS</t>
  </si>
  <si>
    <t>Molduras largas Honda</t>
  </si>
  <si>
    <t>USPS: DONE</t>
  </si>
  <si>
    <t>Calco Honda CIvic</t>
  </si>
  <si>
    <t>https://order.ebay.com/ord/show?orderId=25-10766-02670#/</t>
  </si>
  <si>
    <t>Israel post: LX428112793IL</t>
  </si>
  <si>
    <t>pedido CV Joint</t>
  </si>
  <si>
    <t>https://www.fcpeuro.com/products/audi-axle-shaft-cv-joint-kit-gkn-8e0498099c</t>
  </si>
  <si>
    <t>UPS:1ZE8316Y0315927124</t>
  </si>
  <si>
    <t>Bomba Supra</t>
  </si>
  <si>
    <t>https://www.bimmernetwork.com/58151403692/orders/cc416c8a9b3f6999caf89369ac5fed8c</t>
  </si>
  <si>
    <t>Ups: 1ZR5765R4219484731</t>
  </si>
  <si>
    <t>GFB Diverter</t>
  </si>
  <si>
    <t>https://www.kiesmotorsports.com/7437025395/checkouts/dae99a1af140164a94115045dbd534e7/thank_you</t>
  </si>
  <si>
    <t>UPS tracking number: 1Z4XR077YW30005997</t>
  </si>
  <si>
    <t>Juan Pablo Romano</t>
  </si>
  <si>
    <t>Bmw e46 m3 parts ECS</t>
  </si>
  <si>
    <t>usps: 9400111898518425774639 / fedex:786493224337 / fedex: 786390099842 / ups: 650</t>
  </si>
  <si>
    <t>Javier Genesis</t>
  </si>
  <si>
    <t>Items varios AMAZON</t>
  </si>
  <si>
    <t>TBA: DONE</t>
  </si>
  <si>
    <t>Autito civic</t>
  </si>
  <si>
    <t>https://order.ebay.com/ord/show?orderId=15-10783-96277#/</t>
  </si>
  <si>
    <t>SpeedPAK: ES10025580828910002010001D0N</t>
  </si>
  <si>
    <t>Tornillos moto</t>
  </si>
  <si>
    <t>https://order.ebay.com/ord/show?orderId=13-10788-98269#/</t>
  </si>
  <si>
    <t>USPS: 9400108205499483466291</t>
  </si>
  <si>
    <t>Autito golf</t>
  </si>
  <si>
    <t>https://order.ebay.com/ord/show?orderId=10-10791-14483#/</t>
  </si>
  <si>
    <t>DHL Express: 9842373505</t>
  </si>
  <si>
    <t>LLantas m3 e36</t>
  </si>
  <si>
    <t>Fedex: 7151 7166 3307 / 7151 7166 3318 / 7151 7166 3329 / 7151 7166 3330</t>
  </si>
  <si>
    <t>ENTRAGADO, SALDO 5000</t>
  </si>
  <si>
    <t>Multiple civic</t>
  </si>
  <si>
    <t>https://biz.alibaba.com/ta/detail.htm?spm=a2700.12336162.0.0.54b565aapDICCy&amp;orderId=193197207001022057</t>
  </si>
  <si>
    <t>international tracking number: 1Z07EA570335078499</t>
  </si>
  <si>
    <t>tornillos de multiple de escape</t>
  </si>
  <si>
    <t>https://privatelabelmfg.com/38056853642/orders/7c91da76d728dd5af66d1a406d63fa5f</t>
  </si>
  <si>
    <t>FedEx tracking number: 786500124362</t>
  </si>
  <si>
    <t>filtro k&amp;n</t>
  </si>
  <si>
    <t>https://www.amazon.com/dp/B00062YIJQ?psc=1&amp;ref=ppx_yo2ov_dt_b_product_details</t>
  </si>
  <si>
    <t>Tracking ID: TBA309922728349</t>
  </si>
  <si>
    <t>wideband</t>
  </si>
  <si>
    <t>https://www.amazon.com/dp/B0184TSI84?psc=1&amp;ref=ppx_yo2ov_dt_b_product_details</t>
  </si>
  <si>
    <t>hondata</t>
  </si>
  <si>
    <t>https://www.burton-racing.com/6436454465/orders/2d7829d71521491021a1894c969042cc</t>
  </si>
  <si>
    <t>UPS tracking number: 1ZB3191KA833380467</t>
  </si>
  <si>
    <t>molduras traseras</t>
  </si>
  <si>
    <t>https://order.ebay.com/ord/show?orderId=23-10791-19926#/</t>
  </si>
  <si>
    <t>moldura superior parabrizas</t>
  </si>
  <si>
    <t>FedEx: 786668603069</t>
  </si>
  <si>
    <t>honda parts</t>
  </si>
  <si>
    <t>https://www.hondapartsnow.com/online/order/status?Email=all@tribeshipping.com&amp;OrderNumber=CH661098974</t>
  </si>
  <si>
    <t>USPS: 9405511206364499379403</t>
  </si>
  <si>
    <t>Alan Klement</t>
  </si>
  <si>
    <t>Innovate</t>
  </si>
  <si>
    <t>https://www.innovatemotorsports.com/mtx-d-oil-pressure-temperature.html</t>
  </si>
  <si>
    <t>UPS: 1Z6163620377653693</t>
  </si>
  <si>
    <t>Cinta dorada</t>
  </si>
  <si>
    <t>https://www.amazon.com/gp/your-account/order-details?ie=UTF8&amp;orderID=112-5490443-7682605&amp;ref=ppx_yo2ov_dt_b_fed_order_details</t>
  </si>
  <si>
    <t>Tracking ID: TBA309849132203</t>
  </si>
  <si>
    <t>Lineas de freno</t>
  </si>
  <si>
    <t>https://valexracing.com/15440069/orders/ef7cb42c8cd6a0cd1fd98ec58caa0d38</t>
  </si>
  <si>
    <t>USPS: 9405536106051658497842</t>
  </si>
  <si>
    <t>Pablo Cala</t>
  </si>
  <si>
    <t>Sincornizados</t>
  </si>
  <si>
    <t>https://order.ebay.com/ord/show?itemId=265125198429&amp;transactionId=3045245013016&amp;mkevt=1&amp;mkpid=0&amp;emsid=e11400.m144671.l152967&amp;mkcid=7&amp;ch=osgood&amp;euid=89d8d6a139534712a6ccd2cf3e272ca8&amp;bu=43795160990&amp;xt=254362&amp;osub=-1%7E1&amp;crd=20231117140709&amp;segname=11400#/</t>
  </si>
  <si>
    <t>USPS: 9405511206238271782623</t>
  </si>
  <si>
    <t>Tapita de limpia parabrizas</t>
  </si>
  <si>
    <t>https://order.ebay.com/ord/show?orderId=15-10801-83432#/</t>
  </si>
  <si>
    <t>USPS: 9400111206216900189354</t>
  </si>
  <si>
    <t>Jose Opel</t>
  </si>
  <si>
    <t>Burlete Opel</t>
  </si>
  <si>
    <t>https://opel-shop.com/kasse/order-received/2671173/?key=wc_order_79SFpCQme0JLS</t>
  </si>
  <si>
    <t>DHL: CD252303342DE</t>
  </si>
  <si>
    <t>subframe</t>
  </si>
  <si>
    <t>https://shop.redline360.com/5802524785/orders/8ef5fda517d5b01c1980ad4e03cbcaa9</t>
  </si>
  <si>
    <t>Fedex: 786714231840</t>
  </si>
  <si>
    <t>Leandro Tribe IG</t>
  </si>
  <si>
    <t>Pedido amazon BMW</t>
  </si>
  <si>
    <t>https://trello.com/c/mrnswmj4</t>
  </si>
  <si>
    <t>https://www.ordertracker.com/track/TBA310008540566~TBA309999339921~TBA309997933645~TBA309955321335~TBA310021013748</t>
  </si>
  <si>
    <t>DME</t>
  </si>
  <si>
    <t>https://orders.femtoevo.com/user/order/878</t>
  </si>
  <si>
    <t>DHL: done</t>
  </si>
  <si>
    <t>Foca</t>
  </si>
  <si>
    <t>Ropa all saints</t>
  </si>
  <si>
    <t>https://trello.com/c/1G8JUAdS</t>
  </si>
  <si>
    <t>UPS: 1ZA2E3540399331864</t>
  </si>
  <si>
    <t>Espejo</t>
  </si>
  <si>
    <t>https://opel-shop.com/kasse/order-received/2703227/?key=wc_order_KHnNpedt3aneo</t>
  </si>
  <si>
    <t>DHL: CD252303665DE</t>
  </si>
  <si>
    <t>Alan Bruno</t>
  </si>
  <si>
    <t>Compra Blowsion</t>
  </si>
  <si>
    <t>https://trello.com/c/H3zFEG4S</t>
  </si>
  <si>
    <t>UPS: 1ZE3W4700393831843</t>
  </si>
  <si>
    <t>Compra TC Freeride</t>
  </si>
  <si>
    <t>https://trello.com/c/ZRa5C109</t>
  </si>
  <si>
    <t>UPS: 1Z7437880344068382</t>
  </si>
  <si>
    <t>Compra aro de goma</t>
  </si>
  <si>
    <t>https://trello.com/c/UvGOq0ks</t>
  </si>
  <si>
    <t>Fedex: 787559850584</t>
  </si>
  <si>
    <t>Guido Tripodi</t>
  </si>
  <si>
    <t>Cable Micro USB</t>
  </si>
  <si>
    <t>https://www.amazon.com/gp/product/B071YNFZBG/ref=ppx_od_dt_b_asin_title_s00?ie=UTF8&amp;psc=1</t>
  </si>
  <si>
    <t>USPS: 9400111699973489920940</t>
  </si>
  <si>
    <t>Oculta patente</t>
  </si>
  <si>
    <t>https://alite.cc/76179439962/orders/5c70072297778ca1d36f16413b50c975</t>
  </si>
  <si>
    <t>https://track.ukrposhta.ua/tracking_EN.html?barcode=LK064338621UA</t>
  </si>
  <si>
    <t>Thrust innovations EZ-Pull Cable</t>
  </si>
  <si>
    <t>https://www.thrustinnovations.com/product/1-thrust-innovations-ez-pull-cable/</t>
  </si>
  <si>
    <t>USPS: 9405536106025835881045</t>
  </si>
  <si>
    <t>M2 Blanco Rapper</t>
  </si>
  <si>
    <t>Parrilla Suspension</t>
  </si>
  <si>
    <t>https://www.getbmwparts.com/account/order?token=eyJ0eXAiOiJKV1QiLCJhbGciOiJIUzUxMiJ9.eyJvcmRlcl9udW1iZXIiOiI0NDEzNTAwMSIsInVzZXJfZW1haWwiOiJlbWlsaWFub0B0cmliZXNoaXBwaW5nLmNvbSJ9.Kbh-BNWQc6Hlhj7eLxxW3Gjsffdx_KxUUR5lfixmQIsXvWU2CoHfHLaAgUHrHUn-_fMndHvOI2BSbzg1m_JthQ</t>
  </si>
  <si>
    <r>
      <rPr>
        <rFont val="&quot;Open Sans&quot;, &quot;Helvetica Neue&quot;, Helvetica, Arial, sans-serif"/>
        <color rgb="FF383838"/>
        <sz val="9.0"/>
        <u/>
      </rPr>
      <t>UPS: 1Z283637A86229589</t>
    </r>
    <r>
      <rPr>
        <rFont val="&quot;Open Sans&quot;, &quot;Helvetica Neue&quot;, Helvetica, Arial, sans-serif"/>
        <color rgb="FF383838"/>
        <sz val="9.0"/>
      </rPr>
      <t>2</t>
    </r>
  </si>
  <si>
    <t>Varios m3 e46</t>
  </si>
  <si>
    <t>https://www.getbmwparts.com/account/order?token=eyJ0eXAiOiJKV1QiLCJhbGciOiJIUzUxMiJ9.eyJvcmRlcl9udW1iZXIiOiI0NDEzNTAwMiIsInVzZXJfZW1haWwiOiJlbWlsaWFub0B0cmliZXNoaXBwaW5nLmNvbSJ9.OZIXZQeAyrENzwQW6HbVU53R3CGyeW_9JQkg2SeZz2Sk8phod7efJXlkupM17pNOsEi3s1__GFZgJM_snxnhGA</t>
  </si>
  <si>
    <t>FedEx: 788028034237</t>
  </si>
  <si>
    <t>Zapas via Caste</t>
  </si>
  <si>
    <t>DHL: 4010342722</t>
  </si>
  <si>
    <t>Compra Grande Bmw Parts Deal</t>
  </si>
  <si>
    <t>https://www.bmwpartsdeal.com/online/order/detail?orderId=241635&amp;orderGuid=fe68a369-9160-49f1-b9d1-39f03ba363a9</t>
  </si>
  <si>
    <t>Fedex: 788926053863</t>
  </si>
  <si>
    <t>Compra blowsion v3</t>
  </si>
  <si>
    <t>https://www.blowsion.com/sales/order/view/order_id/78239/</t>
  </si>
  <si>
    <t>USPS: 9405511206217571817457</t>
  </si>
  <si>
    <t>Multiple turbo civic</t>
  </si>
  <si>
    <t>https://biz.alibaba.com/ta/detail.htm?orderId=196311074501022057&amp;tracelog=notification_mail_normal_PaymentStatusChanged_5096555404&amp;mt=mail&amp;crm_mtn_tracelog_log_id=5000000003707688580&amp;crm_mtn_tracelog_task_id=b39fde97-28b7-4219-a9eb-7714f26cc3c4&amp;crm_mtn_tracelog_template=2000745458&amp;crm_mtn_tracelog_from_sys=service_mhtserver&amp;as_token=ROjf2boXxQDJEEy8H7BYs4DXgc4ESmP6fkUQq1sfJL4s7dvf&amp;to=array.dude%40gmail.com&amp;from=credit%40notice.alibaba.com</t>
  </si>
  <si>
    <t>1Z07EA570394479338</t>
  </si>
  <si>
    <t>Buje ECS</t>
  </si>
  <si>
    <t>https://www.ecstuning.com/MyAccount/Orders/Order-595271369/</t>
  </si>
  <si>
    <t>Fedex: 74899989289340253763</t>
  </si>
  <si>
    <t>https://order.ebay.com/ord/show?orderId=02-10958-99070#/</t>
  </si>
  <si>
    <t>UPS: 1Z8615460366559005</t>
  </si>
  <si>
    <t>Ventilador</t>
  </si>
  <si>
    <t>https://order.ebay.com/ord/show?orderId=07-10955-74299#/</t>
  </si>
  <si>
    <t>TBA310644475937</t>
  </si>
  <si>
    <t>Escape revel</t>
  </si>
  <si>
    <t>https://shop.redline360.com/account/orders/e98432728a2026181feb71efa0935b29</t>
  </si>
  <si>
    <t>fedex: 788355093320</t>
  </si>
  <si>
    <t>Fierros Speedfactory</t>
  </si>
  <si>
    <t>https://www.speedfactoryracing.net/checkouts/cn/b97cca2419fde17f19cb6b1d688f366a/thank_you</t>
  </si>
  <si>
    <t>ups: 1ZE35K150319715330</t>
  </si>
  <si>
    <t>Luces de interior</t>
  </si>
  <si>
    <t>https://www.aliexpress.com/p/order/detail.html?orderId=8181967288665219&amp;edm_log_data=edm-order-details.store-product-log-link&amp;tracelog=rowan&amp;rowan_id1=delivery_for_buyer_20230406_1_en_US_2023-12-22&amp;rowan_msg_id=5219818196728866$b9b4851346994efbaeb830eb38c7a385&amp;ck=in_edm_other</t>
  </si>
  <si>
    <t>USPS: 9339589677026613795056</t>
  </si>
  <si>
    <t>Matias Virarelli</t>
  </si>
  <si>
    <t>Botones M1 y M2</t>
  </si>
  <si>
    <t>https://mnlasercutting.com/commerce/orders/304f638d-eed0-4dcc-83c8-60ccf4d438e8</t>
  </si>
  <si>
    <t>USPS: 9400136105536004603910</t>
  </si>
  <si>
    <t>ChargePipe b58 vrsf</t>
  </si>
  <si>
    <t>https://www.vr-speed.com/checkout/order-received/100346828/?key=wc_order_ViGpcEnnPM6Fc&amp;utm_nooverride=1</t>
  </si>
  <si>
    <t>Fedex: 788502627739</t>
  </si>
  <si>
    <t>Botones de consola azules</t>
  </si>
  <si>
    <t>https://order.ebay.com/ord/show?orderId=18-10960-64378#/</t>
  </si>
  <si>
    <t>https://www.orangeconnex.com/tracking?language=en&amp;trackingnumber=ES10025978481020001010001E0N</t>
  </si>
  <si>
    <t>Inlet CTS b58</t>
  </si>
  <si>
    <t>https://www.ctsturbo.com/my-account/view-order/263365/</t>
  </si>
  <si>
    <t>https://trackshipment.shipstation.com/?branding_id=001d6731-0000-0000-1ebf-030000000000&amp;carrier_code=ups&amp;tracking_number=1ZA83W70DG31608764&amp;order_number=MjYzMzY1&amp;postal_code=33166-2783&amp;locale=en</t>
  </si>
  <si>
    <t>Pedido amazon adaptador y modulo</t>
  </si>
  <si>
    <t>https://parcelsapp.com/en/tracking/TBA310748270766</t>
  </si>
  <si>
    <t>TBA310748270766</t>
  </si>
  <si>
    <t>ECS tapas de optica</t>
  </si>
  <si>
    <t>https://www.fedex.com/fedextrack/?trknbr=74899989289340272375&amp;trkqual=20231227204400~74899989289340272375~FXSP</t>
  </si>
  <si>
    <t>Fedex: 74899989289340272375</t>
  </si>
  <si>
    <t>ECS vanos</t>
  </si>
  <si>
    <t>https://www.fedex.com/fedextrack/?trknbr=61299989289340265067&amp;trkqual=20231226175800~61299989289340265067~FXSP</t>
  </si>
  <si>
    <t>fedex: 61299989289340265067</t>
  </si>
  <si>
    <t>Tornillos ARP</t>
  </si>
  <si>
    <t>https://www.amazon.com/gp/your-account/order-details/ref=dp_iou_view_this_order?ie=UTF8&amp;orderID=112-0162187-9266607</t>
  </si>
  <si>
    <t>TBA310800745862</t>
  </si>
  <si>
    <t>Embrague Exedy</t>
  </si>
  <si>
    <t>https://jhpusa.com/11510688/checkouts/7c54d73065e72d77236b9f119aca66ba/thank_you</t>
  </si>
  <si>
    <t>UPS: 1Z2A1E184271751983</t>
  </si>
  <si>
    <t>CAI</t>
  </si>
  <si>
    <t>https://order.ebay.com/ord/show?orderId=04-10979-11809#/</t>
  </si>
  <si>
    <t>UPS: 1Z256R4F0338542239</t>
  </si>
  <si>
    <t>Coco Padilla</t>
  </si>
  <si>
    <t>Modulo mercedes</t>
  </si>
  <si>
    <t>https://order.ebay.com/ord/show?orderId=02-10984-42917#/</t>
  </si>
  <si>
    <t>DHL EXPRESS: 1393944296</t>
  </si>
  <si>
    <t>Bujes bmw 335</t>
  </si>
  <si>
    <t>https://www.ecstuning.com/MyAccount/Orders/Order-378985169/</t>
  </si>
  <si>
    <t>UPS: 1Z404524YW96970148</t>
  </si>
  <si>
    <t>https://opel-shop.com/kasse/order-received/2818193/?key=wc_order_4eEsS46TwTt0Y</t>
  </si>
  <si>
    <t>https://www.dhl.de/en/privatkunden/pakete-empfangen/verfolgen.html?lang=de&amp;idc=CD252304630DE&amp;rfn=&amp;extendedSearch=true</t>
  </si>
  <si>
    <t>Valvulas and Oil Pump</t>
  </si>
  <si>
    <t>https://4pistonracing.com/34348007561/orders/454d3781f9ec025b4a9e0eff7e8c337f</t>
  </si>
  <si>
    <t>UPS: 1ZFA68810332354865</t>
  </si>
  <si>
    <t>Guias y retenes</t>
  </si>
  <si>
    <t>https://order.ebay.com/ord/show?orderId=22-11011-71367#/</t>
  </si>
  <si>
    <t>USPS: 9434636105536084883013</t>
  </si>
  <si>
    <t>Pechera</t>
  </si>
  <si>
    <t>https://order.ebay.com/ord/show?orderId=18-11016-18773#/</t>
  </si>
  <si>
    <t>FedEx: 789031410895</t>
  </si>
  <si>
    <t>partes m3 e46</t>
  </si>
  <si>
    <t>https://www.ecstuning.com/MyAccount/Orders/Order-469303618/</t>
  </si>
  <si>
    <t>UPS: 1Z404524YW97655371 / Fedex: 74899989289340327662</t>
  </si>
  <si>
    <t>Case</t>
  </si>
  <si>
    <t>https://order.ebay.com/ord/show?orderId=01-11054-01125#/</t>
  </si>
  <si>
    <t>USPS: 9400108205499682298594</t>
  </si>
  <si>
    <t>Alivio</t>
  </si>
  <si>
    <t>https://order.ebay.com/ord/show?orderId=14-11066-34260#/</t>
  </si>
  <si>
    <t>UPS: 1Z4XR0770306848433</t>
  </si>
  <si>
    <t>Buje frontal</t>
  </si>
  <si>
    <t>https://www.ecstuning.com/Cart/Receipt-383384670/?customerID=2679329</t>
  </si>
  <si>
    <t>Fedex: 61299989289340328687</t>
  </si>
  <si>
    <t xml:space="preserve">Cooling pack </t>
  </si>
  <si>
    <t>https://www.getbmwparts.com/account/order?token=eyJ0eXAiOiJKV1QiLCJhbGciOiJIUzUxMiJ9.eyJvcmRlcl9udW1iZXIiOiI0NDEzNjczNyIsInVzZXJfZW1haWwiOiJlbWlsaWFub0B0cmliZXNoaXBwaW5nLmNvbSJ9.Q6PCdlBB56RAQvdKvyG66Fqhqpp1LvJ49JVGrm96bIASkb7T5A-6xYOphfGmeX2CpalRXyBXSq51sewb5EvBGA</t>
  </si>
  <si>
    <t>Fedex: 270158402059 / fedex: 270158400847</t>
  </si>
  <si>
    <t>Ventilador portable</t>
  </si>
  <si>
    <t>https://biz.alibaba.com/ta/detail.htm?spm=a2756.trade-list-buyer.0.0.a15076e9BDSNfQ&amp;&amp;orderId=198914907501022057&amp;aru=9e49f53b1f101f5e1e008200b600570064656661756c74&amp;tracelog=from_orderlist_dropdown&amp;from=timeline#newBuyerShipment_1-heading</t>
  </si>
  <si>
    <t>para entrega cliente</t>
  </si>
  <si>
    <t>Popi</t>
  </si>
  <si>
    <t>Kraftwerks filter</t>
  </si>
  <si>
    <t>https://kraftwerksusa.com/3-id-round-filter.html</t>
  </si>
  <si>
    <t>UPS: 1ZR1960V0390811686</t>
  </si>
  <si>
    <t>Titan missing parts</t>
  </si>
  <si>
    <t>UPS: 1ZV647314294843268</t>
  </si>
  <si>
    <t>Seba Eterovic</t>
  </si>
  <si>
    <t>Tweeter</t>
  </si>
  <si>
    <t>Thomas</t>
  </si>
  <si>
    <t>Bujes e36 powerflex</t>
  </si>
  <si>
    <t>https://www.ecstuning.com/Cart/Receipt-313575918/?customerID=2679329</t>
  </si>
  <si>
    <t>ups: 1Z404524YW90175321</t>
  </si>
  <si>
    <t>Wastegate</t>
  </si>
  <si>
    <t>https://order.ebay.com/ord/show?orderId=24-11126-30676&amp;ssPageName=STRK:MESO:VPS&amp;_trksid=p4429486.m2548.l2673#/</t>
  </si>
  <si>
    <t>USPS: 9436208205498595436941</t>
  </si>
  <si>
    <t>Blowsion Items</t>
  </si>
  <si>
    <t>https://www.blowsion.com/sales/order/view/order_id/78716/</t>
  </si>
  <si>
    <t>ups: 1ZE3W4700390690500</t>
  </si>
  <si>
    <t>Cable acelerador</t>
  </si>
  <si>
    <t>https://order.ebay.com/ord/show?itemId=314923546627&amp;transactionId=1376173406021&amp;mkevt=1&amp;mkpid=0&amp;emsid=e11400.m144670.l152615&amp;mkcid=7&amp;ch=osgood&amp;euid=74b6cac795df42a9b82892ea4da11660&amp;bu=43795160990&amp;exe=0&amp;ext=0&amp;osub=-1%7E1&amp;crd=20240131111112&amp;segname=11400#/</t>
  </si>
  <si>
    <t>usps: 9405511206210544830989</t>
  </si>
  <si>
    <t>entregado a cliente</t>
  </si>
  <si>
    <t>Pomo m3 e46</t>
  </si>
  <si>
    <t>https://www.ecstuning.com/MyAccount/Orders/Order-807021963/</t>
  </si>
  <si>
    <t>fedex: 74899989289340384061</t>
  </si>
  <si>
    <t>PARA entrega cliente</t>
  </si>
  <si>
    <t>Programador</t>
  </si>
  <si>
    <t>https://www.xhorsetool.com/wholesale/xhorse-multi-prog.html</t>
  </si>
  <si>
    <t>ups: 1Z4400564291959219</t>
  </si>
  <si>
    <t>SEÑADO CON 700/ para entrega cliente</t>
  </si>
  <si>
    <t>Valvula MAC</t>
  </si>
  <si>
    <t>https://order.ebay.com/ord/show?/ViewPaymentStatus&amp;purchaseOrderId=11-1114-727744#/</t>
  </si>
  <si>
    <t>USPS: 9400111206217783605443</t>
  </si>
  <si>
    <t>Level7 Performance</t>
  </si>
  <si>
    <t>https://level7performance.com/checkout/order-received/4790/?key=wc_order_pZm23kLkyDFhI&amp;utm_nooverride=1</t>
  </si>
  <si>
    <t>USPS: 9405536106025336947837</t>
  </si>
  <si>
    <t>RaceArt</t>
  </si>
  <si>
    <t>https://www.raceart.co/commerce/orders/3fd5dd82-43fa-4425-9719-6f261687c161</t>
  </si>
  <si>
    <t>usps: 9405511206217781511626</t>
  </si>
  <si>
    <t>Lionel S</t>
  </si>
  <si>
    <t>Blowsion Parts</t>
  </si>
  <si>
    <t>https://www.blowsion.com/sales/order/view/order_id/78830/</t>
  </si>
  <si>
    <t>UPS: 1ZC36J950316270204</t>
  </si>
  <si>
    <t>Timing tool</t>
  </si>
  <si>
    <t>https://order.ebay.com/ord/show?itemId=126008945424&amp;transactionId=2707666618002&amp;mkevt=1&amp;mkpid=0&amp;emsid=e11400.m144670.l152615&amp;mkcid=7&amp;ch=osgood&amp;euid=9e9f4d18ebac4d84a6073ef5ca99eb35&amp;bu=43795160990&amp;exe=0&amp;ext=0&amp;osub=-1%7E1&amp;crd=20240207155621&amp;segname=11400#/</t>
  </si>
  <si>
    <t>UPS: 1ZC1X5060330227827</t>
  </si>
  <si>
    <t>Engranaje admision</t>
  </si>
  <si>
    <t>https://order.ebay.com/ord/show?orderId=04-11161-54844#/</t>
  </si>
  <si>
    <t>ELTA Hellenic Post: CP411414826GR</t>
  </si>
  <si>
    <t>Tensor de cadena</t>
  </si>
  <si>
    <t>https://order.ebay.com/ord/show?orderId=12-11154-86868#/</t>
  </si>
  <si>
    <t>Lietuvos Pastas: LI282183952LT</t>
  </si>
  <si>
    <t>Burlete</t>
  </si>
  <si>
    <t>https://opel-shop.com/kasse/order-received/2915654/?key=wc_order_7CZg0yANGbgXn</t>
  </si>
  <si>
    <t>DHL: CD252305839DE</t>
  </si>
  <si>
    <t>en proceso de envio</t>
  </si>
  <si>
    <t>Funda celu</t>
  </si>
  <si>
    <t>https://secure6.store.apple.com/shop/order/guest/W1301633397/7ec7fe351e17011a36aa9fd3ca6ce2de391b662650a0287b94f55dd44ebfb2c8c94462ac1926065f1b7de0a06b3984f73d9b7fc57119fd09dccc4598b2497f87159cf80671e62f16157d04d23a368f52?e=true</t>
  </si>
  <si>
    <t>UPS: 1Z30742V0300419727</t>
  </si>
  <si>
    <t>Vidrio templado</t>
  </si>
  <si>
    <t>Lentes de sol</t>
  </si>
  <si>
    <t>https://www.cettire.com/checkout/order/nXEnpec8Thg3f3i3R?token=KGkRnsCRHpPE5Y2AyppnIVroH5POOSAc_H4H8DpHauM</t>
  </si>
  <si>
    <t>DHL: 1441596295</t>
  </si>
  <si>
    <t>entregado cliente</t>
  </si>
  <si>
    <t>Junta Speedfactory</t>
  </si>
  <si>
    <t>UPS: 1ZE35K150300570503</t>
  </si>
  <si>
    <t>Marine Parts Nerf</t>
  </si>
  <si>
    <t>UPS: 1ZA674T40348126854</t>
  </si>
  <si>
    <t>LUIS 240 G42</t>
  </si>
  <si>
    <t>Intake</t>
  </si>
  <si>
    <t>https://www.ctsturbo.com/checkout/order-received/268680/?key=wc_order_zLbhWRXWWBZ9q&amp;utm_nooverride=1</t>
  </si>
  <si>
    <t>ups: 1ZA83W70DG36023369</t>
  </si>
  <si>
    <t>Spray</t>
  </si>
  <si>
    <t>https://order.ebay.com/ord/show?orderId=07-11196-32306#/</t>
  </si>
  <si>
    <t>USPS: 9449008205499823648747</t>
  </si>
  <si>
    <t>LuiS 240 G42</t>
  </si>
  <si>
    <t>Downpipe VRSF</t>
  </si>
  <si>
    <t>https://www.vr-speed.com/checkout/order-received/100355408?key=wc_order_W9Oxp6KxUvLbM&amp;utm_nooverride=1</t>
  </si>
  <si>
    <t>Fedex: 271198812289</t>
  </si>
  <si>
    <t>Pasaruedas</t>
  </si>
  <si>
    <t>https://www.bmwpartsdeal.com/online/order/detail?orderId=243648&amp;orderGuid=fe68a369-9160-49f1-b9d1-39f03ba363a9</t>
  </si>
  <si>
    <t>Fedex: 775363601584</t>
  </si>
  <si>
    <t>Fierros Speedfactory 2</t>
  </si>
  <si>
    <t>https://www.speedfactoryracing.net/40153088154/orders/05f9c6d32428cda8d05e8d1c5c3ff239</t>
  </si>
  <si>
    <t>UPS: 1ZE35K150327238368</t>
  </si>
  <si>
    <t>Inyectores Speedfactory</t>
  </si>
  <si>
    <t>UPS: 1Z33V11W0366983363</t>
  </si>
  <si>
    <t>Correa Gates</t>
  </si>
  <si>
    <t>https://order.ebay.com/ord/show?orderId=02-11230-83374#/</t>
  </si>
  <si>
    <t>DHL Global Mail: 9261290336148006546197</t>
  </si>
  <si>
    <t>para entrega clliente</t>
  </si>
  <si>
    <t>Tapita de plastico</t>
  </si>
  <si>
    <t>https://order.ebay.com/ord/show?orderId=27-11213-14795#/</t>
  </si>
  <si>
    <t>USPS: 9400108205498669440933</t>
  </si>
  <si>
    <t>Marine parts 2</t>
  </si>
  <si>
    <t>UPS: 1ZA674T40346207814</t>
  </si>
  <si>
    <t>240I Bavarian Motorsport</t>
  </si>
  <si>
    <t>Exhaust Tips</t>
  </si>
  <si>
    <t>https://order.ebay.com/ord/show?orderId=20-11236-21237#/</t>
  </si>
  <si>
    <t>UPAAH000000059996519</t>
  </si>
  <si>
    <t>Difusor trasero</t>
  </si>
  <si>
    <t>https://order.ebay.com/ord/show?orderId=04-11248-49482#/</t>
  </si>
  <si>
    <t>FedEx: 271551631822</t>
  </si>
  <si>
    <t>Espejos Carbono</t>
  </si>
  <si>
    <t>https://autotecknic.com/26746278/orders/daa254c76f27c88cdb7ce311b0a791e5</t>
  </si>
  <si>
    <t>UPS: 1ZGA07250303684871</t>
  </si>
  <si>
    <t>https://order.ebay.com/ord/show?orderId=05-11248-19573#/</t>
  </si>
  <si>
    <t>UPS: 1ZE4H2080308974919</t>
  </si>
  <si>
    <t>Junta de escape</t>
  </si>
  <si>
    <t>https://order.ebay.com/ord/show?/ViewPaymentStatus&amp;purchaseOrderId=24-1125-936047#/</t>
  </si>
  <si>
    <t>USPS: 9400111206239473940962</t>
  </si>
  <si>
    <t>ECU LINK</t>
  </si>
  <si>
    <t>https://shopify.com/6603702362/account/orders/5936499261530?locale=en</t>
  </si>
  <si>
    <t>UPS: 1ZV647314294533610</t>
  </si>
  <si>
    <t>Nataly Gomez</t>
  </si>
  <si>
    <t>Insignia Datsun</t>
  </si>
  <si>
    <t>ok</t>
  </si>
  <si>
    <t>Plaqueta bateria 135i</t>
  </si>
  <si>
    <t>https://www.ecstuning.com/MyAccount/Orders/Order-403092070/</t>
  </si>
  <si>
    <t>UPS: 1Z404524YW93978262</t>
  </si>
  <si>
    <t>Tanque nafta</t>
  </si>
  <si>
    <t>https://order.ebay.com/ord/show?orderId=19-11287-21897#/</t>
  </si>
  <si>
    <t>UPS: 1ZAC98200333641281</t>
  </si>
  <si>
    <t>Ropa Yeezy</t>
  </si>
  <si>
    <t>https://shopify.com/27847098505/account/orders/5526575743113?locale=en-DE</t>
  </si>
  <si>
    <t>USPS: 9434611105500198468913</t>
  </si>
  <si>
    <t>Daro Gaig</t>
  </si>
  <si>
    <t>Correctores</t>
  </si>
  <si>
    <t>Fedex: 272189458443</t>
  </si>
  <si>
    <t>Espaciadores</t>
  </si>
  <si>
    <t>Fedex: 272195063090</t>
  </si>
  <si>
    <t>Patada</t>
  </si>
  <si>
    <t>https://order.ebay.com/ord/show?/ViewPaymentStatus&amp;purchaseOrderId=11-1129-691630#/</t>
  </si>
  <si>
    <t>FedEx: 728172758502</t>
  </si>
  <si>
    <t>Embrague LUK</t>
  </si>
  <si>
    <t>Fedex: 246001715289773</t>
  </si>
  <si>
    <t>Felix Scheuter</t>
  </si>
  <si>
    <t>Bomba de nafta</t>
  </si>
  <si>
    <t>https://www.ecstuning.com/Cart/Receipt-633067275/?customerID=10503308</t>
  </si>
  <si>
    <t>Fedex: 272081589187</t>
  </si>
  <si>
    <t>Inyectores</t>
  </si>
  <si>
    <t>usps: 9434611206219874347326</t>
  </si>
  <si>
    <t>Karina Mora</t>
  </si>
  <si>
    <t>iPhone</t>
  </si>
  <si>
    <t>https://secure6.store.apple.com/shop/order/guest/W1395498802/23b4434310c59cb1b9d96ec8d25b2f4406a3a2d658b0eb290cf247bce0b12cc0080e9bd62e56c1e811b7248c036d4a173c85955d9e6c66de2b35ade045484e3e83e0d1187689d3ecf5f6da673f109e85?e=true</t>
  </si>
  <si>
    <t>1Z3709310365689230</t>
  </si>
  <si>
    <t>Accesorios</t>
  </si>
  <si>
    <t>https://secure6.store.apple.com/shop/order/guest/W1352387761/7c744e1194ca9cfebe17e8459073b37c23e370430e3a584ee6e57539ab37b45b81d97181aa775becdab184eb2b3eb6bb69bdf08b96db041a77bb49b3b00f9e2296aa13a7375a0c24af5924aced192d4e?e=true</t>
  </si>
  <si>
    <t>Leandro Contigiani</t>
  </si>
  <si>
    <t>Items bmw Ebay</t>
  </si>
  <si>
    <t>TBA: ok</t>
  </si>
  <si>
    <t>Regulador Ventana</t>
  </si>
  <si>
    <t>Items via Europa Fabrica</t>
  </si>
  <si>
    <t>UPS: 1ZV267R90499896330</t>
  </si>
  <si>
    <t>Fuel system kit</t>
  </si>
  <si>
    <t>https://order.store.turbify.net/yhst-76804679891414/ymix/MetaController.html?ysco_key_store_id=yhst-76804679891414&amp;sectionId=ysco.confirm&amp;ysco_key_event_id=1&amp;ysco_key_oidc=2b1818057288197d5d44&amp;ysco_key_order_id=yhst-76804679891414-8012</t>
  </si>
  <si>
    <t>USPS: 9405511105500820883665</t>
  </si>
  <si>
    <t>Thomas Shaw</t>
  </si>
  <si>
    <t>Sensor 1</t>
  </si>
  <si>
    <t>https://www.turnermotorsport.com/p-1110-oem-vdo-camshaft-reference-sensor-m52s52/</t>
  </si>
  <si>
    <t>fedex: 74899990280720883170</t>
  </si>
  <si>
    <t>Sensor 2</t>
  </si>
  <si>
    <t>https://order.ebay.com/ord/show?orderId=17-11310-14157#/</t>
  </si>
  <si>
    <t>USPS: 9400111206217614915727</t>
  </si>
  <si>
    <t>Reloj</t>
  </si>
  <si>
    <t>https://www.amazon.com/gp/your-account/order-details/ref=ppx_yo_dt_b_order_details_o00?ie=UTF8&amp;orderID=111-2985465-1995401</t>
  </si>
  <si>
    <t>TBA312179805766</t>
  </si>
  <si>
    <t>Franco Sciarrillo</t>
  </si>
  <si>
    <t>Protectores auditivios</t>
  </si>
  <si>
    <t>TBA: TBA312213658646</t>
  </si>
  <si>
    <t>Parte MB</t>
  </si>
  <si>
    <t>Medu</t>
  </si>
  <si>
    <t>Solenoide MINI</t>
  </si>
  <si>
    <t>https://www.turnermotorsport.com/p-177058-11417647238-genuine-bmw-part/</t>
  </si>
  <si>
    <t>NAHUE</t>
  </si>
  <si>
    <t>USPS: 9400111898518425990596</t>
  </si>
  <si>
    <t>Patricio</t>
  </si>
  <si>
    <t>Plaqueta</t>
  </si>
  <si>
    <t>https://www.aliexpress.com/p/order/detail.html?spm=a2g0o.order_list.order_list_main.1.21ef1802mQ2Jx6&amp;orderId=8185677381115219</t>
  </si>
  <si>
    <t>https://global.cainiao.com/detail.htm?spm=a2d0j.7922267.0.0.60e7330cHgRzWM&amp;mailNoList=LP00637538811162</t>
  </si>
  <si>
    <t>Sensor de presion</t>
  </si>
  <si>
    <t>https://order.ebay.com/ord/show?/ViewPaymentStatus&amp;purchaseOrderId=21-1132-409423#/</t>
  </si>
  <si>
    <t>4PX3001026725554CN</t>
  </si>
  <si>
    <t>Herramienta de inyectores</t>
  </si>
  <si>
    <t>https://order.ebay.com/ord/show?orderId=25-11324-82607#/</t>
  </si>
  <si>
    <t>fedex: 61290983103625150448</t>
  </si>
  <si>
    <t>Embudo</t>
  </si>
  <si>
    <t>usps: 9400111206217633857237</t>
  </si>
  <si>
    <t>Pata de motor</t>
  </si>
  <si>
    <t>Latvia post: LS902488002LV</t>
  </si>
  <si>
    <t>Javier Capizzano</t>
  </si>
  <si>
    <t>Order Mangueras ECS 1 x4</t>
  </si>
  <si>
    <t>fedex: 272550099991</t>
  </si>
  <si>
    <t>Order Mangueras ECS 2 x1</t>
  </si>
  <si>
    <t>ups: 1Z89W74E0393818207</t>
  </si>
  <si>
    <t>Kit embragues</t>
  </si>
  <si>
    <t>https://www.puredrivetrainsolutions.com/zf-8hp-transmission-upgrades/bmw/2-series</t>
  </si>
  <si>
    <t>UPS: 1ZW4978A0399582990</t>
  </si>
  <si>
    <t>Freddy</t>
  </si>
  <si>
    <t>Filtro K&amp;N</t>
  </si>
  <si>
    <t>https://www.amazon.com/gp/your-account/order-details/ref=ppx_yo_dt_b_veo_o00_s00?ie=UTF8&amp;orderID=112-3718030-3647432</t>
  </si>
  <si>
    <t>TBA312327770282</t>
  </si>
  <si>
    <t>KIT LEVAS</t>
  </si>
  <si>
    <t>https://shopify.com/6603702362/account/orders/5985687830618?locale=en</t>
  </si>
  <si>
    <t>UPS: 1ZV647314298168768   /   1ZV647314295059060</t>
  </si>
  <si>
    <t>Pablo Alvarez</t>
  </si>
  <si>
    <t>Cadena de distribucion</t>
  </si>
  <si>
    <t>https://www.moparpartsproonline.com/account/order-details/?token=eyJ0eXAiOiJKV1QiLCJhbGciOiJIUzUxMiJ9.eyJvcmRlcl9udW1iZXIiOiI0MDg3IiwidXNlcl9lbWFpbCI6ImFycmF5ZHVkZUBnbWFpbC5jb20ifQ.s64rzs77bLcn-2ikfO09Cwv8AE7EEngrQVQX6J7gmzmyFAohMWUYdRfvxvWqlT1uXC76tJEu6NtqtH7YAUTNbg</t>
  </si>
  <si>
    <t>USPS: 9400136106059703686996</t>
  </si>
  <si>
    <t>Optica Audi TT Izquierda</t>
  </si>
  <si>
    <t>https://order.ebay.com/ord/show?/ViewPaymentStatus&amp;purchaseOrderId=06-1139-176504#/</t>
  </si>
  <si>
    <t>UPAAH000000061271496</t>
  </si>
  <si>
    <t>Nacho Fantuz</t>
  </si>
  <si>
    <t>Modulo BMW</t>
  </si>
  <si>
    <t>https://order.ebay.com/ord/show?/ViewPaymentStatus&amp;purchaseOrderId=26-1137-883211#/</t>
  </si>
  <si>
    <t>ups: 1Z9X84120397264101</t>
  </si>
  <si>
    <t>Reloj smartwtach</t>
  </si>
  <si>
    <t xml:space="preserve">TBA X2 </t>
  </si>
  <si>
    <t>Thermostato Mahle</t>
  </si>
  <si>
    <t>Latvia: RS902456693LV</t>
  </si>
  <si>
    <t>Ruleman</t>
  </si>
  <si>
    <t>https://order.ebay.com/ord/show?/ViewPaymentStatus&amp;purchaseOrderId=09-1139-753741#/</t>
  </si>
  <si>
    <t>Amazon Logistics - USA: TBA074612419904</t>
  </si>
  <si>
    <t>Manchon</t>
  </si>
  <si>
    <t>https://order.ebay.com/ord/show?orderId=23-11386-18178#/</t>
  </si>
  <si>
    <t>USPS: 9434609105464000468904</t>
  </si>
  <si>
    <t>Insignias RS</t>
  </si>
  <si>
    <t>https://order.ebay.com/ord/show?orderId=10-11398-77879#/</t>
  </si>
  <si>
    <t>USPS: LO328637025GB</t>
  </si>
  <si>
    <t>Tapita</t>
  </si>
  <si>
    <t>https://order.ebay.com/ord/show?orderId=27-11384-53641#/</t>
  </si>
  <si>
    <t>USPS: 92612903031608543475024217</t>
  </si>
  <si>
    <t>UPS: 1ZE048060329576912</t>
  </si>
  <si>
    <t>Cv Joint y Junta carter M3</t>
  </si>
  <si>
    <t>https://www.ecstuning.com/Cart/Receipt-253602947/?customerID=2679329</t>
  </si>
  <si>
    <t>FedEx: 273254996979</t>
  </si>
  <si>
    <t>Lucas Strachensko</t>
  </si>
  <si>
    <t>Cortadora Laser</t>
  </si>
  <si>
    <t>https://order.ebay.com/ord/show?orderId=17-11407-70700#/</t>
  </si>
  <si>
    <t>DHL: 6175194384</t>
  </si>
  <si>
    <t>Maquina ultrasonido</t>
  </si>
  <si>
    <t>https://www.amazon.com/gp/your-account/order-details/ref=ppx_yo_dt_b_order_details_o00?ie=UTF8&amp;orderID=112-3606222-7303432</t>
  </si>
  <si>
    <t>UPS: 1ZB370H50352279069</t>
  </si>
  <si>
    <t>https://order.ebay.com/ord/show?orderId=08-11423-20827#/</t>
  </si>
  <si>
    <t>UPS: 1ZV5214F0310923459</t>
  </si>
  <si>
    <t>Inlet</t>
  </si>
  <si>
    <t>https://order.ebay.com/ord/show?orderId=14-11418-81963#/</t>
  </si>
  <si>
    <t>SpeedPAK: ES10027105891230001010001C0N</t>
  </si>
  <si>
    <t>Sega Saturn</t>
  </si>
  <si>
    <t>https://www.aliexpress.com/p/order/detail.html?spm=a2g0o.order_list.order_list_main.1.21ef1802YEbEOa&amp;orderId=8187265410625219</t>
  </si>
  <si>
    <t>Cainiao Standard: 1ST06000528205</t>
  </si>
  <si>
    <t>Cartucho Saturn</t>
  </si>
  <si>
    <t>https://www.aliexpress.com/p/order/detail.html?spm=a2g0o.order_list.order_list_main.6.21ef1802YEbEOa&amp;orderId=8187265410645219</t>
  </si>
  <si>
    <t>AliExpress Standard Shipping: LR121621802CN</t>
  </si>
  <si>
    <t>Pastillas megane RS</t>
  </si>
  <si>
    <t>https://order.ebay.com/ord/show?/ViewPaymentStatus&amp;purchaseOrderId=05-1142-690327#/</t>
  </si>
  <si>
    <t>PBI: UPBEE0C74E9B5623F1DA</t>
  </si>
  <si>
    <t>Order number: 05-11426-90328</t>
  </si>
  <si>
    <t>Joystick</t>
  </si>
  <si>
    <t>https://order.ebay.com/ord/show?/ViewPaymentStatus&amp;purchaseOrderId=05-1143-118986#/</t>
  </si>
  <si>
    <t>USPS: 9434609105464028188341</t>
  </si>
  <si>
    <t>Covertor Parlante</t>
  </si>
  <si>
    <t>https://www.ecstuning.com/MyAccount/Orders/Invoice-693247860/?customerID=2679329</t>
  </si>
  <si>
    <t>fedex: 273334073882</t>
  </si>
  <si>
    <t>POSITIVO</t>
  </si>
  <si>
    <t>ID-aliexpress_plancha_001</t>
  </si>
  <si>
    <t>https://www.aliexpress.com/p/order/detail.html?spm=a2g0o.order_list.order_list_main.1.21ef18021v5OJ9&amp;orderId=8186758586695219</t>
  </si>
  <si>
    <t>420331669212490243712953700637</t>
  </si>
  <si>
    <t>Tapa termostato Suzuki</t>
  </si>
  <si>
    <t>https://order.ebay.com/ord/show?orderId=19-11334-60341#/</t>
  </si>
  <si>
    <t>Colizas BMW</t>
  </si>
  <si>
    <t>https://www.ecstuning.com/MyAccount/Orders/Order-806898185/</t>
  </si>
  <si>
    <t>Fedex: 273550408321</t>
  </si>
  <si>
    <t>Partes faltantes</t>
  </si>
  <si>
    <t>TBA312697041603</t>
  </si>
  <si>
    <t>BMW FEM SMART KEY (10) y MB W204 XHORSE VVDI (1)</t>
  </si>
  <si>
    <t>https://www.mk3.com/en/customer/orderdetails/MK240417169669</t>
  </si>
  <si>
    <t>UPS: 1Z7E26830409432738</t>
  </si>
  <si>
    <t>GODIAG GT100 Auto Tool</t>
  </si>
  <si>
    <t>https://order.ebay.com/ord/show?orderId=02-11460-65636#/</t>
  </si>
  <si>
    <t>USPS: 92359903402790180761471274</t>
  </si>
  <si>
    <t>GODIAG Test Plataform BMW FEM</t>
  </si>
  <si>
    <t>https://order.ebay.com/ord/show?orderId=09-11454-69891#/</t>
  </si>
  <si>
    <t>SpeedPAK: ES10027187192120001010001G0N</t>
  </si>
  <si>
    <t>Llaves Mini 433mhz</t>
  </si>
  <si>
    <t>https://www.aliexpress.com/p/order/detail.html?spm=a2g0o.order_list.order_list_main.6.65c21802YsF97u&amp;orderId=8186944480105219</t>
  </si>
  <si>
    <t>CNUSUP00000052115</t>
  </si>
  <si>
    <t>Llaves Mercedes Benz</t>
  </si>
  <si>
    <t>https://www.aliexpress.com/p/order/detail.html?spm=a2g0o.order_list.order_list_main.1.65c21802YsF97u&amp;orderId=8187753033905219</t>
  </si>
  <si>
    <t>CNG00643636558470</t>
  </si>
  <si>
    <t>ID-aliexpress_soplador_003</t>
  </si>
  <si>
    <t>https://www.aliexpress.com/p/order/detail.html?spm=a2g0o.order_list.order_list_main.1.21ef18028fryxf&amp;orderId=8187468628865219</t>
  </si>
  <si>
    <t>420331669212490362719150042854</t>
  </si>
  <si>
    <t>Motores de puerta audi</t>
  </si>
  <si>
    <t>https://www.selectaudiparts.com/account/order?token=eyJ0eXAiOiJKV1QiLCJhbGciOiJIUzUxMiJ9.eyJvcmRlcl9udW1iZXIiOiIyNDc0IiwidXNlcl9lbWFpbCI6ImFsbEB0cmliZXNoaXBwaW5nLmNvbSJ9.Gu3ARPaxeqfjD-0TbbFUe51e-qrRj5CZkj978DzZxc15ziATmlTc2XI3DFef2H4rSW1Aw--xyXmBNwMIbmP_AA</t>
  </si>
  <si>
    <t>USPS: 9434636106059937326943</t>
  </si>
  <si>
    <t>Motor lavafaro</t>
  </si>
  <si>
    <t>https://order.ebay.com/ord/show?orderId=07-11727-25377#/</t>
  </si>
  <si>
    <t>0,22</t>
  </si>
  <si>
    <t>Lietuvos Pastas: LI296424548LT</t>
  </si>
  <si>
    <t>Diego Martinez</t>
  </si>
  <si>
    <t>Air Springs</t>
  </si>
  <si>
    <t>https://www.getbmwparts.com/account/order?token=eyJ0eXAiOiJKV1QiLCJhbGciOiJIUzUxMiJ9.eyJvcmRlcl9udW1iZXIiOiI0NDE0MTcxOCIsInVzZXJfZW1haWwiOiJlbWlsaWFub0B0cmliZXNoaXBwaW5nLmNvbSJ9.xVEMPgRxGTBVI7PAHkQJ78QNK6uwEoS5iHxh96qb8uTjdR9aIaM6lzRz7PDiXD5ccTn-zhVLMtzGWbIQ_FY0EQ</t>
  </si>
  <si>
    <t>Fedex: 273769764194</t>
  </si>
  <si>
    <t>Cuñado Juanma</t>
  </si>
  <si>
    <t>Modulo</t>
  </si>
  <si>
    <t>https://order.ebay.com/ord/show?orderId=06-11475-39578#/</t>
  </si>
  <si>
    <t>SpeedPAK: ES10027243643420001010001A0N</t>
  </si>
  <si>
    <t>Federico Crespo</t>
  </si>
  <si>
    <t>Items Blowsion</t>
  </si>
  <si>
    <t>https://www.blowsion.com/sales/order/view/order_id/80422/</t>
  </si>
  <si>
    <t>FEDE</t>
  </si>
  <si>
    <t>Fedex: 274405474415</t>
  </si>
  <si>
    <t>Ropa Yeezy 2</t>
  </si>
  <si>
    <t>usps: 9261290277943504269474</t>
  </si>
  <si>
    <t>Matias de Migale</t>
  </si>
  <si>
    <t>Brazo rotula SQ5</t>
  </si>
  <si>
    <t>https://order.ebay.com/ord/show?orderId=24-11491-80072</t>
  </si>
  <si>
    <t>UPS: 1ZAC98200302109932</t>
  </si>
  <si>
    <t>https://www.ecstuning.com/MyAccount/Orders/Order-930738486/</t>
  </si>
  <si>
    <t>fedex: 74899989289340705040</t>
  </si>
  <si>
    <t>Valve Can am x3 Titanium</t>
  </si>
  <si>
    <t>https://rpmsxs.com/26985332807/orders/a28b972feae08c8a61cb87b36a488b2d</t>
  </si>
  <si>
    <t>fedex: 274012903612</t>
  </si>
  <si>
    <t>Plastico reposa items BMW</t>
  </si>
  <si>
    <t>https://www.ecstuning.com/MyAccount/Orders/Order-146159099/</t>
  </si>
  <si>
    <t>Fedex: 74899989289340709789</t>
  </si>
  <si>
    <t>Plastico Volante BMW</t>
  </si>
  <si>
    <t>https://order.ebay.com/ord/show?orderId=08-11507-67098&amp;ssPageName=STRK:MESO:VPS&amp;_trksid=p4429486.m2548.l2673#/</t>
  </si>
  <si>
    <t>LI290485209LT</t>
  </si>
  <si>
    <t>ID-hawk_aplicador_004</t>
  </si>
  <si>
    <t>https://hawkautoessentials.com/checkouts/co/228dbc6bcc2b75d9d07d4fa3212c5cd5/thank-you</t>
  </si>
  <si>
    <t>UPS: 1ZC1B491YW06351931</t>
  </si>
  <si>
    <t>ID-aliexpress_sopapacelu_005</t>
  </si>
  <si>
    <t>https://www.aliexpress.com/p/order/detail.html?spm=a2g0o.order_list.order_list_main.1.3de61802PdXdCC&amp;orderId=8188092299415219</t>
  </si>
  <si>
    <t>UUSC000001432456</t>
  </si>
  <si>
    <t>Mario Bruno</t>
  </si>
  <si>
    <t>Borcegos Tiro</t>
  </si>
  <si>
    <t>https://www.511tactical.com/trackorder/?order=20078370227&amp;email=arraydude@gmail.com&amp;utm_source=zeta&amp;utm_medium=email&amp;utm_campaign=Trigger_US_OrderConfirmation-Guest_Touch-NA_V-May2023&amp;bt_ee=eazMa7fR0Yuz7j7ZDFILNqzLjilRjHDeBYnJpelxXrvk2sM7q9sM%2FVTrJ8GjsYbn&amp;bt_ts=1714682644671</t>
  </si>
  <si>
    <t>UPS: 1ZRV90090352326733</t>
  </si>
  <si>
    <t>Inlet M2</t>
  </si>
  <si>
    <t>https://www.ecstuning.com/MyAccount/Orders/Order-723121832/</t>
  </si>
  <si>
    <t>Fedex: 274314620710</t>
  </si>
  <si>
    <t>https://order.ebay.com/ord/show?orderId=21-11525-16699#/</t>
  </si>
  <si>
    <t>USPS: 92001903523932165460778194</t>
  </si>
  <si>
    <t>Alejo Martinez</t>
  </si>
  <si>
    <t>Opticas RAM</t>
  </si>
  <si>
    <t>https://www.amazon.com/gp/your-account/order-details/ref=ppx_yo_dt_b_order_details_o01?ie=UTF8&amp;orderID=112-5708244-4420212</t>
  </si>
  <si>
    <t>Tracking ID: 274357039965</t>
  </si>
  <si>
    <t>Fogs Ram</t>
  </si>
  <si>
    <t>https://www.amazon.com/gp/your-account/order-details/ref=ppx_yo_dt_b_order_details_o00?ie=UTF8&amp;orderID=112-5995184-7122661</t>
  </si>
  <si>
    <t>Tracking ID: TBA313041703165</t>
  </si>
  <si>
    <t>Nicolas Rozansky</t>
  </si>
  <si>
    <t>Grilla M3 usada</t>
  </si>
  <si>
    <t>https://order.ebay.com/ord/show?orderId=14-11561-75709#/</t>
  </si>
  <si>
    <t>FedEx: 274696167963</t>
  </si>
  <si>
    <t>Fondo tablero M3</t>
  </si>
  <si>
    <t>https://order.ebay.com/ord/show?orderId=18-11558-19019#/</t>
  </si>
  <si>
    <t>Parcelstars: W2S05152035204</t>
  </si>
  <si>
    <t>Fogs M3 copia</t>
  </si>
  <si>
    <t>https://order.ebay.com/ord/show?orderId=21-11555-20891#/</t>
  </si>
  <si>
    <t>FedEx: 61299991044938765344</t>
  </si>
  <si>
    <t>Alejandro V6</t>
  </si>
  <si>
    <t>cuerpo Mariposa</t>
  </si>
  <si>
    <t>https://order.ebay.com/ord/show?orderId=11-11567-78254#/</t>
  </si>
  <si>
    <t>Fedex: 275282449906</t>
  </si>
  <si>
    <t>Parlantes Harman Kardon</t>
  </si>
  <si>
    <t>https://order.ebay.com/ord/show?/ViewPaymentStatus&amp;purchaseOrderId=08-1157-470425#/</t>
  </si>
  <si>
    <t>USPS: 9434609105464155847067</t>
  </si>
  <si>
    <t>Pomo Palanca m3</t>
  </si>
  <si>
    <t>https://order.ebay.com/ord/show?/ViewPaymentStatus&amp;purchaseOrderId=10-1157-691827#/</t>
  </si>
  <si>
    <t>SpeedPAK: ES10027494840210001010001D0N</t>
  </si>
  <si>
    <t>Teclas levanta vidrios</t>
  </si>
  <si>
    <t>https://order.ebay.com/ord/show?orderId=22-11563-51684#/</t>
  </si>
  <si>
    <t>USPS: 9200190289488918690447</t>
  </si>
  <si>
    <t>Bomba de nafta ECS / Orrings ECS</t>
  </si>
  <si>
    <t>Fedex: 274606740016</t>
  </si>
  <si>
    <t>Adrian Stabile</t>
  </si>
  <si>
    <t>Repuestos (chicos) honda</t>
  </si>
  <si>
    <t>https://www.hondapartsnow.com/online/order/summary?orderId=1159568&amp;orderGuid=9a3eab8c-1036-419d-8daa-c0d0514cde85</t>
  </si>
  <si>
    <t>USPS: 9400111206364498041650</t>
  </si>
  <si>
    <t>Fuelle</t>
  </si>
  <si>
    <t>https://order.ebay.com/ord/show?/ViewPaymentStatus&amp;purchaseOrderId=07-1158-413683#/</t>
  </si>
  <si>
    <t>USPS: 9434609105464162210090</t>
  </si>
  <si>
    <t>Drops Detail Jonathan</t>
  </si>
  <si>
    <t>Aplicadores silicona</t>
  </si>
  <si>
    <t>UPS: 1ZG5G9030304000382</t>
  </si>
  <si>
    <t>Fede GYM</t>
  </si>
  <si>
    <t>Espejo 235i</t>
  </si>
  <si>
    <t>https://order.ebay.com/ord/show?orderId=19-11590-29988#/</t>
  </si>
  <si>
    <t>UPS: 1ZG61H290307342697</t>
  </si>
  <si>
    <t>Fuel Pressure Sensor</t>
  </si>
  <si>
    <t>usps: 9400111898518422870341</t>
  </si>
  <si>
    <t>Difusor trasero BMW 140I</t>
  </si>
  <si>
    <t>https://order.ebay.com/ord/show?/ViewPaymentStatus&amp;purchaseOrderId=05-1160-759867#/</t>
  </si>
  <si>
    <t>PBI: UPAAH000000062962281 /ups: 1ZY839F60493867955</t>
  </si>
  <si>
    <t>Diverter GFB</t>
  </si>
  <si>
    <t>https://www.turnermotorsport.com/Cart/Receipt-903225857/?customerID=4094710</t>
  </si>
  <si>
    <t>Fedex: 74899990280720923135</t>
  </si>
  <si>
    <t>Cold fusion Mount Gopro</t>
  </si>
  <si>
    <t>https://trello.com/c/O7c6Pxn3</t>
  </si>
  <si>
    <t>TDB</t>
  </si>
  <si>
    <t>fedex: 276405142609</t>
  </si>
  <si>
    <t>Ramiro Tanque</t>
  </si>
  <si>
    <t>Bomba nissin</t>
  </si>
  <si>
    <t>https://order.ebay.com/ord/show?orderId=12-11600-09278#/</t>
  </si>
  <si>
    <t>USPS: 9405509105464181425704</t>
  </si>
  <si>
    <t>Syncros carbono k20</t>
  </si>
  <si>
    <t>https://shopify.com/50515378365/account/orders/5701478940921</t>
  </si>
  <si>
    <t>USPS: 9410811206239994004835</t>
  </si>
  <si>
    <t>ID-aliexpress_brocha_006</t>
  </si>
  <si>
    <t>https://www.aliexpress.com/p/order/detail.html?spm=a2g0o.order_list.order_list_main.1.6bfa1802SDUdjo&amp;orderId=8188840622525219</t>
  </si>
  <si>
    <t>CNUSUP00000484059</t>
  </si>
  <si>
    <t>ID-autogeek_problendbottle_007</t>
  </si>
  <si>
    <t>https://www.autogeek.net/account.php?action=view_order&amp;order_id=2122377</t>
  </si>
  <si>
    <t>UPS: 1ZG194980307206886</t>
  </si>
  <si>
    <t>Alfombra</t>
  </si>
  <si>
    <t>https://order.ebay.com/ord/show?orderId=14-11633-73280#/</t>
  </si>
  <si>
    <t>UPS: 1Z9A88250420985118</t>
  </si>
  <si>
    <t>Junta escape</t>
  </si>
  <si>
    <t>https://www.getbmwparts.com/account/order?token=eyJ0eXAiOiJKV1QiLCJhbGciOiJIUzUxMiJ9.eyJvcmRlcl9udW1iZXIiOiI0NDE0NDA2OCIsInVzZXJfZW1haWwiOiJlbWlsaWFub0B0cmliZXNoaXBwaW5nLmNvbSJ9.phNVhM1SAEFVRg1KA9BpF0WsSuZgI-0cE-NqVMQk5pDyVvq_rJ4nLwoD7ZKV-TxIKTNu40Oq2HRkHvGmE2QiJg</t>
  </si>
  <si>
    <t>Fedex: 275431446809</t>
  </si>
  <si>
    <t>Matias Fititero</t>
  </si>
  <si>
    <t>Mariposa skunk2 68mm</t>
  </si>
  <si>
    <t>https://www.amazon.com/gp/product/B000ED0NKU/ref=ppx_yo_dt_b_asin_title_o00_s00?ie=UTF8&amp;psc=1</t>
  </si>
  <si>
    <t>TBA313589029170</t>
  </si>
  <si>
    <t>Multiple admision Skunk2</t>
  </si>
  <si>
    <t>https://order.ebay.com/ord/show?/ViewPaymentStatus&amp;purchaseOrderId=03-1165-722058#/</t>
  </si>
  <si>
    <t>FedEx: 776677286756</t>
  </si>
  <si>
    <t>Nico Rosanzky</t>
  </si>
  <si>
    <t>Manija de puerta</t>
  </si>
  <si>
    <t>https://www.ecstuning.com/MyAccount/Orders/Order-667314228/</t>
  </si>
  <si>
    <t>USPS: 9400111898518422886267</t>
  </si>
  <si>
    <t>Ramiro Barrea</t>
  </si>
  <si>
    <t>Pedal Porsche</t>
  </si>
  <si>
    <t>USPS: 9434636105536181200898</t>
  </si>
  <si>
    <t>Calcos Porsche</t>
  </si>
  <si>
    <t>FedEx: 275427174484</t>
  </si>
  <si>
    <t>Items Porsche</t>
  </si>
  <si>
    <t>UPS: 1Z4E2V470397095686</t>
  </si>
  <si>
    <t>Fede Helguera</t>
  </si>
  <si>
    <t>Reel de pesca</t>
  </si>
  <si>
    <t>RN050872779JP</t>
  </si>
  <si>
    <t>Llaves jeep renegade</t>
  </si>
  <si>
    <t>https://www.aliexpress.com/p/order/detail.html?spm=a2g0o.order_list.order_list_main.1.21ef1802j1EGgF&amp;orderId=8189608458495219</t>
  </si>
  <si>
    <t>CNUSUP00000859130</t>
  </si>
  <si>
    <t>Llegaron mal, hay que devolverlas.</t>
  </si>
  <si>
    <t>Calcos SI</t>
  </si>
  <si>
    <t>https://www.hondapartsnow.com/online/order/summary?orderId=1171536&amp;orderGuid=9a3eab8c-1036-419d-8daa-c0d0514cde85</t>
  </si>
  <si>
    <t>USPS: 9405511206364498221512</t>
  </si>
  <si>
    <t>Norberto Geiler</t>
  </si>
  <si>
    <t>Caja de direccion Mercedes Benz</t>
  </si>
  <si>
    <t>https://www.midatlanticmercedes.com/account/order-details/?token=eyJ0eXAiOiJKV1QiLCJhbGciOiJIUzUxMiJ9.eyJvcmRlcl9udW1iZXIiOiI2MzAxIiwidXNlcl9lbWFpbCI6ImFycmF5ZHVkZUBnbWFpbC5jb20ifQ.V0dRH3CsfFRtYlGQhEtN8lh4LzKVpf-AeNFIcemN4Vu7WD1oey1nPR5Zl18ZsRXeq59Zui24EUKOZjrHfaXhHg</t>
  </si>
  <si>
    <t>Fedex: 275648953140</t>
  </si>
  <si>
    <t>ID-alibaba_cepillogomacolores_008</t>
  </si>
  <si>
    <t>https://biz.alibaba.com/ta/detail.htm?spm=a2700.12336162.0.0.423f65aa6yhQPC&amp;orderId=213694655001022057</t>
  </si>
  <si>
    <t>4203316692612903269821100084908374</t>
  </si>
  <si>
    <t>ID-hawk_aplicador_009</t>
  </si>
  <si>
    <t>https://hawkautoessentials.com/checkouts/cn/Z2NwLXVzLWVhc3QxOjAxSFpUNlBSR0RYQjdSSlZWSktFRzRHMUZR/thank-you</t>
  </si>
  <si>
    <t>UPS: 1ZG5G9030311418141</t>
  </si>
  <si>
    <t>ID-aliexpress_plancha_010</t>
  </si>
  <si>
    <t>https://www.aliexpress.com/p/order/detail.html?spm=a2g0o.order_list.order_list_main.1.5c2c1802H30Y73&amp;orderId=8189128598845219</t>
  </si>
  <si>
    <r>
      <rPr>
        <color rgb="FF0563C1"/>
        <u/>
      </rPr>
      <t>LP00655486744104</t>
    </r>
    <r>
      <rPr/>
      <t xml:space="preserve"> / CNUSUP00000886081</t>
    </r>
  </si>
  <si>
    <t>Llaves Porsche</t>
  </si>
  <si>
    <t>https://www.mk3.com/en/customer/orderdetails/MK240610176502</t>
  </si>
  <si>
    <t>UPS: 1Z7E26830411064640</t>
  </si>
  <si>
    <t>Placas Drone</t>
  </si>
  <si>
    <t>https://order.ebay.com/ord/show?orderId=06-11680-38207#/</t>
  </si>
  <si>
    <t>USPS: 9400111105500786837631</t>
  </si>
  <si>
    <t>Camara Drone DJI</t>
  </si>
  <si>
    <t>USPS: 9400111206239985647571</t>
  </si>
  <si>
    <t>Garra drone</t>
  </si>
  <si>
    <t>https://order.ebay.com/ord/show?orderId=20-11667-12884#/</t>
  </si>
  <si>
    <t>0,33</t>
  </si>
  <si>
    <t>SpeedPAK: ES10027816224560001010001C0D</t>
  </si>
  <si>
    <t>Repuestos honda civic</t>
  </si>
  <si>
    <t>https://henriesoem.com/commerce/orders/61e4a609-7d70-4377-b724-195abc0548c3</t>
  </si>
  <si>
    <t>USPS: 9405536105536464943444</t>
  </si>
  <si>
    <t>Cylinder Porsche</t>
  </si>
  <si>
    <t>UPS: 1ZA986K50307406339</t>
  </si>
  <si>
    <t>Camara Drone Avata</t>
  </si>
  <si>
    <t>https://order.ebay.com/ord/show?orderId=24-11684-79782#/</t>
  </si>
  <si>
    <t>USPS: 9400111206239988352076</t>
  </si>
  <si>
    <t>Helices</t>
  </si>
  <si>
    <t>https://order.ebay.com/ord/show?/ViewPaymentStatus&amp;purchaseOrderId=25-1166-983144#/</t>
  </si>
  <si>
    <t>usps: 4203316692612927005335000214822339</t>
  </si>
  <si>
    <t>Diodo</t>
  </si>
  <si>
    <t>https://order.ebay.com/ord/show?orderId=26-11668-75656#/</t>
  </si>
  <si>
    <t>usps: 4203316692612927005335000216135406</t>
  </si>
  <si>
    <t>Franco GWorks</t>
  </si>
  <si>
    <t>Camara motor</t>
  </si>
  <si>
    <t>https://order.ebay.com/ord/show?/ViewPaymentStatus&amp;purchaseOrderId=26-1167-373889#/</t>
  </si>
  <si>
    <t>USPS: 9434611202269497060984</t>
  </si>
  <si>
    <t>Inyectores Jeep</t>
  </si>
  <si>
    <t>https://www.jeeppartsoverstock.com/orderStatus.aspx?orderGUID=351C6F91-EEAE-4E17-83BC-14FB3B449A76</t>
  </si>
  <si>
    <t>USPS: 9400111105501561652104</t>
  </si>
  <si>
    <t xml:space="preserve">Ropa </t>
  </si>
  <si>
    <t>Varios DHL DONE</t>
  </si>
  <si>
    <t>Cerradura BMW</t>
  </si>
  <si>
    <t>https://order.ebay.com/ord/show?/ViewPaymentStatus&amp;purchaseOrderId=07-1171-563592#/</t>
  </si>
  <si>
    <t>UPS: 1Z3Y18820323261150</t>
  </si>
  <si>
    <t>Thermal Camera</t>
  </si>
  <si>
    <t>https://www.aliexpress.com/p/order/detail.html?orderId=8189573385855219&amp;edm_log_data=edm-order-details-v2.order-details-v2-log-link&amp;tracelog=rowan&amp;rowan_id1=pay_success_20240613_1_en_US_2024-06-21&amp;rowan_msg_id=5219818957338585$26925076394d442c9a8c69a9bb91dc64&amp;ck=in_edm_other</t>
  </si>
  <si>
    <t>CNUSUP00001400315</t>
  </si>
  <si>
    <t>Skunk2 Header V1 B series</t>
  </si>
  <si>
    <t>https://www.speedfactoryracing.net/checkouts/cn/9b23caa182e6ad7f10b29b42fcf0ddea/thank_you</t>
  </si>
  <si>
    <t>ups: 1ZR1960V4292875942</t>
  </si>
  <si>
    <t>Pedido M3</t>
  </si>
  <si>
    <t>https://www.getbmwparts.com/account/order?token=eyJ0eXAiOiJKV1QiLCJhbGciOiJIUzUxMiJ9.eyJvcmRlcl9udW1iZXIiOiI0NDE0NTcwNCIsInVzZXJfZW1haWwiOiJlbWlsaWFub0B0cmliZXNoaXBwaW5nLmNvbSJ9.buh8pjgS_XPPjm12OcvI0CPWAY_hZ6gIG0n_PbbSZcjyya9cQtCY5qeuyzPkwdpVdcgiIpF_hrB0EzyFKa6Xlw</t>
  </si>
  <si>
    <t>UPS: 1ZA80C284239600903</t>
  </si>
  <si>
    <t xml:space="preserve">Danno </t>
  </si>
  <si>
    <t>Jacket ZARA</t>
  </si>
  <si>
    <t>Done</t>
  </si>
  <si>
    <t>ID-alibaba_cepillogomacolores_011</t>
  </si>
  <si>
    <t>https://biz.alibaba.com/ta/detail.htm?spm=a2756.trade-list-buyer.0.0.279776e9khFSzG&amp;orderId=213694655001022057&amp;tracelog=from_orderlist_dropdown</t>
  </si>
  <si>
    <t>Item varios mitsu 3000gt</t>
  </si>
  <si>
    <t>ups: 1Z4T2T910102738397</t>
  </si>
  <si>
    <t>Repuesto HP</t>
  </si>
  <si>
    <t>UPS: 1ZAC98200300662883</t>
  </si>
  <si>
    <t>Mail de orden enviado por Micaela Chaves</t>
  </si>
  <si>
    <t>Sombrero piluso</t>
  </si>
  <si>
    <t>0,1</t>
  </si>
  <si>
    <t>S3B8P3M6D3</t>
  </si>
  <si>
    <t>Ropa nieve</t>
  </si>
  <si>
    <t>https://checkout.dopesnow.com/checkout/success?id=136afe1e-330e-46da-8666-618189c77222&amp;utm_source=vero&amp;utm_medium=email&amp;utm_content=control&amp;utm_campaign=ds_shipping_confirmation&amp;utm_term=Workflow&amp;vero_conv=ww6zByu8bfpQW-4Knu_Iy8q79sSTmnWdfVBebAnZbV4vbKLc48h_8RzMCSThF2mF--uC7MR5ofs8-K3QdeO4Uq5iq6lhQRFa-BxfosVVVNZu</t>
  </si>
  <si>
    <t>UPS: 1ZB8K2580326091998</t>
  </si>
  <si>
    <t>Antiparras</t>
  </si>
  <si>
    <t>https://www.zealoptics.com/US/en_US/checkout/orderConfirmation/4359a76f-87db-4c3b-bd8a-6f6caed32c73</t>
  </si>
  <si>
    <t>Fedex: 276961626378</t>
  </si>
  <si>
    <t>Tecla balizas</t>
  </si>
  <si>
    <t xml:space="preserve">El gato prompter </t>
  </si>
  <si>
    <t>TBA DONE</t>
  </si>
  <si>
    <t>Funda Samsung</t>
  </si>
  <si>
    <t>DJI Goggles Integra Power Board Module</t>
  </si>
  <si>
    <t>https://cloudcitydrones.com/checkouts/co/a478a201035310e57eb22ba31bd0c75e/thank-you</t>
  </si>
  <si>
    <t>USPS: 9400111105501431311162</t>
  </si>
  <si>
    <t xml:space="preserve">Discos </t>
  </si>
  <si>
    <t>UPS DONE</t>
  </si>
  <si>
    <t>Plastico covertor</t>
  </si>
  <si>
    <t>Obstaculo para Drone</t>
  </si>
  <si>
    <t>https://order.ebay.com/ord/show?orderId=05-11828-27170#/</t>
  </si>
  <si>
    <t>SpeedPAK: ES10028119473310001010001C0N / YANWEN: UJ553445994YP</t>
  </si>
  <si>
    <t>Flying Racing Gate Door 3pcs 500mm for RC Racing Freestyle J4J5</t>
  </si>
  <si>
    <t>https://order.ebay.com/ord/show?orderId=20-11813-17808#/</t>
  </si>
  <si>
    <t>SpeedPAK: ES10028116196010001010001E0N</t>
  </si>
  <si>
    <t>Seatbelts extenders</t>
  </si>
  <si>
    <t>fedex: 74899989289342478072</t>
  </si>
  <si>
    <t>Grilla RS4 + tapa</t>
  </si>
  <si>
    <t>https://bk-motorsport.com/checkout/order-received/52657/?key=wc_order_wLP4QLcO08feb&amp;utm_nooverride=1</t>
  </si>
  <si>
    <t>Fedex: 777503735316</t>
  </si>
  <si>
    <t>Camara</t>
  </si>
  <si>
    <t>TBA314497425281</t>
  </si>
  <si>
    <t>Odometer repair kit</t>
  </si>
  <si>
    <t>usps: 9400111898518422298152</t>
  </si>
  <si>
    <t>Sensor z4</t>
  </si>
  <si>
    <t>0,15</t>
  </si>
  <si>
    <t>Fedex 1: done, Fedex: 777562990737</t>
  </si>
  <si>
    <t>XHORSE</t>
  </si>
  <si>
    <t>https://www.xhorsetool.com/members/order_view.asp</t>
  </si>
  <si>
    <t>1Z4400564296233645 "done" / YT2420421901002198</t>
  </si>
  <si>
    <t>Link Pressure sensor</t>
  </si>
  <si>
    <t>https://titanmotorsports.com/checkouts/do/2700726a34643a04181a6e3f8e151ef0/thank-you</t>
  </si>
  <si>
    <t>UPS: 1ZV647314297629404</t>
  </si>
  <si>
    <t>Llaves Jeep renegade v2</t>
  </si>
  <si>
    <t>https://www.aliexpress.com/p/tracking/index.html?_addShare=no&amp;_login=yes&amp;tradeOrderId=8190856181645219</t>
  </si>
  <si>
    <t>CNUSUP00002498576</t>
  </si>
  <si>
    <t>TBD</t>
  </si>
  <si>
    <t>usps: 9400136208070592532031</t>
  </si>
  <si>
    <t>Kit Carbono y Distribucion S4</t>
  </si>
  <si>
    <t>https://www.ecstuning.com/Cart/Receipt-406599450/?customerID=2679329</t>
  </si>
  <si>
    <t>1Z4045240391832134 / 1Z4045240393264147 / 1Z4045240390912157</t>
  </si>
  <si>
    <t>ID-alibaba_soplador_012</t>
  </si>
  <si>
    <t>https://biz.alibaba.com/ta/detail.htm?spm=a2700.12336162.0.0.1b7365aa2ZaQUV&amp;orderId=219312386501022057</t>
  </si>
  <si>
    <t>1Z54Y6510410129278</t>
  </si>
  <si>
    <t>DJI mic</t>
  </si>
  <si>
    <t>https://www.amazon.com/gp/your-account/order-details?ie=UTF8&amp;orderID=112-5936924-1506604&amp;ref=ppx_yo2ov_dt_b_fed_order_details</t>
  </si>
  <si>
    <t>TBA315240769429</t>
  </si>
  <si>
    <t>Osmo Action</t>
  </si>
  <si>
    <t>https://www.amazon.com/gp/your-account/order-details?ie=UTF8&amp;orderID=114-2724130-3451443&amp;ref=ppx_yo2ov_dt_b_fed_order_details</t>
  </si>
  <si>
    <t>TBA315063198223</t>
  </si>
  <si>
    <t>Logo porsche</t>
  </si>
  <si>
    <t>https://vod.ebay.com/vod/FetchOrderDetails?/ViewPaymentStatus&amp;purchaseOrderId=25-1191-903402#/</t>
  </si>
  <si>
    <t>USPS: 9400109105156586208880</t>
  </si>
  <si>
    <t>Herramienta DSG</t>
  </si>
  <si>
    <t>https://vod.ebay.com/vod/FetchOrderDetails?/ViewPaymentStatus&amp;purchaseOrderId=25-1191-904652#/</t>
  </si>
  <si>
    <t>DHL: 2464845670</t>
  </si>
  <si>
    <t>Zapas New balance</t>
  </si>
  <si>
    <t>https://vod.ebay.com/vod/FetchOrderDetails?/ViewPaymentStatus&amp;purchaseOrderId=01-1194-342927#/</t>
  </si>
  <si>
    <t>https://www.ontrac.com/tracking/?number=1LSCY9R003NSWOS</t>
  </si>
  <si>
    <t>Union bindings</t>
  </si>
  <si>
    <t>https://order.ebay.com/ord/show?itemId=166765676948&amp;transactionId=2449527685006&amp;mkevt=1&amp;mkpid=0&amp;emsid=e11400.m144670.l152615&amp;mkcid=7&amp;ch=osgood&amp;euid=5402331ff2d74b1c9e6080ecb2b233c2&amp;bu=43795160990&amp;exe=0&amp;ext=0&amp;osub=-1%7E1&amp;crd=20240812201410&amp;segname=11400#/</t>
  </si>
  <si>
    <t>USPS: 9405508105465397031836</t>
  </si>
  <si>
    <t>Jose Legari</t>
  </si>
  <si>
    <t>Mitsu Outlander aro parrilla</t>
  </si>
  <si>
    <t>https://order.ebay.com/ord/show?orderId=09-11939-01169&amp;purchaseOrderId=09-1193-901168#/</t>
  </si>
  <si>
    <t>fedex: 278264753767</t>
  </si>
  <si>
    <t>Compresor DENSO 135i</t>
  </si>
  <si>
    <t>https://www.ecstuning.com/MyAccount/Orders/Order-344369709/</t>
  </si>
  <si>
    <t>fedex: 278614692047</t>
  </si>
  <si>
    <t>Hernan Franchina</t>
  </si>
  <si>
    <t>Bootmod3 G-Series B58</t>
  </si>
  <si>
    <t>https://docs.google.com/spreadsheets/d/1VbQBImy8x2lvSvLIZXygahCh0N-cBgfEJp0nCtqp9MM/edit?gid=0#gid=0</t>
  </si>
  <si>
    <t>Modulo comfort</t>
  </si>
  <si>
    <t>https://order.ebay.com/ord/show?orderId=01-11956-41944&amp;purchaseOrderId=01-1195-641943#/</t>
  </si>
  <si>
    <t>dhl:  2630553144</t>
  </si>
  <si>
    <t>Sensores bmw parking</t>
  </si>
  <si>
    <t>https://www.ecstuning.com/MyAccount/Orders/Order-982682691/</t>
  </si>
  <si>
    <t>fedex: 278932226454</t>
  </si>
  <si>
    <t>Insignias Mercedes Benz</t>
  </si>
  <si>
    <t>https://order.ebay.com/ord/show?orderId=06-11968-07764&amp;purchaseOrderId=06-1196-807763#/</t>
  </si>
  <si>
    <t>USPS: LE464235720DE</t>
  </si>
  <si>
    <t>Acrilicos optica derecho</t>
  </si>
  <si>
    <t>https://order.ebay.com/ord/show?orderId=09-11972-26594&amp;purchaseOrderId=09-1197-226593#/</t>
  </si>
  <si>
    <t>CHINA POST: LR153344059CN</t>
  </si>
  <si>
    <t>Acrilicos optica izquierdo</t>
  </si>
  <si>
    <t>https://order.ebay.com/ord/show?orderId=16-11965-26477&amp;purchaseOrderId=16-1196-526476#/</t>
  </si>
  <si>
    <t>CHINA POST: LR153344120CN</t>
  </si>
  <si>
    <t>Missing part</t>
  </si>
  <si>
    <t>ups: 1Z0486EF0198469895</t>
  </si>
  <si>
    <t>FerZilla</t>
  </si>
  <si>
    <t>DHL: 2075738372</t>
  </si>
  <si>
    <t>Programador CG Pro</t>
  </si>
  <si>
    <t>https://www.cgdiprog.com/account/order-detail</t>
  </si>
  <si>
    <t>DHL: 6086888054</t>
  </si>
  <si>
    <t>Nicolas Tarantini</t>
  </si>
  <si>
    <t>Bose items</t>
  </si>
  <si>
    <t>ups: 1Z061R620363946517</t>
  </si>
  <si>
    <t>Correa kevlar s4</t>
  </si>
  <si>
    <r>
      <rPr>
        <rFont val="Roboto, Helvetica, Arial, sans-serif"/>
        <color rgb="FF3399FF"/>
        <sz val="12.0"/>
        <u/>
      </rPr>
      <t>74899989289342760979</t>
    </r>
  </si>
  <si>
    <t>Fabricio Molinari</t>
  </si>
  <si>
    <t>Sensor Mini Cooper</t>
  </si>
  <si>
    <t>usps: 9400111206205803420312</t>
  </si>
  <si>
    <t>Kit carbono S4 tapa valvulas</t>
  </si>
  <si>
    <t>https://www.ecstuning.com/Cart/Receipt-326383333/?customerID=2679329</t>
  </si>
  <si>
    <t>UPS: 1Z404524YW91700813</t>
  </si>
  <si>
    <t>https://order.ebay.com/ord/show?orderId=27-12006-64398&amp;purchaseOrderId=27-1200-664397#/</t>
  </si>
  <si>
    <t>USPS: 9300120111411915348574</t>
  </si>
  <si>
    <t>Tool S54</t>
  </si>
  <si>
    <t>fedex: 74899989289342803089</t>
  </si>
  <si>
    <t>Repuesto ducha</t>
  </si>
  <si>
    <t>https://www.boelon.com/checkouts/do/83270610cea5c4cc3f4d72810abb28dd/thank_you</t>
  </si>
  <si>
    <t>YT2425021272063602</t>
  </si>
  <si>
    <t>Retenes y tornillos de tapas</t>
  </si>
  <si>
    <t>https://www.ecstuning.com/Cart/Receipt-201520903/?customerID=2679329</t>
  </si>
  <si>
    <t>FedEx: 61299989289342857321</t>
  </si>
  <si>
    <t>Soporte de bobinas D16</t>
  </si>
  <si>
    <t>https://vod.ebay.com/vod/FetchOrderDetails?/ViewPaymentStatus&amp;purchaseOrderId=15-1203-274143#/</t>
  </si>
  <si>
    <t>USPS: 9400108105465477464018</t>
  </si>
  <si>
    <t>Embrague CC Stage 4</t>
  </si>
  <si>
    <t>https://www.speedfactoryracing.net/checkouts/cn/29631fb44e2ff000bf78e6e0181c3d73/thank_you</t>
  </si>
  <si>
    <t>ups: 1ZE35K150308269021</t>
  </si>
  <si>
    <t>Fernando Torija</t>
  </si>
  <si>
    <t>Arrancador y Accesorios celu</t>
  </si>
  <si>
    <t xml:space="preserve">TBA315699862379 </t>
  </si>
  <si>
    <t>Accesorios 323TI</t>
  </si>
  <si>
    <t>fedex: 279874493870 / usps:9400111898518422761823</t>
  </si>
  <si>
    <t>Primer envio Amazon Cachas espejo</t>
  </si>
  <si>
    <t>TBA315799208387 / TBA315799711223</t>
  </si>
  <si>
    <t>Segundo envio Amazon</t>
  </si>
  <si>
    <t>TBA315801411147 / TBA315809712461</t>
  </si>
  <si>
    <t>Tercer envio aparte</t>
  </si>
  <si>
    <t>Cuarto Envio aparte</t>
  </si>
  <si>
    <t>Noolas Tarantini</t>
  </si>
  <si>
    <t>Radiador Touareg</t>
  </si>
  <si>
    <t>UPS:1Z7A377E0396763380</t>
  </si>
  <si>
    <t>Electro Touareg</t>
  </si>
  <si>
    <t>fedex: 778617316267</t>
  </si>
  <si>
    <t>Aleron Mercedes benz</t>
  </si>
  <si>
    <t>https://order.ebay.com/ord/show?orderId=04-12113-02586&amp;purchaseOrderId=04-1211-302585#/</t>
  </si>
  <si>
    <t>fedex: 778812110006</t>
  </si>
  <si>
    <t>Juanma Fernandez</t>
  </si>
  <si>
    <t>Pastilllas moto</t>
  </si>
  <si>
    <t>https://www.bike-parts-yam.com/panier/affiche_commande/35321475</t>
  </si>
  <si>
    <t>ups: 1Z57758V0495029939</t>
  </si>
  <si>
    <t>Burlete Opel Kadett</t>
  </si>
  <si>
    <t>https://opel-shop.com/kasse/order-received/3471626/?key=wc_order_Ezp7YWsApyBA9</t>
  </si>
  <si>
    <t>DHL: CE699427805DE</t>
  </si>
  <si>
    <t>https://www.amazon.com/dp/B00062ZXMW?ref=ppx_yo2ov_dt_b_fed_asin_title</t>
  </si>
  <si>
    <t>UPS: 1Z9310071290170207</t>
  </si>
  <si>
    <t>Intercooler SpeedFactory</t>
  </si>
  <si>
    <t>https://www.speedfactoryracing.net/checkouts/cn/2640e40ddbdcbf3ee8aac366b84c8c6a/thank_you</t>
  </si>
  <si>
    <t>ups: 1ZE35K150319525312</t>
  </si>
  <si>
    <t>Patrick Jones</t>
  </si>
  <si>
    <t>Repuestos Yamaha Moto de agua</t>
  </si>
  <si>
    <t>ups: done</t>
  </si>
  <si>
    <t>Victor WRX</t>
  </si>
  <si>
    <t>Short Shifter Perrin</t>
  </si>
  <si>
    <t>https://order.ebay.com/ord/show?orderId=21-12145-34314&amp;purchaseOrderId=21-1214-534313#/</t>
  </si>
  <si>
    <t>usps: 9405511206438847657823</t>
  </si>
  <si>
    <t xml:space="preserve">Alan Olmedo </t>
  </si>
  <si>
    <t>Difusor C400</t>
  </si>
  <si>
    <t>https://www.amazon.com/gp/your-account/order-details/ref=ppx_yo_dt_b_order_details_o01?ie=UTF8&amp;orderID=111-8674365-5720205</t>
  </si>
  <si>
    <t>Tracking ID: YT2430221211009140</t>
  </si>
  <si>
    <t>Spoiler C400</t>
  </si>
  <si>
    <t>https://www.amazon.com/gp/your-account/order-details/ref=ppx_yo_dt_b_order_details_o00?ie=UTF8&amp;orderID=111-4181676-1223456</t>
  </si>
  <si>
    <t>Tracking ID: EB826091005CN</t>
  </si>
  <si>
    <t>kit Intercooler c400 + Air Intake CTS</t>
  </si>
  <si>
    <t>https://www.ctsturbo.com/my-account/view-order/299148/</t>
  </si>
  <si>
    <t>ups: 1ZA83W70DH94378214</t>
  </si>
  <si>
    <t>Emblemas Negros C400</t>
  </si>
  <si>
    <t>https://order.ebay.com/ord/show?orderId=15-12176-06432&amp;purchaseOrderId=15-1217-606430#/</t>
  </si>
  <si>
    <t>ES10129026463360001010001B0N / 92612902410401000670471213</t>
  </si>
  <si>
    <t>Cachas espejos C400</t>
  </si>
  <si>
    <t>https://order.ebay.com/ord/show?orderId=05-12187-17512&amp;purchaseOrderId=05-1218-717511#/</t>
  </si>
  <si>
    <r>
      <rPr>
        <rFont val="&quot;Market Sans&quot;, Arial, sans-serif"/>
        <sz val="9.0"/>
      </rPr>
      <t>9405536106028138116012</t>
    </r>
  </si>
  <si>
    <t>Exhaust Tips C400</t>
  </si>
  <si>
    <t>https://www.aliexpress.com/p/order/detail.html?spm=a2g0o.order_list.order_list_main.1.6aa91802wtr5Rm&amp;orderId=8194351819615219</t>
  </si>
  <si>
    <t>USPS: 420331669212490362719154503641</t>
  </si>
  <si>
    <t>Front Grille C400</t>
  </si>
  <si>
    <t>https://order.ebay.com/ord/show?orderId=27-12163-44672&amp;purchaseOrderId=27-1216-344671#/</t>
  </si>
  <si>
    <t>DHL: 1618613113</t>
  </si>
  <si>
    <t>Xhorse 35160 Chips</t>
  </si>
  <si>
    <t>https://www.xhorsetool.com/members/order_list.asp</t>
  </si>
  <si>
    <r>
      <rPr>
        <color rgb="FF0563C1"/>
        <u/>
      </rPr>
      <t>https://t.17track.net/en#nums=YT2429021901002820</t>
    </r>
    <r>
      <rPr/>
      <t xml:space="preserve"> / 9261290278833940082463</t>
    </r>
  </si>
  <si>
    <t>ECU X5</t>
  </si>
  <si>
    <t>https://order.ebay.com/ord/show?itemId=186688757682&amp;transactionId=2587878148008&amp;mkevt=1&amp;mkpid=0&amp;emsid=e11400.m144670.l152615&amp;mkcid=7&amp;ch=osgood&amp;euid=e9a0e1d028674be4b8d7ec484b7a8aba&amp;bu=43795160990&amp;exe=0&amp;ext=0&amp;osub=-1%7E1&amp;crd=20241014074123&amp;segname=11400#/</t>
  </si>
  <si>
    <t>UPS: 1ZX24V480398365582</t>
  </si>
  <si>
    <t>Relay Honda</t>
  </si>
  <si>
    <t>https://www.hondapartsnow.com/online/order/detail?orderId=1248411&amp;orderGuid=9a3eab8c-1036-419d-8daa-c0d0514cde85</t>
  </si>
  <si>
    <t>Pablo Demian</t>
  </si>
  <si>
    <t>Aleron Porsche</t>
  </si>
  <si>
    <t>https://order.ebay.com/ord/show?orderId=27-12243-82769&amp;purchaseOrderId=27-1224-382768#/</t>
  </si>
  <si>
    <t>FedEx: 281300669268</t>
  </si>
  <si>
    <t>Brazo de suspension</t>
  </si>
  <si>
    <t>https://www.hondapartsnow.com/online/order/detail?orderId=1254038&amp;orderGuid=9a3eab8c-1036-419d-8daa-c0d0514cde85</t>
  </si>
  <si>
    <t>USPS:  9234690365076300004210 / Track 2: ????</t>
  </si>
  <si>
    <t>Nico Touareg</t>
  </si>
  <si>
    <t>Vanos Touareg</t>
  </si>
  <si>
    <t>https://order.ebay.com/ord/show?orderId=25-12271-17653&amp;purchaseOrderId=25-1227-117652#/</t>
  </si>
  <si>
    <t>fedex: 281516490777</t>
  </si>
  <si>
    <t>Items Bimmer world</t>
  </si>
  <si>
    <t>https://secure.bimmerworld.com/sbe-dev-kilimanjaro/my_account.ssp?_gl=1*1h3bpfj*_gcl_au*MjY3NTAzMDcyLjE3MzA5ODc2ODk.*_ga*NDA4ODkzNDA4LjE3MzA5ODc2ODc.*_ga_55YTMGEYTR*MTczMDk4NzY4Ny4xLjEuMTczMDk4NzkxNi41Mi4wLjA.&amp;sc=6&amp;_ga=2.102641857.1154520928.1730987689-408893408.1730987687#purchases/view/salesorder/3938410</t>
  </si>
  <si>
    <t>UPS: 1ZV668860390733904</t>
  </si>
  <si>
    <t>Items ECS</t>
  </si>
  <si>
    <t>fedex: 281469857520</t>
  </si>
  <si>
    <t>Fusilera Yamaha</t>
  </si>
  <si>
    <t>https://www.partzilla.com/order/NDcwNDk4OQ/MTEtNzQ4NDM1Mg/MTRhY2NiYjY1MTk4YzIyMQ</t>
  </si>
  <si>
    <t>9434611899561459015422</t>
  </si>
  <si>
    <t xml:space="preserve">Sensores bmw </t>
  </si>
  <si>
    <t>https://www.ecstuning.com/MyAccount/Orders/Order-654493446/</t>
  </si>
  <si>
    <t>fedex: 61299989289343316834</t>
  </si>
  <si>
    <t>Viras cromadas Passat CC</t>
  </si>
  <si>
    <t>https://vw.oempartsonline.com/account/order-details/?token=eyJ0eXAiOiJKV1QiLCJhbGciOiJIUzUxMiJ9.eyJvcmRlcl9udW1iZXIiOiIyOTU4MyIsInVzZXJfZW1haWwiOiJhbGxAdHJpYmVzaGlwcGluZy5jb20ifQ.SOl3WZj6Ufb5-EcKWvjrA9o41SkmsanajEt5yB6uU2-Ln-iaZiJweDlYFPm0cBRU4h1RHJx6waSEBJ6KRZRr5w</t>
  </si>
  <si>
    <t>UPS: 1ZA80C284221704512</t>
  </si>
  <si>
    <t>Juan Rasta</t>
  </si>
  <si>
    <t>Tambor KLR650</t>
  </si>
  <si>
    <t>https://order.ebay.com/ord/show?orderId=23-12329-90742&amp;purchaseOrderId=23-1232-990741#/</t>
  </si>
  <si>
    <t>usps: 9400111105502462534490</t>
  </si>
  <si>
    <t>Tensionador Vw</t>
  </si>
  <si>
    <t>https://order.ebay.com/ord/show?orderId=05-12353-86029&amp;purchaseOrderId=05-1235-386028#/</t>
  </si>
  <si>
    <t>ups: 1ZC8Y0700317892124</t>
  </si>
  <si>
    <t>getBMW</t>
  </si>
  <si>
    <t>https://www.getbmwparts.com/account/order?token=eyJ0eXAiOiJKV1QiLCJhbGciOiJIUzUxMiJ9.eyJvcmRlcl9udW1iZXIiOiI0NDE1NDMxMiIsInVzZXJfZW1haWwiOiJlbWlsaWFub0B0cmliZXNoaXBwaW5nLmNvbSJ9.kp9gDMINPorjYRm0Eynecgc1OA7KDPg14e9Wij46x73iRmg0G65pzEbFd5m0VdwQBCK1CSeX8w7WXuyYxh3TZQ</t>
  </si>
  <si>
    <t>ups: 1ZA80C280315122299</t>
  </si>
  <si>
    <t>Banco de prueba BMW</t>
  </si>
  <si>
    <t>https://www.mk3.com/en/customer/orderdetails/MK241125196799</t>
  </si>
  <si>
    <t>ups: 1Z7E26830441443648</t>
  </si>
  <si>
    <t>Nico Puerto Chico</t>
  </si>
  <si>
    <t>Lever Assy yamaha usado</t>
  </si>
  <si>
    <t>https://order.ebay.com/ord/show?orderId=20-12371-56004&amp;purchaseOrderId=20-1237-156003#/</t>
  </si>
  <si>
    <t>UPS: 1ZHF89650319957326</t>
  </si>
  <si>
    <t>Biela yamaha</t>
  </si>
  <si>
    <t>https://www.partzilla.com/order/NDc0MDMxNw/MTEtNzUzNzAzMg/YzZlZjdjZjQwZTUyZGEwNA</t>
  </si>
  <si>
    <t>USPS: 9434611899561434936674</t>
  </si>
  <si>
    <t>Pablo Valdez</t>
  </si>
  <si>
    <t>Ford convertible Tops and quarter panels</t>
  </si>
  <si>
    <t xml:space="preserve">fedex: 770255048447 </t>
  </si>
  <si>
    <t>Correctores civic</t>
  </si>
  <si>
    <t>https://vod.ebay.com/vod/FetchOrderDetails?/ViewPaymentStatus&amp;purchaseOrderId=27-1236-371688#/</t>
  </si>
  <si>
    <t>usps: 9405511206219509289862</t>
  </si>
  <si>
    <t>Repuestos Honda Megazip</t>
  </si>
  <si>
    <t>https://www.megazip.net/order/642336-2</t>
  </si>
  <si>
    <t>FedEx: 770696726085</t>
  </si>
  <si>
    <t>Repuestos hondaparts</t>
  </si>
  <si>
    <t>https://www.hondapartsnow.com/online/order/detail?orderId=1266867&amp;orderGuid=9a3eab8c-1036-419d-8daa-c0d0514cde85</t>
  </si>
  <si>
    <t>usps: 9200190365070300011320</t>
  </si>
  <si>
    <t>Plastico motor bmw</t>
  </si>
  <si>
    <t>https://vod.ebay.com/vod/FetchOrderDetails?/ViewPaymentStatus&amp;purchaseOrderId=12-1238-416713#/</t>
  </si>
  <si>
    <t>fedex: 770475619801</t>
  </si>
  <si>
    <t>Bulones rueda</t>
  </si>
  <si>
    <t>https://vod.ebay.com/vod/FetchOrderDetails?/ViewPaymentStatus&amp;purchaseOrderId=19-1237-632446#/</t>
  </si>
  <si>
    <t>usps: 9405508105463194758000</t>
  </si>
  <si>
    <t>Lentes burberry</t>
  </si>
  <si>
    <t>https://www.amazon.com/gp/your-account/order-details/ref=ppx_yo_dt_b_order_details_o00?ie=UTF8&amp;orderID=111-1625433-3169027</t>
  </si>
  <si>
    <t>tba: 166 done</t>
  </si>
  <si>
    <t>Hurley's pants clay</t>
  </si>
  <si>
    <t>https://order.ebay.com/ord/show?itemId=202558466029&amp;transactionId=2332486540010&amp;mkevt=1&amp;mkpid=0&amp;emsid=e11400.m144670.l152615&amp;mkcid=7&amp;ch=osgood&amp;euid=a7b1d17a1a254c098ec2bdc254f20c97&amp;bu=43795160990&amp;exe=0&amp;ext=0&amp;osub=-1%7E1&amp;crd=20241202151624&amp;segname=11400#/</t>
  </si>
  <si>
    <t>9400111105502558820261</t>
  </si>
  <si>
    <t>Hurley's pants green</t>
  </si>
  <si>
    <t>https://order.ebay.com/ord/show?itemId=405146083829&amp;transactionId=1282043001027&amp;mkevt=1&amp;mkpid=0&amp;emsid=e11400.m144671.l152967&amp;mkcid=7&amp;ch=osgood&amp;euid=7eff1eecc3e548d3a0cece175df5a109&amp;bu=43795160990&amp;exe=0&amp;ext=0&amp;osub=-1%7E1&amp;crd=20241202151813&amp;segname=11400#/</t>
  </si>
  <si>
    <t>USPS: 9400108105462223450905</t>
  </si>
  <si>
    <t>North Face</t>
  </si>
  <si>
    <t>https://thenorthface.narvar.com/thenorthfacenora/tracking/fedex?tracking_numbers=431389395343&amp;order_number=A7228589&amp;service=FG&amp;ozip=93291&amp;dzip=33166&amp;order_date=20241202T17:12-0500&amp;ship_date=20241203&amp;utm_source=sfmc&amp;utm_medium=email&amp;utm_campaign=PROD_TNF_1.0_1.5_Order_Shipment_US_CA+_V2.0&amp;utm_content=%%%3dRedirectTo(%40tracking_URL)%3d%%&amp;sid=226379468&amp;email=YWxsQHRyaWJlc2hpcHBpbmcuY29t&amp;j=163107&amp;sfmc_sub=226379468&amp;l=16_HTML&amp;u=6477910&amp;mid=514007132&amp;jb=63373</t>
  </si>
  <si>
    <t>Fedex: 431389395343</t>
  </si>
  <si>
    <t>Front Window regulator</t>
  </si>
  <si>
    <t>usps: 9434608105463197351757</t>
  </si>
  <si>
    <t>Plastico sea doo reverse</t>
  </si>
  <si>
    <t>https://order.ebay.com/ord/show?orderId=10-12473-19539&amp;purchaseOrderId=10-1247-319538#/</t>
  </si>
  <si>
    <t>usps: 9400111105502365160253</t>
  </si>
  <si>
    <t>https://order.ebay.com/ord/show?orderId=12-12471-28290&amp;purchaseOrderId=12-1247-128289#/</t>
  </si>
  <si>
    <t>https://www.yuntrack.com/parcelTracking?id=YT2435821266013293</t>
  </si>
  <si>
    <t>Defrost button Hondita</t>
  </si>
  <si>
    <t>https://order.ebay.com/ord/show?orderId=11-12474-25453&amp;purchaseOrderId=11-1247-425452#/</t>
  </si>
  <si>
    <t>usps: 9400136208070350922951</t>
  </si>
  <si>
    <t>Plasticos consola</t>
  </si>
  <si>
    <t>https://order.ebay.com/ord/show?orderId=14-12473-13762&amp;purchaseOrderId=14-1247-313761#/</t>
  </si>
  <si>
    <t>USPS: 9400136208070349167561</t>
  </si>
  <si>
    <t>Alfombras</t>
  </si>
  <si>
    <t>https://order.ebay.com/ord/show?orderId=06-12482-51284&amp;purchaseOrderId=06-1248-251283#/</t>
  </si>
  <si>
    <t>fedex:         770931892399</t>
  </si>
  <si>
    <t>Boost Control</t>
  </si>
  <si>
    <t>https://www.amazon.com/gp/your-account/order-details/ref=ppx_yo_dt_b_order_details_o00?ie=UTF8&amp;orderID=112-2817091-6854610</t>
  </si>
  <si>
    <t>TBA318494517948</t>
  </si>
  <si>
    <t>Meter Unit</t>
  </si>
  <si>
    <t>https://www.megazip.net/order/642336-5</t>
  </si>
  <si>
    <t>Fedex: 771410760730</t>
  </si>
  <si>
    <t>Correctores Civic EK</t>
  </si>
  <si>
    <t>https://order.ebay.com/ord/show?orderId=27-12526-33437&amp;purchaseOrderId=27-1252-633436#/</t>
  </si>
  <si>
    <t>USPS: 9434608105463322744720</t>
  </si>
  <si>
    <t xml:space="preserve">Genuine Pins </t>
  </si>
  <si>
    <t>USPS: 9400111899560434211284</t>
  </si>
  <si>
    <t>Sensor de velocidad</t>
  </si>
  <si>
    <t>https://order.ebay.com/ord/show?orderId=09-12546-60656&amp;purchaseOrderId=09-1254-660655#/</t>
  </si>
  <si>
    <t>USPS: LK229283290AU</t>
  </si>
  <si>
    <t>Cables de freno de mano</t>
  </si>
  <si>
    <t>https://order.ebay.com/ord/show?orderId=06-12550-33811&amp;purchaseOrderId=06-1255-033810#/</t>
  </si>
  <si>
    <t>DHL Express Germany: 8300852744</t>
  </si>
  <si>
    <t>Llanta M2 trasera Frozen Gold</t>
  </si>
  <si>
    <t>https://www.getbmwparts.com/account/order?token=eyJ0eXAiOiJKV1QiLCJhbGciOiJIUzUxMiJ9.eyJvcmRlcl9udW1iZXIiOiI0NDE1Nzg0MCIsInVzZXJfZW1haWwiOiJlbWlsaWFub0B0cmliZXNoaXBwaW5nLmNvbSJ9.ZssLC2z58ItM06u_Ds-C39U9_-5sSJENO1wdqo7d-dOLfV5tLmKrCCwsp9mMB9d27ReVRTyzdwZuToiW9zWIaw</t>
  </si>
  <si>
    <t>ups: 1ZA80C284221040364</t>
  </si>
  <si>
    <t>Bobinas Delphi</t>
  </si>
  <si>
    <t>https://vod.ebay.com/vod/FetchOrderDetails?/ViewPaymentStatus&amp;purchaseOrderId=27-1256-004706#/</t>
  </si>
  <si>
    <t>FedEx: 61290988121423451234</t>
  </si>
  <si>
    <t>Reemplazo del plastico consola porque vino roto</t>
  </si>
  <si>
    <t>9400136208070385382072</t>
  </si>
  <si>
    <t>Moldura paragolpes M3</t>
  </si>
  <si>
    <t>https://www.turnermotorsport.com/Cart/Receipt-546505508/?customerID=4094710</t>
  </si>
  <si>
    <t>UPS: 1Z9RR824YW95410858</t>
  </si>
  <si>
    <t>Waterboss</t>
  </si>
  <si>
    <t>https://waterestore.com/checkouts/cn/4422ab3590235e33998880113d29e5e7/thank_you</t>
  </si>
  <si>
    <t>UPS: 1Z6559X46886463132</t>
  </si>
  <si>
    <t>Front Lip M3</t>
  </si>
  <si>
    <t>https://order.ebay.com/ord/show?orderId=23-12600-40592&amp;purchaseOrderId=23-1260-040591#/</t>
  </si>
  <si>
    <t>FedEx: 771632581549</t>
  </si>
  <si>
    <t>Juan Cruz Seta</t>
  </si>
  <si>
    <t>Plasticos raptor</t>
  </si>
  <si>
    <t>https://order.ebay.com/ord/show?orderId=19-12611-80272&amp;purchaseOrderId=19-1261-180271#/</t>
  </si>
  <si>
    <t>UPS: 1ZG2C2740302606450</t>
  </si>
  <si>
    <t>Chun Puerto Chico</t>
  </si>
  <si>
    <t>Sea doo Parts</t>
  </si>
  <si>
    <t>ups: 1Z1YF7200341038339</t>
  </si>
  <si>
    <t>Metal Tie down</t>
  </si>
  <si>
    <t>https://www.amazon.com/gp/your-account/order-details?ie=UTF8&amp;orderID=112-2357245-7829036&amp;ref=ppx_yo2ov_dt_b_fed_order_details</t>
  </si>
  <si>
    <t>USPS: 9234690378353500185111</t>
  </si>
  <si>
    <t>Cargo Tie down</t>
  </si>
  <si>
    <t>https://www.amazon.com/gp/your-account/order-details?ie=UTF8&amp;orderID=112-6782762-0523454&amp;ref=ppx_yo2ov_dt_b_fed_order_details</t>
  </si>
  <si>
    <t>TBA319063078349</t>
  </si>
  <si>
    <t>Solenoide VANOS</t>
  </si>
  <si>
    <t>https://www.ecstuning.com/MyAccount/Orders/Order-853303004/</t>
  </si>
  <si>
    <t>usps: 9400111898518422901991</t>
  </si>
  <si>
    <t>Nuevo Front Lip m3 (anterior equivocado)</t>
  </si>
  <si>
    <t>FedEx 771905447729</t>
  </si>
  <si>
    <t>Radium Fuel Kit</t>
  </si>
  <si>
    <t>https://www.paypal.com/invoice/payerView/details/INV2-QD4L-6VYK-XQPE-A8SJ?locale.x=en_US&amp;v=1&amp;utm_source=unp&amp;utm_medium=email&amp;utm_campaign=RT000238&amp;utm_unptid=09db2a02-e7cb-11ef-8de7-5babe8a82aa8&amp;ppid=RT000238&amp;cnac=US&amp;rsta=en_US%28en-US%29&amp;unptid=09db2a02-e7cb-11ef-8de7-5babe8a82aa8&amp;calc=f36025759d4a7&amp;unp_tpcid=invoice-buyer-notification&amp;page=main%3Aemail%3ART000238&amp;pgrp=main%3Aemail&amp;e=cl&amp;mchn=em&amp;s=ci&amp;mail=sys&amp;appVersion=1.304.0&amp;tenant_name=&amp;xt=145585%2C134644%2C150948%2C104038&amp;link_ref=details_inv2-qd4l-6vyk-xqpe-a8sj</t>
  </si>
  <si>
    <t>Fedex:  404893675905</t>
  </si>
  <si>
    <t>Autometer falopa</t>
  </si>
  <si>
    <t>https://order.ebay.com/ord/show?itemId=235946761155&amp;transactionId=2225329839013&amp;mkevt=1&amp;mkpid=0&amp;emsid=e11400.m144670.l152615&amp;mkcid=7&amp;ch=osgood&amp;euid=8280472fc9f246b683fea0927fa108b9&amp;bu=43795160990&amp;osub=-1%7E1&amp;crd=20250211094438&amp;segname=11400#/</t>
  </si>
  <si>
    <t>fedex: 61299998825450666950</t>
  </si>
  <si>
    <t>Vargas Inserts</t>
  </si>
  <si>
    <t>usps: 9405511105503470617208</t>
  </si>
  <si>
    <t>https://order.ebay.com/ord/show?orderId=11-12720-40200&amp;ssPageName=STRK:MESO:VPS&amp;_trksid=p4429486.m2548.l2673#/</t>
  </si>
  <si>
    <t>usps: 9434608105462487812183</t>
  </si>
  <si>
    <t>Placa drone</t>
  </si>
  <si>
    <t>https://cloudcitydrones.com/checkouts/cn/Z2NwLXVzLWVhc3QxOjAxSk1DU1JYQTRRWE5ESFoyMEhYNVo5QkpZ/thank-you</t>
  </si>
  <si>
    <t>usps: 9400111105503523539485</t>
  </si>
  <si>
    <t>Portamaza</t>
  </si>
  <si>
    <t>ups: 1ZA80C284206682539</t>
  </si>
  <si>
    <t>Pins Honda</t>
  </si>
  <si>
    <r>
      <rPr>
        <rFont val="Calibri"/>
        <color theme="1"/>
        <sz val="11.0"/>
      </rPr>
      <t>usps</t>
    </r>
    <r>
      <rPr>
        <rFont val="Calibri"/>
        <color theme="1"/>
        <sz val="12.0"/>
      </rPr>
      <t>: 9200190365070300022487</t>
    </r>
  </si>
  <si>
    <t>Amortiguadores MB</t>
  </si>
  <si>
    <t>https://www.amazon.com/gp/your-account/order-details?ie=UTF8&amp;orderID=111-0221339-8329832&amp;ref=ppx_yo2ov_dt_b_fed_order_details</t>
  </si>
  <si>
    <t>TBA319829827139</t>
  </si>
  <si>
    <t>Fog Lights</t>
  </si>
  <si>
    <t>https://www.amazon.com/gp/your-account/order-details?ie=UTF8&amp;orderID=111-7895568-5466609&amp;ref=ppx_yo2ov_dt_b_fed_order_details</t>
  </si>
  <si>
    <t>ups: 1Z89W74E0392213906</t>
  </si>
  <si>
    <t>Javo Win</t>
  </si>
  <si>
    <t>AC compresor</t>
  </si>
  <si>
    <t>https://www.ecstuning.com/MyAccount/Orders/Order-518537162/</t>
  </si>
  <si>
    <t>fedex: 286156990385</t>
  </si>
  <si>
    <t>Franco Migale</t>
  </si>
  <si>
    <t>Parts</t>
  </si>
  <si>
    <t>Inyectores S4</t>
  </si>
  <si>
    <t>https://www.ecstuning.com/MyAccount/Orders/Order-098193040/</t>
  </si>
  <si>
    <t>USPS: 9400111898518429000161</t>
  </si>
  <si>
    <t>Juntas y caño de agua S4</t>
  </si>
  <si>
    <t>https://www.audiusaparts.com/account/order-details/?token=eyJ0eXAiOiJKV1QiLCJhbGciOiJIUzUxMiJ9.eyJvcmRlcl9udW1iZXIiOiIxNzMyNjYiLCJ1c2VyX2VtYWlsIjoiYWxsQHRyaWJlc2hpcHBpbmcuY29tIn0.5PvE9ZDLWhQru-ujtc7kGIOKVja-VhRwDF-GaJV0ta_6-c_r_JEWLoVUIDo0Xab0_7PSsdUbqJRgVv-hWfYh5Q</t>
  </si>
  <si>
    <t xml:space="preserve"> ups:1ZTT91960328270210 </t>
  </si>
  <si>
    <t>Filtros de agua</t>
  </si>
  <si>
    <t>https://aquabliss.com/checkouts/cn/c99b75c5b8a55d9fdfc52c4a07ce1c9f/thank_you</t>
  </si>
  <si>
    <t>UPS: 1Z5F13W20334824192</t>
  </si>
  <si>
    <t>Juli Lerda</t>
  </si>
  <si>
    <t>M2 big turbo titan package</t>
  </si>
  <si>
    <t>https://titanmotorsports.com/checkouts/do/72d1f58db3fe442a4aecf04c70dc3e76/thank-you</t>
  </si>
  <si>
    <t>UPS: POR 6 TRACKS YA ENVIADOS</t>
  </si>
  <si>
    <t>COBRADO , ENTREGADO, FALTA UNLOCK</t>
  </si>
  <si>
    <t>Hub and Bearing m2</t>
  </si>
  <si>
    <t>https://www.getbmwparts.com/account/order?token=eyJ0eXAiOiJKV1QiLCJhbGciOiJIUzUxMiJ9.eyJvcmRlcl9udW1iZXIiOiI0NDE2MTExNyIsInVzZXJfZW1haWwiOiJlbWlsaWFub0B0cmliZXNoaXBwaW5nLmNvbSJ9.2NsTcHVIsKJw9KNCDz0fOL9QZPzex3TZ5YITIGUf9D7uxCOh5PBdKlbpNykrtB574uCZ6xXFtw9qKRvjqRnEZA</t>
  </si>
  <si>
    <t>UPS: 1ZA80C280217916662</t>
  </si>
  <si>
    <t>Agustin Pons</t>
  </si>
  <si>
    <t>Accesorio Carbono</t>
  </si>
  <si>
    <t>https://vod.ebay.com/vod/FetchOrderDetails?/ViewPaymentStatus&amp;purchaseOrderId=25-1280-635109#/</t>
  </si>
  <si>
    <t>ups: 1Z7V26950320915920</t>
  </si>
  <si>
    <t>Modulo VW</t>
  </si>
  <si>
    <t>https://vod.ebay.com/vod/FetchOrderDetails?/ViewPaymentStatus&amp;purchaseOrderId=11-1282-324959#/</t>
  </si>
  <si>
    <t>USPS: 9405508105462574060887</t>
  </si>
  <si>
    <t>Manuel Vazquez</t>
  </si>
  <si>
    <t>Unlock B58 Femto</t>
  </si>
  <si>
    <t>Manuel Vazquez - Repro G Series - WIP</t>
  </si>
  <si>
    <t>dhl 9809502721</t>
  </si>
  <si>
    <t>Ducto de admision BMW</t>
  </si>
  <si>
    <t>https://order.ebay.com/ord/show?orderId=03-12940-12984&amp;purchaseOrderId=03-1294-012983#/</t>
  </si>
  <si>
    <t>fedex: 880427116638</t>
  </si>
  <si>
    <t>Plastico  guardaplas BMW</t>
  </si>
  <si>
    <t>https://order.ebay.com/ord/show?orderId=25-12913-08961&amp;purchaseOrderId=25-1291-308960#/</t>
  </si>
  <si>
    <t>Depresora Pierburg</t>
  </si>
  <si>
    <t>https://order.ebay.com/ord/show?orderId=13-12937-99563&amp;ssPageName=STRK:MESO:VPS&amp;_trksid=p4429486.m2548.l2673#/</t>
  </si>
  <si>
    <t>UPS: 1Z92X1W06794461824</t>
  </si>
  <si>
    <t>Clamps</t>
  </si>
  <si>
    <t>https://order.ebay.com/ord/show?orderId=13-12943-61357&amp;purchaseOrderId=13-1294-361355#/</t>
  </si>
  <si>
    <t>UPS: 1ZJ654980338372532</t>
  </si>
  <si>
    <t>Speedfactory</t>
  </si>
  <si>
    <t>https://www.speedfactoryracing.net/40153088154/orders/8424b04398e2ef83dcb221541bed75e6</t>
  </si>
  <si>
    <t>UPS: 1ZE35K150338491233 /  1Z4725230396780146</t>
  </si>
  <si>
    <t>Brian Crower</t>
  </si>
  <si>
    <t>https://shopify.com/5436693/account/orders/0534d7b49e58c1bb3017bbbb2f66afb4</t>
  </si>
  <si>
    <t>UPS 1Z9YX3090242614622</t>
  </si>
  <si>
    <t>Supertech</t>
  </si>
  <si>
    <t>https://shopify.com/50515378365/account/orders/77e22269bcf68eda45683d3fac5c9b03</t>
  </si>
  <si>
    <t>ups 1Z0AX5770314790902</t>
  </si>
  <si>
    <t>Microtronik ( mk3 )</t>
  </si>
  <si>
    <t>https://www.mk3.com/en/customer/orderdetails/MK250425214369</t>
  </si>
  <si>
    <t>UPS 1Z7E26830440542515</t>
  </si>
  <si>
    <t>Partes varias</t>
  </si>
  <si>
    <t>UPS: 1Z4773980358459899</t>
  </si>
  <si>
    <t>Partes Varias 2</t>
  </si>
  <si>
    <t>https://tools.usps.com/go/TrackConfirmAction_input?qtc_tLabels1=420331669334610597204248741230</t>
  </si>
  <si>
    <t>Pull straps M3</t>
  </si>
  <si>
    <t>https://www.hardmotorsport.com/login.php?from=account.php%3Faction%3Dorder_status</t>
  </si>
  <si>
    <t>Fedex:288583087510</t>
  </si>
  <si>
    <t>Anti retorno</t>
  </si>
  <si>
    <t>https://www.amazon.com/gp/your-account/order-details?ie=UTF8&amp;orderID=114-7693019-8773030&amp;ref=ppx_yo2ov_dt_b_fed_order_details</t>
  </si>
  <si>
    <t>Fedex: 881075411583</t>
  </si>
  <si>
    <t>Patines de freno</t>
  </si>
  <si>
    <t>https://order.ebay.com/ord/show?orderId=09-13057-98188&amp;purchaseOrderId=09-1305-798187#/</t>
  </si>
  <si>
    <t>USPS: 9400150206217014831336</t>
  </si>
  <si>
    <t>Calcos para llantas volk</t>
  </si>
  <si>
    <t>https://order.ebay.com/ord/show?orderId=02-13113-06022&amp;purchaseOrderId=02-1311-306021#/</t>
  </si>
  <si>
    <t>standar delivery: ESUS261313359</t>
  </si>
  <si>
    <t>https://order.ebay.com/ord/show?orderId=04-13111-53541&amp;purchaseOrderId=04-1311-153539#/</t>
  </si>
  <si>
    <t>ups: 1ZV07C210324734925</t>
  </si>
  <si>
    <t>Carburadores bmw</t>
  </si>
  <si>
    <t>https://order.ebay.com/ord/show?itemId=226537657469&amp;transactionId=10072781985812&amp;mkevt=1&amp;mkpid=0&amp;emsid=e11400.m144670.l152615&amp;mkcid=7&amp;ch=osgood&amp;euid=d5b76ca0fd9a4cce8defa9576c5d7f24&amp;bu=43795160990&amp;osub=-1%7E1&amp;crd=20250527131212&amp;segname=11400#/</t>
  </si>
  <si>
    <t>usps: 9405508105462900615262</t>
  </si>
  <si>
    <t>Cooling kit &amp; Eventuri</t>
  </si>
  <si>
    <t>https://shopify.com/6603702362/account/orders/d814086d79131a9934780959697584c4</t>
  </si>
  <si>
    <t>ups: 1ZV647314297712555</t>
  </si>
  <si>
    <t>Javier Oller</t>
  </si>
  <si>
    <t>airsprouse</t>
  </si>
  <si>
    <t>https://www.aircraftspruce.com/</t>
  </si>
  <si>
    <t>UPS: 1z3863910341413927</t>
  </si>
  <si>
    <t>Intake Burger N55</t>
  </si>
  <si>
    <t>https://www.ecstuning.com/Cart/Receipt-282970124/?customerID=2679329</t>
  </si>
  <si>
    <t>fedex:289621553252</t>
  </si>
  <si>
    <t>Adrian CB750</t>
  </si>
  <si>
    <t>Multiple escape</t>
  </si>
  <si>
    <t>https://vod.ebay.com/vod/FetchOrderDetails?/ViewPaymentStatus&amp;purchaseOrderId=15-1318-805936#/</t>
  </si>
  <si>
    <t>UPS: 1Z84E1X00393169419</t>
  </si>
  <si>
    <t>Carburadores Mikuni</t>
  </si>
  <si>
    <t>https://order.ebay.com/ord/show?orderId=20-13235-83103&amp;purchaseOrderId=20-1323-583102#/</t>
  </si>
  <si>
    <t>UPS: 1Z3A2W276725042649</t>
  </si>
  <si>
    <t>Cables acelerador Carburadores</t>
  </si>
  <si>
    <t>https://vod.ebay.com/vod/FetchOrderDetails?/ViewPaymentStatus&amp;purchaseOrderId=15-1324-231965#/</t>
  </si>
  <si>
    <t xml:space="preserve">Balljoint </t>
  </si>
  <si>
    <t>https://www.ecstuning.com/Cart/Receipt-052023482/?customerID=2679329</t>
  </si>
  <si>
    <t>fedex: 61299989289344981017 / ups:1Z4045241392192458</t>
  </si>
  <si>
    <t>Pomo passat vr6</t>
  </si>
  <si>
    <t>done</t>
  </si>
  <si>
    <t>Cup holder</t>
  </si>
  <si>
    <t>https://order.ebay.com/ord/show?itemId=195908986310&amp;transactionId=10072977347005&amp;mkevt=1&amp;mkpid=0&amp;emsid=e11400.m144670.l152615&amp;mkcid=7&amp;ch=osgood&amp;euid=a6d1570a45b4494baebe132a76e93f44&amp;bu=43795160990&amp;exe=0&amp;ext=0&amp;osub=-1%7E1&amp;crd=20250619065048&amp;segname=11400#/</t>
  </si>
  <si>
    <t>https://tools.usps.com/go/TrackConfirmAction?qtc_tLabels1=LK244328002AU</t>
  </si>
  <si>
    <t>Modulo toyota</t>
  </si>
  <si>
    <t>ups:1Z9806RE0419228734</t>
  </si>
  <si>
    <t>Relay bmw</t>
  </si>
  <si>
    <t>https://www.ecstuning.com/Cart/Receipt-831832709/?customerID=2679329</t>
  </si>
  <si>
    <t>usps: 9400150899563025576068</t>
  </si>
  <si>
    <t>Speedfactory - Skunk2 - Engranajes de leva B16</t>
  </si>
  <si>
    <t>https://www.speedfactoryracing.net/40153088154/orders/f3e494b3b05ea63f588186bcc9fc3a85</t>
  </si>
  <si>
    <t>ups: 1ZR1960V0398093948</t>
  </si>
  <si>
    <t>Amazon - Skunk2 - Levas Tuner 2 B16</t>
  </si>
  <si>
    <t>https://www.amazon.com/gp/your-account/order-details?ie=UTF8&amp;orderID=114-4310417-3078629&amp;ref_=pe_125775000_1044873430_p_btn_fed_veo</t>
  </si>
  <si>
    <t>REFUNDED</t>
  </si>
  <si>
    <t>ECU VW</t>
  </si>
  <si>
    <t>https://order.ebay.com/ord/show?orderId=24-13249-32004&amp;ssPageName=STRK:MESO:VPS&amp;_trksid=p4429486.m2548.l2673#/</t>
  </si>
  <si>
    <t>USPS: 9405508106245003565073</t>
  </si>
  <si>
    <t>Modulo transfer case</t>
  </si>
  <si>
    <t>https://order.ebay.com/ord/show?orderId=23-13235-93684&amp;purchaseOrderId=23-1323-593683#/</t>
  </si>
  <si>
    <t>USPS: 9434636208303307569766</t>
  </si>
  <si>
    <t>Modulo transfer case X6</t>
  </si>
  <si>
    <t>https://order.ebay.com/ord/show?orderId=06-13260-82794&amp;purchaseOrderId=06-1326-082793#/</t>
  </si>
  <si>
    <t>USPS: 9434608106245010625431</t>
  </si>
  <si>
    <t>Transfer shift toyota</t>
  </si>
  <si>
    <t>https://order.ebay.com/ord/show?orderId=20-13231-41478&amp;ssPageName=STRK:MESO:VPS&amp;_trksid=p4429486.m2548.l2673#/</t>
  </si>
  <si>
    <t>FedEx: 390546791039</t>
  </si>
  <si>
    <t>ECU repuesto BMWNICS</t>
  </si>
  <si>
    <t>UPS:1ZV07C210306676853</t>
  </si>
  <si>
    <t>Levas skunk - pedido 2</t>
  </si>
  <si>
    <t>Amazon: TBA322820109005</t>
  </si>
  <si>
    <t>Camaras bici</t>
  </si>
  <si>
    <t>USPS: 9400150899562025167092</t>
  </si>
  <si>
    <t>Aros Spank</t>
  </si>
  <si>
    <t>Fedex Tracking ID: 464418509028</t>
  </si>
  <si>
    <t>Cubiertas Schwalbe</t>
  </si>
  <si>
    <t>https://www.amazon.com/gp/your-account/order-details?ie=UTF8&amp;orderID=112-3743275-7808236&amp;ref=ppx_yo2ov_dt_b_fed_order_details</t>
  </si>
  <si>
    <t>TBA322839363831 / TBA322841905503</t>
  </si>
  <si>
    <t>Puños bici</t>
  </si>
  <si>
    <t>https://www.amazon.com/gp/your-account/order-details?ie=UTF8&amp;orderID=112-3251068-0969052&amp;ref=ppx_yo2ov_dt_b_fed_order_details</t>
  </si>
  <si>
    <t>FedEx Tracking ID: 390878590762</t>
  </si>
  <si>
    <t>Manubrio Spank</t>
  </si>
  <si>
    <t>https://www.amazon.com/gp/your-account/order-details?orderID=112-2819234-7374627&amp;ref=ppx_pt2_dt_b_view_detail</t>
  </si>
  <si>
    <t>Lector ECU Reveltronics</t>
  </si>
  <si>
    <t>https://www.reveltronics.com/index.php?option=com_virtuemart&amp;view=vmplg&amp;task=pluginresponsereceived&amp;on=N6TE03946&amp;pm=7&amp;Itemid=569&amp;lang=en-GB&amp;PayerID=4JFB9WGZWMDB4</t>
  </si>
  <si>
    <t>fedex: 390910407096</t>
  </si>
  <si>
    <t>Flywheel tool</t>
  </si>
  <si>
    <t>https://www.ecstuning.com/Cart/Receipt-202667107/?customerID=2679329</t>
  </si>
  <si>
    <t>fedex: 61299989289345755853</t>
  </si>
  <si>
    <t>Valve stems</t>
  </si>
  <si>
    <t>TBA322777901825</t>
  </si>
  <si>
    <t>Filtros de aire</t>
  </si>
  <si>
    <t>https://vod.ebay.com/vod/FetchOrderDetails?/ViewPaymentStatus&amp;purchaseOrderId=05-1333-768876#/</t>
  </si>
  <si>
    <t>USPS: CH164548676AU</t>
  </si>
  <si>
    <t>Nacho Depaoli</t>
  </si>
  <si>
    <t>Tapa de cilindros</t>
  </si>
  <si>
    <t>https://www.ecstuning.com/Cart/Receipt-048703738/?customerID=2679329</t>
  </si>
  <si>
    <t>ups: 1Z4045240393985243</t>
  </si>
  <si>
    <t>Espaciadores x4 y bulones Bimecc 12mm/15mm</t>
  </si>
  <si>
    <t>https://autoid.co/checkouts/cn/hWN0t4ZlaAU5vuzZjlexmzZe/thank-you</t>
  </si>
  <si>
    <t>UPS: 1Z80R1W10491973582</t>
  </si>
  <si>
    <t>(N52) Embrague kit</t>
  </si>
  <si>
    <t>https://order.ebay.com/ord/show?orderId=19-13349-31035&amp;purchaseOrderId=19-1334-931034#/</t>
  </si>
  <si>
    <t>USPS: 9434650105501023725880</t>
  </si>
  <si>
    <t>Shadow protec</t>
  </si>
  <si>
    <t>https://us.sourcebmx.com/22283288640/orders/59bd1500eee1d8ae06b6584229ac5744</t>
  </si>
  <si>
    <t>UPS: 1Z441YF9YW35988055</t>
  </si>
  <si>
    <t>Amazon Workspace</t>
  </si>
  <si>
    <t>https://www.amazon.com/gp/your-account/order-details?orderID=114-6921067-9942615&amp;ref=ppx_pt2_dt_b_change_detail</t>
  </si>
  <si>
    <t>UPS: 1Z23X3F00309809790</t>
  </si>
  <si>
    <t>Modulo de voltaje</t>
  </si>
  <si>
    <t>https://order.ebay.com/ord/show?orderId=09-13396-85257&amp;purchaseOrderId=09-1339-685256#/</t>
  </si>
  <si>
    <t>USPS: 9200190381599936782193</t>
  </si>
  <si>
    <t>FTP Turbo inlet S58</t>
  </si>
  <si>
    <t>https://www.amazon.com/gp/your-account/order-details?ie=UTF8&amp;orderID=112-2692186-3492244&amp;ref=ppx_yo2ov_dt_b_fed_order_details</t>
  </si>
  <si>
    <t>DHL: 5838984034</t>
  </si>
  <si>
    <t>Actuador</t>
  </si>
  <si>
    <t>https://order.ebay.com/ord/show?orderId=10-13411-15710&amp;purchaseOrderId=10-1341-115709#/</t>
  </si>
  <si>
    <t>USPS: 9405550206240003531095</t>
  </si>
  <si>
    <t>Blowsion items</t>
  </si>
  <si>
    <t>https://blowsion.com/checkouts/do/3712746af13869a5f535b52fce875b0f/thank-you</t>
  </si>
  <si>
    <t>ups: 1ZJ7138D0313775878</t>
  </si>
  <si>
    <t>CTS Downpipe (hno)</t>
  </si>
  <si>
    <t>https://shopify.com/6603702362/account/orders/a6a82f9702f0afa163ba688cb45c4d84</t>
  </si>
  <si>
    <t>ups: 1ZV647314297493677</t>
  </si>
  <si>
    <t>saldadoo a fede</t>
  </si>
  <si>
    <t>Fishing boat RC</t>
  </si>
  <si>
    <t>https://www.amazon.com/gp/your-account/order-details?ie=UTF8&amp;orderID=114-2513741-2538623&amp;ref_=pe_125775000_1044873430_p_btn_fed_veo</t>
  </si>
  <si>
    <t>4PX3001942691735CN</t>
  </si>
  <si>
    <t>Transmission Oil Cooler</t>
  </si>
  <si>
    <t>https://order.ebay.com/ord/show?orderId=01-13449-90023&amp;ssPageName=STRK:MESO:VPS&amp;_trksid=p4429486.m2548.l2673#/</t>
  </si>
  <si>
    <t>usps: 9234690381599903238557</t>
  </si>
  <si>
    <t>Bomba de aceite n55</t>
  </si>
  <si>
    <t>https://www.bmwpartsdeal.com/online/order/summary?orderId=261934&amp;orderGuid=fe68a369-9160-49f1-b9d1-39f03ba363a9</t>
  </si>
  <si>
    <t>usps: 9234690365068400120822</t>
  </si>
  <si>
    <t>Fran Monea</t>
  </si>
  <si>
    <t>Aleron mercedes benz</t>
  </si>
  <si>
    <t>https://order.ebay.com/ord/show?orderId=25-13425-73362&amp;purchaseOrderId=25-1342-573361#/</t>
  </si>
  <si>
    <t>fedex: 392119193971</t>
  </si>
  <si>
    <t>Nacho Meana</t>
  </si>
  <si>
    <t>Reten audi</t>
  </si>
  <si>
    <t>https://order.ebay.com/ord/show?orderId=23-13481-20923&amp;ssPageName=STRK:MESO:VPS&amp;_trksid=p4429486.m2548.l2673#/</t>
  </si>
  <si>
    <t>speedpak: ES1002980106202UN0101242000N</t>
  </si>
  <si>
    <t>Hernan Gerbino</t>
  </si>
  <si>
    <t>Instrumental</t>
  </si>
  <si>
    <t>ups: 1Z9AE8430303120991</t>
  </si>
  <si>
    <t>Gold Wheels CSL &amp; Kit DRL</t>
  </si>
  <si>
    <t>https://shopify.com/6762364997/account/orders/cd7441e8828e98df07985b004a0ab7ae</t>
  </si>
  <si>
    <t>UPS: 1ZR1H4880340542450 / 1ZR1H4880340376265 / 1ZR1H4884242939437 / 1ZR1H4880341504847</t>
  </si>
  <si>
    <t>Breather Hose</t>
  </si>
  <si>
    <t>https://order.ebay.com/ord/show?orderId=02-13534-35046&amp;purchaseOrderId=02-1353-435045#/</t>
  </si>
  <si>
    <t>fedex: 884127796661</t>
  </si>
  <si>
    <t>Insignias M2</t>
  </si>
  <si>
    <t>https://www.ecstuning.com/MyAccount/Orders/Order-763802331/</t>
  </si>
  <si>
    <t>usps: 9400150105794022868506 / ups: 1Z404524YN91393056</t>
  </si>
  <si>
    <t>Blowsion items part 2</t>
  </si>
  <si>
    <t>https://blowsion.com/checkouts/do/b693a564b25a6da1914eb5fc68e23dd4/en-us/thank-you</t>
  </si>
  <si>
    <t>ups: 1ZJ7138D0328301039</t>
  </si>
  <si>
    <t>Martin Piermattei</t>
  </si>
  <si>
    <t>Eibach M2</t>
  </si>
  <si>
    <t>https://titanmotorsports.com/checkouts/do/87a60928ac7c8ef120145dab1aed7d8f/en-de/thank-you</t>
  </si>
  <si>
    <t>Ups:1ZV647314295015482</t>
  </si>
  <si>
    <t>AutoTecknic Dry Carbon Fiber Mirror Covers</t>
  </si>
  <si>
    <t>https://autotecknic.com/account/orders/5d735be923a4be9127c10bddd69622ed</t>
  </si>
  <si>
    <t>ups: 1ZGA07251204186668</t>
  </si>
  <si>
    <t>Enchufes MSD</t>
  </si>
  <si>
    <t>https://www.msdignition.com/store/receipt/</t>
  </si>
  <si>
    <t>Wheel spacers &amp; DRL</t>
  </si>
  <si>
    <t>https://ind-distribution.com/account/orders/a3a720116fc184f3726361f2f84a1fa9</t>
  </si>
  <si>
    <t xml:space="preserve"> ups: 1ZR1H4880300774721</t>
  </si>
  <si>
    <t>Kit R44 &amp; Spacers</t>
  </si>
  <si>
    <t>https://r44performance.com/checkouts/do/2a4b17cd1afbfea21df4a360398f16db/en-us/thank-you</t>
  </si>
  <si>
    <t>DHL: 7431284475</t>
  </si>
  <si>
    <t>Eventuri</t>
  </si>
  <si>
    <t>https://ind-distribution.com/checkouts/cn/hWN2myNtEJSvkluVWkDMXh4b/en-us/thank-you</t>
  </si>
  <si>
    <t>ups:1ZR1H4884226848244</t>
  </si>
  <si>
    <t>Opticas Chrysler Sebring</t>
  </si>
  <si>
    <t>https://www.amazon.com/gp/your-account/order-details?ie=UTF8&amp;orderID=112-9472624-2608201&amp;ref=ppx_yo2ov_dt_b_fed_order_details</t>
  </si>
  <si>
    <t>TBA324313162871</t>
  </si>
  <si>
    <t>Adri boost</t>
  </si>
  <si>
    <t>Plenum Elevate</t>
  </si>
  <si>
    <t>fedex: 884494799644</t>
  </si>
  <si>
    <t>Luis 240i</t>
  </si>
  <si>
    <t>KLM Icebox</t>
  </si>
  <si>
    <t>https://connect.intuit.com/t/scs-v1-3d4b44325f1b469aac9859dab5c3a14ae1553bdc38dd4f6b9fab5548b158c75b1e27674347234d57b93710398c96715d?cta=viewinvoicenow&amp;locale=en_US</t>
  </si>
  <si>
    <t>ups: 1ZB3591X4215633807</t>
  </si>
  <si>
    <t>Adri Boost</t>
  </si>
  <si>
    <t>IPD (Intercooler, Inlet kit, Exhaust)</t>
  </si>
  <si>
    <t>ups: 1Z9453940301491013 / 1Z9453940301491022 / 1Z9453940301491086 / 1Z9453940301491157</t>
  </si>
  <si>
    <t>Air intake J-pipe</t>
  </si>
  <si>
    <t>fedex: 884494799655</t>
  </si>
  <si>
    <t>Dragy</t>
  </si>
  <si>
    <t>https://www.ecstuning.com/Cart/Receipt-676264337/?customerID=2679329</t>
  </si>
  <si>
    <t>ups: 1Z4045240398631544</t>
  </si>
  <si>
    <t>TRIBE</t>
  </si>
  <si>
    <t>APR Cheetah Tool</t>
  </si>
  <si>
    <t>https://www.ecstuning.com/MyAccount/Orders/Order-676264337/</t>
  </si>
  <si>
    <t>Diego M3 e46 rojo</t>
  </si>
  <si>
    <t>Kit embrague LUK</t>
  </si>
  <si>
    <t>https://www.ecstuning.com/Cart/Receipt-459830585/?customerID=2679329</t>
  </si>
  <si>
    <t>ups: 1Z4045240395189010</t>
  </si>
  <si>
    <t>Order Number: A9750650</t>
  </si>
  <si>
    <t>Bomba de Freno</t>
  </si>
  <si>
    <t>https://order.ebay.com/ord/show?itemId=166516555748&amp;transactionId=10075630545714&amp;mkevt=1&amp;mkpid=0&amp;emsid=e11400.m144670.l152615&amp;mkcid=7&amp;ch=osgood&amp;euid=84f5b0023c4c475498230da713394086&amp;bu=43795160990&amp;osub=-1%7E1&amp;crd=20250918151153&amp;segname=11400#/</t>
  </si>
  <si>
    <t>FedEx: 393368910587</t>
  </si>
  <si>
    <t>Valvetronic</t>
  </si>
  <si>
    <t>https://order.ebay.com/ord/show?orderId=27-13573-49881&amp;purchaseOrderId=27-1357-349880#/</t>
  </si>
  <si>
    <t>ups: 1Z92X1W06799633559</t>
  </si>
  <si>
    <t>Herramienta DQ200</t>
  </si>
  <si>
    <t>https://order.ebay.com/ord/show?orderId=02-13607-75648&amp;purchaseOrderId=02-1360-775647#/</t>
  </si>
  <si>
    <t>ES1003004227325UN0101242000N</t>
  </si>
  <si>
    <t>https://order.ebay.com/ord/show?orderId=09-13597-92697&amp;purchaseOrderId=09-1359-792696#/</t>
  </si>
  <si>
    <t>ups: 1Z558R286797717226</t>
  </si>
  <si>
    <t>Veleta</t>
  </si>
  <si>
    <t>Unlock M2 G87</t>
  </si>
  <si>
    <t xml:space="preserve">Veleta -  M2 G87 - Repro G series </t>
  </si>
  <si>
    <t>Tomas Graben</t>
  </si>
  <si>
    <t>Unlock 240i G42</t>
  </si>
  <si>
    <t>Tomas Graben - 240i G42 - Repro G Series</t>
  </si>
  <si>
    <t>Raspagliesi</t>
  </si>
  <si>
    <t>RASPAGLIESI - M2 G87 - Repro G Series</t>
  </si>
  <si>
    <t>Emiliano Alcaide</t>
  </si>
  <si>
    <t>Eisenmann</t>
  </si>
  <si>
    <t>https://ind-distribution.com/checkouts/cn/hWN35fMaZwxvjQwsFRRcRyyX/en-us/thank-you</t>
  </si>
  <si>
    <t>maerks: 401310611</t>
  </si>
  <si>
    <t>Dorch stg2 HPFP old style</t>
  </si>
  <si>
    <t>ups: 1ZJ2653AA825894084</t>
  </si>
  <si>
    <t>Bujes prado</t>
  </si>
  <si>
    <t>https://www.megazip.net/order/642336-7</t>
  </si>
  <si>
    <t>fedex: 884990419901</t>
  </si>
  <si>
    <t>Master Cylinder SMG</t>
  </si>
  <si>
    <t>https://www.ecstuning.com/Cart/Receipt-005233095/?customerID=2679329</t>
  </si>
  <si>
    <t>fedex: 61299989289346077015</t>
  </si>
  <si>
    <t>Nelson Instaler</t>
  </si>
  <si>
    <t>Rejas mercedes MERCTEIL</t>
  </si>
  <si>
    <t>https://mercteil.com/account/orders</t>
  </si>
  <si>
    <t>FedEX: 884920898550</t>
  </si>
  <si>
    <t>Kit Maxton + Wheel spacers</t>
  </si>
  <si>
    <t>https://account.r44performance.com/orders/e7a4770522044b6e4dff70ec89990992</t>
  </si>
  <si>
    <t>DHL: 8910324776 / DHL: 7431284475 ( ups: 1Z66Y23F6738371455 )</t>
  </si>
  <si>
    <t>Inifinity Design</t>
  </si>
  <si>
    <t>S58</t>
  </si>
  <si>
    <t>ups:  1Z7E524X0499032881 / 491</t>
  </si>
  <si>
    <t>Inifinity Design B58</t>
  </si>
  <si>
    <t>B58</t>
  </si>
  <si>
    <t>Downpipes / 2 S58 4 B58</t>
  </si>
  <si>
    <t>https://shopify.com/6603702362/account/orders/9b1502894141b0c2392eb235e66a8547</t>
  </si>
  <si>
    <t>UPS: VARIOS DONE</t>
  </si>
  <si>
    <t>Leonardo Abdine - M240i G42 - Repro G Series</t>
  </si>
  <si>
    <t>dhl: 2395900452</t>
  </si>
  <si>
    <t>Brian Lee - M240i G42 - Repro G Series</t>
  </si>
  <si>
    <t>dhl: 2396130634</t>
  </si>
  <si>
    <t>Xfinity TV BOX</t>
  </si>
  <si>
    <t>https://vod.ebay.com/vod/FetchOrderDetails?/ViewPaymentStatus&amp;purchaseOrderId=22-1360-617527#/</t>
  </si>
  <si>
    <t>USPS: 9405508106245311969273</t>
  </si>
  <si>
    <t>Ranger Raptor Spacers</t>
  </si>
  <si>
    <t>https://vod.ebay.com/vod/FetchOrderDetails?/ViewPaymentStatus&amp;purchaseOrderId=14-1361-712111#/</t>
  </si>
  <si>
    <t>ups: 1ZJ450F86704017800</t>
  </si>
  <si>
    <t>Javier Pergamino</t>
  </si>
  <si>
    <t>MMX Inlets</t>
  </si>
  <si>
    <t>https://ind-distribution.com/checkouts/cn/hWN3O9k1C1ipy8WxIONm7Af3/en-us/thank-you</t>
  </si>
  <si>
    <t>UPS: 1ZR1H4880308654846</t>
  </si>
  <si>
    <t>Left Grill A250</t>
  </si>
  <si>
    <t>https://order.ebay.com/ord/show?orderId=20-13624-38788&amp;purchaseOrderId=20-1362-438786#/</t>
  </si>
  <si>
    <t>fedex: 393738232065</t>
  </si>
  <si>
    <t>Right Grill A250</t>
  </si>
  <si>
    <t>https://order.ebay.com/ord/show?orderId=20-13624-38968&amp;purchaseOrderId=20-1362-438967#/</t>
  </si>
  <si>
    <t>DHL: 3103952541</t>
  </si>
  <si>
    <t>Center Grill A250</t>
  </si>
  <si>
    <t>https://order.ebay.com/ord/show?orderId=27-13619-69384&amp;purchaseOrderId=27-1361-969383#/</t>
  </si>
  <si>
    <t>fedex: 884793265140</t>
  </si>
  <si>
    <t>HP Tuners + Custom map</t>
  </si>
  <si>
    <t>https://www.tunedbyzfgracing.com/thank-you-page/8f6980c9-c7e7-4e90-9f04-dbfc806fe0c9?appSectionParams=%7B%22objectType%22%3A%22order%22%2C%22origin%22%3A%22checkout%22%7D</t>
  </si>
  <si>
    <t>ups: 1ZV1E3290214179515</t>
  </si>
  <si>
    <t>Auto-Chips y 2 interfaces BMW</t>
  </si>
  <si>
    <t>https://www.auto-chips.com/cart/WXY25100122581394/success.html?code=IC8uH1lIAgABH1FaVUZEThk%3D</t>
  </si>
  <si>
    <t>DHL: 5783604551</t>
  </si>
  <si>
    <t>Tata</t>
  </si>
  <si>
    <t>Silicon hose Hot side VTT</t>
  </si>
  <si>
    <t>UPS: 1ZC759F50317255728</t>
  </si>
  <si>
    <t>Tazas Porsche</t>
  </si>
  <si>
    <t>USPS: 9405508106245323909137</t>
  </si>
  <si>
    <t>M3 Calcos y polea</t>
  </si>
  <si>
    <t>https://www.getbmwparts.com/account/order?token=eyJ0eXAiOiJKV1QiLCJhbGciOiJIUzUxMiJ9.eyJvcmRlcl9udW1iZXIiOiI0NDE3MzU0MCIsInVzZXJfZW1haWwiOiJlbWlsaWFub0B0cmliZXNoaXBwaW5nLmNvbSJ9.JpM0Anbp-j3Fy3SFYhEt3S-7BggKiYRdfmABzyuDSOdHjoCNgwmZm0IoSd_7cTPhacI3wTq-W7bmFbKsDFbhVw</t>
  </si>
  <si>
    <t>UPS: 1ZA80C280305026564</t>
  </si>
  <si>
    <t>Filtro Kyn</t>
  </si>
  <si>
    <t>fedex: 61299989289346109594</t>
  </si>
  <si>
    <t>Portapatentes</t>
  </si>
  <si>
    <t>https://r44performance.com/checkouts/do/d6ef67d5ef34e662e4e30bb3a1780c38/en-us/thank-you</t>
  </si>
  <si>
    <t>Charge Pipe</t>
  </si>
  <si>
    <t>ups: 1Z4045240391331354</t>
  </si>
  <si>
    <t>Sunroof repair kit</t>
  </si>
  <si>
    <t>https://order.ebay.com/ord/show?itemId=276539110482&amp;transactionId=10076161574612&amp;mkevt=1&amp;mkpid=0&amp;emsid=e11401.m147516.l152615&amp;mkcid=7&amp;ch=osgood&amp;euid=d60190aeb48545aeb4f980da6269e293&amp;bu=43795160990&amp;exe=0&amp;ext=0&amp;osub=-1%7E1&amp;crd=20251008072910&amp;segname=11401#/</t>
  </si>
  <si>
    <t>FedEx: 61299998825461353177</t>
  </si>
  <si>
    <t>Ranger Raptor LEDs</t>
  </si>
  <si>
    <t>https://shopify.com/84997472573/account/orders/5571eb1f2bd2b6611a9cebae141c2e69</t>
  </si>
  <si>
    <t>usps: LH388746495AU</t>
  </si>
  <si>
    <t>Holley</t>
  </si>
  <si>
    <t>https://www.holley.com/account/orders/1427527/</t>
  </si>
  <si>
    <t>Mauro Lerda</t>
  </si>
  <si>
    <t>Mauro Lerda - M2 G87 - Repro G series</t>
  </si>
  <si>
    <t>DHL: 8341388156</t>
  </si>
  <si>
    <t>Protector frontal</t>
  </si>
  <si>
    <t>https://ind-distribution.com/checkouts/cn/hWN3zwebmeESLAJcjdfEFGXx/en-us/thank-you</t>
  </si>
  <si>
    <t>ups: 1ZR1H4880305510612</t>
  </si>
  <si>
    <t>Lift kit</t>
  </si>
  <si>
    <t>https://goatoffroad.com.au/checkouts/cn/hWN3v43CUxj47zDx6PYkkYT4/en-us/thank-you</t>
  </si>
  <si>
    <t>usps: CF168043055AU</t>
  </si>
  <si>
    <t>Ranger Raptor spark plugs</t>
  </si>
  <si>
    <t>https://morepowertuning.com/checkouts/cn/hWN3zxiLGlUEs7MUQFYGWVKk/en-us/thank-you</t>
  </si>
  <si>
    <t>usps: 420331669305510597204750344142</t>
  </si>
  <si>
    <t>BUJIAS PARA SANTIAGO VENTANA Y EMILIANO</t>
  </si>
  <si>
    <t>2 Downpipes  S58</t>
  </si>
  <si>
    <t>https://shopify.com/6603702362/account/orders/96fe56496efdf4bd059545f00159ed2a</t>
  </si>
  <si>
    <t>ups: 1ZR083G44217645189 / ups: 1ZR083G44209936399</t>
  </si>
  <si>
    <t>Santiago Ventana</t>
  </si>
  <si>
    <t>Santiago Ventana - M2 G87 - Repro G series</t>
  </si>
  <si>
    <t>dhl: 7251973525</t>
  </si>
  <si>
    <t>Ezequiel - M2 G87 - Repro G series</t>
  </si>
  <si>
    <t>DHL: 5812696245</t>
  </si>
  <si>
    <t>Fly bikes</t>
  </si>
  <si>
    <t>fedex: 885227123441</t>
  </si>
  <si>
    <t>Carbon Fiber Roof IND</t>
  </si>
  <si>
    <t>https://account.ind-distribution.com/orders/f006a2ea92025f187c43e2a67c5d98ea</t>
  </si>
  <si>
    <t>maersk: 401259178</t>
  </si>
  <si>
    <t>Schirmer Wing</t>
  </si>
  <si>
    <t>https://shopify.com/51832946875/account/orders/e2bf7e7e31f66c4003d403e0b6df6967</t>
  </si>
  <si>
    <t>dhl: 6475471892</t>
  </si>
  <si>
    <t>Aeroluxe CS Front Lip</t>
  </si>
  <si>
    <t>https://shopify.com/67235938493/account/orders/5b5544cd34c8bd2bf96f9624647d3fb0</t>
  </si>
  <si>
    <t>UPS: 1Z0509JD0333510447</t>
  </si>
  <si>
    <t>Macht Schnell Spacers</t>
  </si>
  <si>
    <t>https://account.ind-distribution.com/orders/cedf8432c4ee20697ff13147af7b3757</t>
  </si>
  <si>
    <t>ups: 1ZR1H4880329994163</t>
  </si>
  <si>
    <t>Holley EFI Tach Adapter</t>
  </si>
  <si>
    <t>https://www.holley.com/account/orders/1430062/</t>
  </si>
  <si>
    <t>USPS: 9405536110165278179156</t>
  </si>
  <si>
    <t>Leandro 135i</t>
  </si>
  <si>
    <t>Tablero 1m</t>
  </si>
  <si>
    <t>https://order.ebay.com/ord/show?orderId=14-13708-15951&amp;purchaseOrderId=14-1370-815950#/</t>
  </si>
  <si>
    <t>ups: 1ZC600616830628003</t>
  </si>
  <si>
    <t>Bujias B58 PACKS X10</t>
  </si>
  <si>
    <t>NADIE</t>
  </si>
  <si>
    <t>Ring Tool + Fuel pump</t>
  </si>
  <si>
    <t>Fedex: 61299989289346182092</t>
  </si>
  <si>
    <t>Bujias</t>
  </si>
  <si>
    <t>Downpipe</t>
  </si>
  <si>
    <t>CTS DOWNPIPE B58</t>
  </si>
  <si>
    <t>Adri Motoquero</t>
  </si>
  <si>
    <t>Brige Bracket Mount mirror Piaggio</t>
  </si>
  <si>
    <t>n\a</t>
  </si>
  <si>
    <t>Fmf Powercore Exhaust</t>
  </si>
  <si>
    <t>https://order.ebay.com/ord/show?orderId=08-13734-73780&amp;purchaseOrderId=08-1373-473778</t>
  </si>
  <si>
    <t>fedex: 485748597283</t>
  </si>
  <si>
    <t>Acerbis Plastic</t>
  </si>
  <si>
    <t>https://order.ebay.com/ord/show?orderId=08-13734-73782&amp;purchaseOrderId=08-1373-473778</t>
  </si>
  <si>
    <t>fedex: 485738185748</t>
  </si>
  <si>
    <t>Black Radiator Grille Brake Caliper DR650</t>
  </si>
  <si>
    <t>https://order.ebay.com/ord/show?orderId=08-13734-73784&amp;purchaseOrderId=08-1373-473778</t>
  </si>
  <si>
    <t>ES1003029312359UN0101242000N</t>
  </si>
  <si>
    <t>Raptor Flex Kit</t>
  </si>
  <si>
    <t>https://shopify.com/8902048/account/orders/79ec6a85b79c465c1437f3f94526bb17</t>
  </si>
  <si>
    <t>fedex: 394578670418</t>
  </si>
  <si>
    <t>Rodrigo X2</t>
  </si>
  <si>
    <t>Carter</t>
  </si>
  <si>
    <t>https://www.getbmwparts.com/account/order?token=eyJ0eXAiOiJKV1QiLCJhbGciOiJIUzUxMiJ9.eyJvcmRlcl9udW1iZXIiOiI0NDE3NDc0NCIsInVzZXJfZW1haWwiOiJlbWlsaWFub0B0cmliZXNoaXBwaW5nLmNvbSJ9.TycKj_0Hm06CEWIFHyrpfhqoIqM9yVISXsbwmI6_cwzF1RqptHUUcV1Vhqy0FwP1wD52Rut6pYOcTPLfPcqMmQ</t>
  </si>
  <si>
    <t>UPS: 1Z2836374297262923</t>
  </si>
  <si>
    <t>Emiliano Alcaide - M2 G87 - Repro G series</t>
  </si>
  <si>
    <t>dhl: 3308760431</t>
  </si>
  <si>
    <t>Filtro kyn S3 8V</t>
  </si>
  <si>
    <t>https://www.ecstuning.com/MyAccount/Orders/Order-076347690/</t>
  </si>
  <si>
    <t>fedex: 61299989289346208372</t>
  </si>
  <si>
    <t xml:space="preserve">Andres M340i </t>
  </si>
  <si>
    <t>Maxton gloss black spoiler and diffuser</t>
  </si>
  <si>
    <t>https://shopify.com/27603861609/account/orders/82d97332dbe93669c72708a87c278c4b</t>
  </si>
  <si>
    <t>fedex: 885557864728</t>
  </si>
  <si>
    <t>Anti shimmy dualtron</t>
  </si>
  <si>
    <t>https://dualtronusa.com/checkouts/cn/hWN4gJiaN9qmb5mGUOrtUQNe/en-us/thank-you</t>
  </si>
  <si>
    <t>ups: 1ZR085J90327655332</t>
  </si>
  <si>
    <t>Infinity Design S58</t>
  </si>
  <si>
    <t>https://wise.com/en/track/446bc11eacca447a8b6d0d9615b15a5d?utm_medium=copy&amp;utm_source=mobileAppIOS&amp;utm_content=moneyTracker</t>
  </si>
  <si>
    <t>UPS: 1Z7E524X0493081606 / UPS: 1Z7E524X0493418458</t>
  </si>
  <si>
    <t>Charge Pipe VRSF</t>
  </si>
  <si>
    <t>https://www.ecstuning.com/Cart/Receipt-597048308/?customerID=2679329</t>
  </si>
  <si>
    <t>ups: 1Z4045240393365323</t>
  </si>
  <si>
    <t>Analizador MHD ethanol</t>
  </si>
  <si>
    <t>https://www.bimmernetwork.com/checkouts/cn/hWN4wleCZkE83mqd5Zv0z2Je/en-us/thank-you</t>
  </si>
  <si>
    <t>fedex: 395049716729</t>
  </si>
  <si>
    <t>Sensor flex BM3 Los fiore</t>
  </si>
  <si>
    <t>https://www.protuningfreaks.com/checkouts/cn/hWN4wlvMjhtulKrWF8dyN3Dd/en-us/thank-you</t>
  </si>
  <si>
    <t>Lucas - 240 G42 - Repro G series</t>
  </si>
  <si>
    <t>Ezequiel Risoleo</t>
  </si>
  <si>
    <t>Reloj TIMEX</t>
  </si>
  <si>
    <t>https://shopify.com/57311985747/account/orders/17a73fded8ef6713e6ba4bd3a2a78c8f</t>
  </si>
  <si>
    <t>UPS: 92612903032190573001335329</t>
  </si>
  <si>
    <t>Intake Dinan</t>
  </si>
  <si>
    <t>https://www.ecstuning.com/Cart/Receipt-060171928/?customerID=2679329</t>
  </si>
  <si>
    <t>ups: 1Z4045240391270170</t>
  </si>
  <si>
    <t>VRSF Downpipe B48</t>
  </si>
  <si>
    <t>Fedex: 395175445819</t>
  </si>
  <si>
    <t>HP Tuners</t>
  </si>
  <si>
    <t>ups: 1ZV1E3290201232892</t>
  </si>
  <si>
    <t>Tapa valvulas B58</t>
  </si>
  <si>
    <t>https://www.ecstuning.com/Cart/Receipt-790514031/?customerID=2679329</t>
  </si>
  <si>
    <t>ups: 1Z4045240399778653</t>
  </si>
  <si>
    <t>Tanque de combustible Harley</t>
  </si>
  <si>
    <t>https://order.ebay.com/ord/show?orderId=21-13809-44409&amp;purchaseOrderId=21-1380-944408#/</t>
  </si>
  <si>
    <t>UPS: 1Z4Y27W00338703438</t>
  </si>
  <si>
    <t>DME Mercedes</t>
  </si>
  <si>
    <t>https://vod.ebay.com/vod/FetchOrderDetails?/ViewPaymentStatus&amp;purchaseOrderId=06-1383-135028#/</t>
  </si>
  <si>
    <t>USPS: 9405550105498004693805</t>
  </si>
  <si>
    <t>Inlet pipe F2X</t>
  </si>
  <si>
    <t>https://www.ecstuning.com/Cart/Receipt-629630687/?customerID=2679329</t>
  </si>
  <si>
    <t>fedex: 886447835702</t>
  </si>
  <si>
    <t>TNF</t>
  </si>
  <si>
    <t>https://www.thenorthface.com/en-us/account/order-details/202511132210249427504521</t>
  </si>
  <si>
    <t>fedex: 9261290985202523484667</t>
  </si>
  <si>
    <t>Aixa Franke</t>
  </si>
  <si>
    <t>Botines Hockey</t>
  </si>
  <si>
    <t>https://www.cricket-hockey.com/es/confirmacion-del-pedido?id_cart=1533231&amp;id_module=541&amp;id_order=974159&amp;key=e1848add6c4b18b140499a6c70d49890&amp;paypal_order=5JD46605Y02553423&amp;paypal_transaction=65X104933J350944A</t>
  </si>
  <si>
    <t>fedex: 395518577134</t>
  </si>
  <si>
    <t>Ojotas</t>
  </si>
  <si>
    <t>https://order.ebay.com/ord/show?orderId=11-13828-61126&amp;purchaseOrderId=11-1382-861125#/</t>
  </si>
  <si>
    <t>fedex: 886488524523</t>
  </si>
  <si>
    <t>downpipe CTS B58</t>
  </si>
  <si>
    <t xml:space="preserve">Rejillas frontales  plasticas M2 G87 </t>
  </si>
  <si>
    <t>https://order.ebay.com/ord/show?orderId=16-13849-59279&amp;purchaseOrderId=16-1384-959276#/</t>
  </si>
  <si>
    <t>usps: 9235990401711600062911</t>
  </si>
  <si>
    <t>Quad tips</t>
  </si>
  <si>
    <t>ups: 1ZB618100339959977</t>
  </si>
  <si>
    <t>Cableado</t>
  </si>
  <si>
    <t>UPS: 1Z3484520331717641</t>
  </si>
  <si>
    <t>Partes Harley</t>
  </si>
  <si>
    <t>UPS: 1Z3614560399170163</t>
  </si>
  <si>
    <t>ECU BMW</t>
  </si>
  <si>
    <t>https://order.ebay.com/ord/show?orderId=16-13873-59195&amp;purchaseOrderId=16-1387-359194#/</t>
  </si>
  <si>
    <t>FedEx: 395790549880</t>
  </si>
  <si>
    <t>.</t>
  </si>
  <si>
    <t>Spacers Bimecc</t>
  </si>
  <si>
    <t>dhl: 7144254493</t>
  </si>
  <si>
    <t>Andres Jacobs  - 340 G20 - Repro G series</t>
  </si>
  <si>
    <t>dhl: 1825495711</t>
  </si>
  <si>
    <t>Andres M340i</t>
  </si>
  <si>
    <t>Lip Maxton Gloss black</t>
  </si>
  <si>
    <t>fedex: 886687274849</t>
  </si>
  <si>
    <t xml:space="preserve">Spacers MMR </t>
  </si>
  <si>
    <t>ups: 1ZR1H4880339255148</t>
  </si>
  <si>
    <t>Rodrigo X1</t>
  </si>
  <si>
    <t>Repuestos bmw x1 varios</t>
  </si>
  <si>
    <t>ups: 1Z2836374298417460</t>
  </si>
  <si>
    <t>Intake Infinity G42</t>
  </si>
  <si>
    <t>Downpipe cts b58</t>
  </si>
  <si>
    <t xml:space="preserve">Fran MDQ 240i G42 - Repro G SERIES </t>
  </si>
  <si>
    <t>Maxi bonemberg 240i G42 - Repro G series</t>
  </si>
  <si>
    <t>https://ind-distribution.com/checkouts/cn/hWN61552tXYATmoeBqCs51aD/en-us/thank-you?_r=AQAB2YMxyMkKFFFOTaRGcwip8GVxalyOB4nQzqvx26cE4CI</t>
  </si>
  <si>
    <t>ups: 1ZR1H4880315472896</t>
  </si>
  <si>
    <t>Plasticos negros de giro para Harley</t>
  </si>
  <si>
    <t>https://www.amazon.com/your-orders/order-details?orderID=114-4952727-0936218&amp;ref=ppx_yo2ov_dt_b_fed_veo</t>
  </si>
  <si>
    <t>TBA326579116860</t>
  </si>
  <si>
    <t>Inifinity Intake GXX B58</t>
  </si>
  <si>
    <t>ups: 1ZB687670411535113</t>
  </si>
  <si>
    <t>DJI OSMO</t>
  </si>
  <si>
    <t>https://www.amazon.com/your-orders/order-details?orderID=114-9865243-2335464&amp;ref=ppx_yo2ov_dt_b_fed_order_details</t>
  </si>
  <si>
    <t>TBAA326624159247</t>
  </si>
  <si>
    <t>https://shopify.com/6603702362/account/orders/a0a077fd727c878aa77b1ca8d6cb98a1</t>
  </si>
  <si>
    <t>ups: 1ZR083G44238191362</t>
  </si>
  <si>
    <t xml:space="preserve">Guido - M2 G87 FROZEN BLUE - Repro G SERIES </t>
  </si>
  <si>
    <t>Gworks</t>
  </si>
  <si>
    <t>Herramienta de mano</t>
  </si>
  <si>
    <t>https://order.ebay.com/ord/show?orderId=26-13908-71067&amp;purchaseOrderId=26-1390-871066#/</t>
  </si>
  <si>
    <t>usps: 9235990374017601123888</t>
  </si>
  <si>
    <t>Dardo Aye</t>
  </si>
  <si>
    <t>Cobertor moto</t>
  </si>
  <si>
    <t>https://www.amazon.com/gp/css/summary/print.html?orderID=112-1324640-1361012&amp;ref=ppx_yo2ov_dt_b_fed_invoice_pos</t>
  </si>
  <si>
    <t>TBA326894726028</t>
  </si>
  <si>
    <t>Downpipe B58 CTS</t>
  </si>
  <si>
    <t>https://shopify.com/6603702362/account/orders/40f6b80fd8119ccadce8f656368ae46c</t>
  </si>
  <si>
    <t>ups: 1ZR083G44200237660 (1 of 9 piece)</t>
  </si>
  <si>
    <t>Tips M</t>
  </si>
  <si>
    <t>https://order.ebay.com/ord/show?itemId=404536827073&amp;transactionId=10082206093907&amp;mkevt=1&amp;mkpid=0&amp;emsid=e11400.m144670.l152615&amp;mkcid=7&amp;ch=osgood&amp;euid=e22bc5e8075a4134bca78e293d576d52&amp;bu=43795160990&amp;exe=0&amp;ext=0&amp;osub=-1%7E1&amp;crd=20251216093158&amp;segname=11400#/</t>
  </si>
  <si>
    <t>usps: 9400108106245619877772</t>
  </si>
  <si>
    <t>Items Cettire</t>
  </si>
  <si>
    <t>https://www.cettire.com/de/account/ordersDetail/54bdSzewp4mjZv4jA/82532662/1</t>
  </si>
  <si>
    <r>
      <rPr>
        <rFont val="Calibri"/>
        <color theme="1"/>
      </rPr>
      <t>DHL:  6274076896 (SOLO ZAPAS)</t>
    </r>
    <r>
      <rPr>
        <rFont val="Calibri"/>
        <color theme="1"/>
      </rPr>
      <t xml:space="preserve">, </t>
    </r>
    <r>
      <rPr>
        <rFont val="Calibri"/>
        <color theme="1"/>
      </rPr>
      <t>DHL: 4696488974 (short)</t>
    </r>
    <r>
      <rPr>
        <rFont val="Calibri"/>
        <color theme="1"/>
      </rPr>
      <t xml:space="preserve">, </t>
    </r>
    <r>
      <rPr>
        <rFont val="Calibri"/>
        <color theme="1"/>
      </rPr>
      <t>DHL: 6852675185 (remera), DHL:  7919569991 (remera)</t>
    </r>
    <r>
      <rPr>
        <rFont val="Calibri"/>
        <color theme="1"/>
      </rPr>
      <t xml:space="preserve">, </t>
    </r>
    <r>
      <rPr>
        <rFont val="Calibri"/>
        <color theme="1"/>
      </rPr>
      <t>DHL: 2936924642 (remera)</t>
    </r>
    <r>
      <rPr>
        <rFont val="Calibri"/>
        <color theme="1"/>
      </rPr>
      <t xml:space="preserve">, </t>
    </r>
    <r>
      <rPr>
        <rFont val="Calibri"/>
        <color theme="1"/>
      </rPr>
      <t>DHL (Campera)2936912064 , DHL: DHL: 7171507243 (LENTES)</t>
    </r>
  </si>
  <si>
    <t>Lentes Tom Ford</t>
  </si>
  <si>
    <t>Fender Harley</t>
  </si>
  <si>
    <t>ups: 1Z3614560396076511</t>
  </si>
  <si>
    <t>Javi Pergamino</t>
  </si>
  <si>
    <t>Kit Flex BM3</t>
  </si>
  <si>
    <t>https://checkout.bootmod3.com/checkouts/cn/hWN6aKFoz4JZzKjWXNLEmeYi/en-us/thank-you?_r=AQABR6ekWm68BDDZYGPj9737x5CdFCEJi-DvuCn2yRt64P4</t>
  </si>
  <si>
    <t>dhl: 6071104830</t>
  </si>
  <si>
    <t>Spacers 10mm / 12.5mm</t>
  </si>
  <si>
    <t>https://www.ecstuning.com/Cart/Receipt-351459386/?customerID=2679329</t>
  </si>
  <si>
    <t>UPS: 1Z404524YW94940022</t>
  </si>
  <si>
    <t>https://checkout.bootmod3.com/checkouts/cn/hWN6Snc5zs5g3IVViArtBoPw/en-us/thank-you?_r=AQABVT73DgGuEfQQ8dhPCzwZJgNxaG8-GawY_ctih8rAefM</t>
  </si>
  <si>
    <t>RECEIVED BAIRES</t>
  </si>
  <si>
    <t>dhl: 6071100044</t>
  </si>
  <si>
    <t>Juan M</t>
  </si>
  <si>
    <t>Pedales Raptor</t>
  </si>
  <si>
    <t>https://shopify.com/84997472573/account/orders/6903509156157</t>
  </si>
  <si>
    <t>https://auspost.com.au/mypost/track/details/LH400150045AU</t>
  </si>
  <si>
    <t>Kit Carbono Raptor</t>
  </si>
  <si>
    <t>https://www.indicarbon.com/commerce/orders/dff1a597-02d6-4b0d-b780-4259a58443ae</t>
  </si>
  <si>
    <t>Thailand Post: KA003282169TH / DHL: 4232856213</t>
  </si>
  <si>
    <t>Mas carbono raptor</t>
  </si>
  <si>
    <t>https://www.indicarbon.com/commerce/orders/524936eb-b92b-4721-a6c1-4fb6e5b98c32</t>
  </si>
  <si>
    <t>Cactus Jack</t>
  </si>
  <si>
    <t>https://shopify.com/6850150457/account/orders/96c23238c6f3ee9414a48f240e4d4791</t>
  </si>
  <si>
    <t>UPS: 1ZX453880305994596</t>
  </si>
  <si>
    <t xml:space="preserve">Emilio Tevini - M2 G87 FROZEN GRAY - Repro G SERIES </t>
  </si>
  <si>
    <t>Escape MAD</t>
  </si>
  <si>
    <t>https://mad-us.com/account.php?action=view_order&amp;order_id=20694</t>
  </si>
  <si>
    <t>fedex: 397114436079</t>
  </si>
  <si>
    <t>R44 Spacers+Wing+Patentes</t>
  </si>
  <si>
    <t>https://r44performance.com/checkouts/do/8fafc222c6a3b0159fee2874a6d9d0a9/en/thank-you</t>
  </si>
  <si>
    <r>
      <rPr>
        <rFont val="Calibri"/>
        <color theme="1"/>
      </rPr>
      <t>dhl</t>
    </r>
    <r>
      <rPr>
        <rFont val="Calibri"/>
        <color theme="1"/>
        <sz val="12.0"/>
      </rPr>
      <t xml:space="preserve">: </t>
    </r>
    <r>
      <rPr>
        <rFont val="Calibri"/>
        <color theme="1"/>
      </rPr>
      <t xml:space="preserve">1290158715 </t>
    </r>
  </si>
  <si>
    <t>Dowpipe S58</t>
  </si>
  <si>
    <t>https://www.summitracing.com/account/orders/5035887/eeeebafa-d1c8-4758-9059-63af6b20111e</t>
  </si>
  <si>
    <t>fedex: 495358898360</t>
  </si>
  <si>
    <t>Moustafa - Raptor leds combo</t>
  </si>
  <si>
    <t>https://www.moustas4d.com/product/raptorledpanel/SHRLAEM7NSHE5OF745YGLRDB?cs=true&amp;cst=custom</t>
  </si>
  <si>
    <t>Tracking number: CF169683117AU</t>
  </si>
  <si>
    <r>
      <rPr>
        <rFont val="Calibri"/>
        <sz val="11.0"/>
      </rPr>
      <t xml:space="preserve">You can track it via tracking portals on: </t>
    </r>
    <r>
      <rPr>
        <rFont val="Calibri"/>
        <color rgb="FF1155CC"/>
        <sz val="11.0"/>
        <u/>
      </rPr>
      <t>www.auspost.com.au</t>
    </r>
    <r>
      <rPr>
        <rFont val="Calibri"/>
        <sz val="11.0"/>
      </rPr>
      <t xml:space="preserve"> / www.usps.com</t>
    </r>
  </si>
  <si>
    <t>LMC Truck</t>
  </si>
  <si>
    <t>fedex: 397906325109, 397948037545, 397948132351, 397947982454</t>
  </si>
  <si>
    <t>Sensor Map</t>
  </si>
  <si>
    <t>https://shopify.com/8902048/account/orders/3f8744ed77d6dba63880781f49ec24ab?locale=en-US</t>
  </si>
  <si>
    <t xml:space="preserve">usps: 9400150106151052922148 </t>
  </si>
  <si>
    <t>Manijas de puerta</t>
  </si>
  <si>
    <t>https://www.ecstuning.com/Cart/Receipt-957722897/?customerID=2679329</t>
  </si>
  <si>
    <t>fedex: 61299989289347739318</t>
  </si>
  <si>
    <t>Conector BM3</t>
  </si>
  <si>
    <t>https://checkout.bootmod3.com/checkouts/cn/hWN7pXZB7SKHJ8pLgCuQuI7k/en-us/thank-you?_r=AQABI4lwGdAaAfqsEzUwMOUpvlyiSvXHWPmLMbqwEra8Vwc</t>
  </si>
  <si>
    <t>dhl: 5696423456</t>
  </si>
  <si>
    <t>Correa Kevlar S4</t>
  </si>
  <si>
    <t>https://www.ecstuning.com/Cart/Receipt-974618676/?customerID=2679329</t>
  </si>
  <si>
    <t>usps: 9400150105796055203156</t>
  </si>
  <si>
    <t>Spacers bimecc</t>
  </si>
  <si>
    <t>Portapatente</t>
  </si>
  <si>
    <t>XHORSE - ADAPTERS</t>
  </si>
  <si>
    <t>https://www.uhs-hardware.com/checkouts/cn/hWN8K8gH20hhebwpKrcy9gxO/en/thank-you?_r=AQABob0ebndqvmyKmyg9f8kSP9pLPKMnHG27cWLk0juo5PQ</t>
  </si>
  <si>
    <t>ups: 1ZT1T7950395935428</t>
  </si>
  <si>
    <t>MB Testing platform</t>
  </si>
  <si>
    <t>https://www.cgdishop.com/app/order_tracking.asp</t>
  </si>
  <si>
    <t>https://t.17track.net/en#nums=YT2603400705652088</t>
  </si>
  <si>
    <t>Tool solder adapter kit</t>
  </si>
  <si>
    <t>https://www.xhorsetool.com/api_pprest/success.php?OrderSN=VH260202112885</t>
  </si>
  <si>
    <t>https://t.17track.net/en#nums=4PX3002479891261CN</t>
  </si>
  <si>
    <t>Admision</t>
  </si>
  <si>
    <t>https://vod.ebay.com/vod/FetchOrderDetails?/ViewPaymentStatus&amp;purchaseOrderId=24-1418-154973#/</t>
  </si>
  <si>
    <r>
      <rPr>
        <color rgb="FF1155CC"/>
        <u/>
      </rPr>
      <t>YWMIA010056283440</t>
    </r>
  </si>
  <si>
    <t>Bajada raptor</t>
  </si>
  <si>
    <t>Chargepipe</t>
  </si>
  <si>
    <t>UPS: 1Z4045240397152260</t>
  </si>
  <si>
    <t xml:space="preserve">Wheels Acid Orange </t>
  </si>
  <si>
    <t>IN PROGRESS</t>
  </si>
  <si>
    <t>Shadowline tail lights + Spacers + Riñones</t>
  </si>
  <si>
    <t>ups: 1ZR1H4884238441017</t>
  </si>
  <si>
    <t>Aluminium RW GTS Hood</t>
  </si>
  <si>
    <t>Infinity Design Intake</t>
  </si>
  <si>
    <t>fedex: 398976483861</t>
  </si>
  <si>
    <t>Twisnfix magnet plates</t>
  </si>
  <si>
    <t>dhl: 1632434705</t>
  </si>
  <si>
    <t>Bomba de baja</t>
  </si>
  <si>
    <t>https://shopify.com/6603702362/account/orders/268e51c640385008f0222ab2c0631733?locale=en-DE</t>
  </si>
  <si>
    <t>Akrapovic m5</t>
  </si>
  <si>
    <t>Guido Rx7</t>
  </si>
  <si>
    <t>Advocult</t>
  </si>
  <si>
    <t>entregado el 18/02</t>
  </si>
  <si>
    <t>Agustin Cicarelli</t>
  </si>
  <si>
    <t>Agustin Cicarelli - G42 240i Negro - Repro G SERIES</t>
  </si>
  <si>
    <t>DHL: 5667052565</t>
  </si>
  <si>
    <t>Andres Monteiro</t>
  </si>
  <si>
    <t>Andres Monteiro - M2 G87 Celeste - Repro G SERIES</t>
  </si>
  <si>
    <t>DHL: 5667073366</t>
  </si>
  <si>
    <t>UPS: 1ZX453880317232556</t>
  </si>
  <si>
    <t>Swingarm</t>
  </si>
  <si>
    <t>https://order.ebay.com/ord/show?orderId=13-14257-55695&amp;purchaseOrderId=13-1425-755694#/</t>
  </si>
  <si>
    <t>SPXMIA079802013341</t>
  </si>
  <si>
    <t>ScanMatik</t>
  </si>
  <si>
    <t>https://www.mk3.com/en/orderdetails/245562</t>
  </si>
  <si>
    <t>ups: 1Z7E26830440092332</t>
  </si>
  <si>
    <t>Guido tripodi</t>
  </si>
  <si>
    <t>Lmc truck item "colgado"</t>
  </si>
  <si>
    <t>usps: 9200190154960201977596</t>
  </si>
  <si>
    <t>Downpipe b58 CTS</t>
  </si>
  <si>
    <t>BKFK HDMI</t>
  </si>
  <si>
    <t>TO DO</t>
  </si>
  <si>
    <t xml:space="preserve"> </t>
  </si>
  <si>
    <t>SUGERIDOS</t>
  </si>
  <si>
    <t>ID</t>
  </si>
  <si>
    <t>FECHA</t>
  </si>
  <si>
    <t>MARCA</t>
  </si>
  <si>
    <t>VARIANTE</t>
  </si>
  <si>
    <t>DISPONIBLES</t>
  </si>
  <si>
    <t>COSTO TOTAL POR UNIDAD</t>
  </si>
  <si>
    <t>PRECIO LISTA</t>
  </si>
  <si>
    <t>GANANCIA EMI</t>
  </si>
  <si>
    <t>PRECIO EMI</t>
  </si>
  <si>
    <t>GANANCIA TALLER</t>
  </si>
  <si>
    <t>PRECIO TALLER</t>
  </si>
  <si>
    <t>VENTAS (ID)</t>
  </si>
  <si>
    <t>CONCAT</t>
  </si>
  <si>
    <t>CTS</t>
  </si>
  <si>
    <t>DOWNPIPE</t>
  </si>
  <si>
    <t>625, 649</t>
  </si>
  <si>
    <t>Infinity Design</t>
  </si>
  <si>
    <t>B58 G42</t>
  </si>
  <si>
    <t>NGK</t>
  </si>
  <si>
    <t>B58/S58</t>
  </si>
  <si>
    <t>Generica</t>
  </si>
  <si>
    <t>Rejillas</t>
  </si>
  <si>
    <t>M2 G87</t>
  </si>
  <si>
    <t>Caja al 26/02/2026 (dinero disponible)</t>
  </si>
  <si>
    <t>CODIGO</t>
  </si>
  <si>
    <t>COSTO</t>
  </si>
  <si>
    <t>PRECIO</t>
  </si>
  <si>
    <t>USADA</t>
  </si>
  <si>
    <t>Ganancia</t>
  </si>
  <si>
    <t>SALDADO COSTO DE LICENCIA</t>
  </si>
  <si>
    <t>SALDADAS US</t>
  </si>
  <si>
    <t>ABONADA A</t>
  </si>
  <si>
    <t>ABONADA POR CLIENTE/EMI</t>
  </si>
  <si>
    <t>984D005F-4B74-4F97-857D-D74086F4AC5D</t>
  </si>
  <si>
    <t>LUIS BIG TURBO</t>
  </si>
  <si>
    <t>Your permanent license discount code is:</t>
  </si>
  <si>
    <t>99BEF756-B80B-4725-8146-79C956DF9DEB</t>
  </si>
  <si>
    <t>EMILIANO RIGHETTI</t>
  </si>
  <si>
    <t>BMA30WSD</t>
  </si>
  <si>
    <t>E631335F-0B21-4A8E-A47C-E811AAB4A46F</t>
  </si>
  <si>
    <t>Your permanent hardware discount code is:</t>
  </si>
  <si>
    <t>036C7E28-606A-4003-A006-BEB9808765F2</t>
  </si>
  <si>
    <t>140i AZUL RICKY</t>
  </si>
  <si>
    <t>BMA15HDW</t>
  </si>
  <si>
    <t>B16454C8-EBDC-4736-B6FF-0451A2A46838</t>
  </si>
  <si>
    <t>328I N20 RICKY</t>
  </si>
  <si>
    <t>MHD</t>
  </si>
  <si>
    <t>13I N54 RICKY</t>
  </si>
  <si>
    <t>B20BBDF1-4AD1-4EA6-8AC0-813F35535038</t>
  </si>
  <si>
    <t>X4 RICKY</t>
  </si>
  <si>
    <t>6A88B923-7F95-4CAF-8BE0-100B16DB32AD</t>
  </si>
  <si>
    <t>Hernan Franchina 240 G42</t>
  </si>
  <si>
    <t>COSTO UNLOCK+LICENCIA</t>
  </si>
  <si>
    <t>43584210-8F92-4028-A936-9F9E711866A4</t>
  </si>
  <si>
    <t>Ferzilla</t>
  </si>
  <si>
    <t>F3ECAD8D-0144-46B2-B19A-C0D3C4B6C872</t>
  </si>
  <si>
    <t>PRECIOS de referencia</t>
  </si>
  <si>
    <t>ABA1D9AD-C427-4EA7-8D40-72FA121BFDA7</t>
  </si>
  <si>
    <t>DESC EMI</t>
  </si>
  <si>
    <t>DESC TALLER</t>
  </si>
  <si>
    <t>5489F26F-C8DE-4917-B1A9-565AADF515A4</t>
  </si>
  <si>
    <r>
      <rPr>
        <rFont val="Calibri"/>
        <color theme="1"/>
      </rPr>
      <t xml:space="preserve">REPRO FEMTO </t>
    </r>
    <r>
      <rPr>
        <rFont val="Calibri"/>
        <b/>
        <color theme="1"/>
      </rPr>
      <t>NON-M</t>
    </r>
  </si>
  <si>
    <t>6508DE4-E37F-4025-835E-1457B06ABE32</t>
  </si>
  <si>
    <t>120I B48 RICKY</t>
  </si>
  <si>
    <r>
      <rPr>
        <rFont val="Calibri"/>
        <color theme="1"/>
      </rPr>
      <t xml:space="preserve">REPRO FEMTO </t>
    </r>
    <r>
      <rPr>
        <rFont val="Calibri"/>
        <b/>
        <color theme="1"/>
      </rPr>
      <t>M</t>
    </r>
  </si>
  <si>
    <t>F2213172-CB14-4CF1-9100-448E2B3BA568</t>
  </si>
  <si>
    <t>GEROCHIVO CLAVADO</t>
  </si>
  <si>
    <r>
      <rPr>
        <rFont val="Calibri"/>
        <color theme="1"/>
      </rPr>
      <t xml:space="preserve">REPRO BM3 </t>
    </r>
    <r>
      <rPr>
        <rFont val="Calibri"/>
        <b/>
        <color theme="1"/>
      </rPr>
      <t>NON-M</t>
    </r>
  </si>
  <si>
    <t>32253872-D3EE-4035-9C1E-C9BEE46046FE</t>
  </si>
  <si>
    <t>NICO MAGGI</t>
  </si>
  <si>
    <r>
      <rPr>
        <rFont val="Calibri"/>
        <color theme="1"/>
      </rPr>
      <t xml:space="preserve">REPRO BM3 </t>
    </r>
    <r>
      <rPr>
        <rFont val="Calibri"/>
        <b/>
        <color theme="1"/>
      </rPr>
      <t>M</t>
    </r>
  </si>
  <si>
    <t>E8B88CD9-6A01-4166-9848-D0F3551AAC2D</t>
  </si>
  <si>
    <t>EMILIANO RIGHETTI - UNLOCK G42 - MANUEL VAZQUEZ</t>
  </si>
  <si>
    <t>E871F0DC-A1C7-47B7-84D4-3C0F0E121C9C</t>
  </si>
  <si>
    <t>EMILIANO RIGHETTI - JONY LALLITA</t>
  </si>
  <si>
    <t>PROPUESTA</t>
  </si>
  <si>
    <t>4BBB1328-5F13-4C14-A1E5-9B827A146BF4</t>
  </si>
  <si>
    <t>EMILIANO RIGHETTI - robertonicolaspierce@gmail.com - AD616TJ</t>
  </si>
  <si>
    <r>
      <rPr>
        <rFont val="Calibri"/>
        <color theme="1"/>
      </rPr>
      <t xml:space="preserve">REPRO FEMTO </t>
    </r>
    <r>
      <rPr>
        <rFont val="Calibri"/>
        <b/>
        <color theme="1"/>
      </rPr>
      <t>AMBAS</t>
    </r>
  </si>
  <si>
    <t>45AAD44D-33A3-4D4A-8C2D-1414980D2641</t>
  </si>
  <si>
    <t>EMILIANO RIGHETTI - thiagomoro09@gmail.com - AD842VD</t>
  </si>
  <si>
    <r>
      <rPr>
        <rFont val="Calibri"/>
        <color theme="1"/>
      </rPr>
      <t xml:space="preserve">REPRO FEMTO </t>
    </r>
    <r>
      <rPr>
        <rFont val="Calibri"/>
        <b/>
        <color theme="1"/>
      </rPr>
      <t>COMBO</t>
    </r>
  </si>
  <si>
    <t>8C79CD09-9235-4B09-A46C-597B2BE0380F</t>
  </si>
  <si>
    <t>EMILIANO RIGHETTI - uri.galanis@gmail.com - ac674ah</t>
  </si>
  <si>
    <t>09055F98-597C-4EB0-98D3-490321A0B51B</t>
  </si>
  <si>
    <t>ALAN OLMEDO - Tito comparato - N20</t>
  </si>
  <si>
    <t>A35DD6B7-8C98-4D86-A3D8-54F7ED4FB944</t>
  </si>
  <si>
    <t>EMILIANO RIGHETTI - maxiplaza80@gmail.com - AB529LV</t>
  </si>
  <si>
    <t>ECEDD916-DF51-43DB-8B07-76BE500831C9</t>
  </si>
  <si>
    <t>Juli Lerda - M2 - Repro G Series</t>
  </si>
  <si>
    <t>990DF998-7293-4376-A82F-D717694EBB81</t>
  </si>
  <si>
    <t>EMILIANO RIGHETTI - muruzabal77@gmail.com - AD381DQ</t>
  </si>
  <si>
    <t>583B2FF6-2075-412B-82A3-C867BB1ECE13</t>
  </si>
  <si>
    <t>EMILIANO RIGHETTI - b48 430</t>
  </si>
  <si>
    <t>11696C04-21F2-446A-8F3E-ACF5D22857BD</t>
  </si>
  <si>
    <t>LICENCE</t>
  </si>
  <si>
    <t>135i e82</t>
  </si>
  <si>
    <t>F7B8F744-8582-4745-A6E6-EFD6DCC23873</t>
  </si>
  <si>
    <t>Unlock</t>
  </si>
  <si>
    <t>43074D0A-9772-443D-BEEB-29B2AA083E6D</t>
  </si>
  <si>
    <t>F82798C3-CE44-4098-95A1-E612D494B1FA</t>
  </si>
  <si>
    <t xml:space="preserve">Emiliano Righetti - 335 - </t>
  </si>
  <si>
    <t>C5232B9C-1AEB-41FB-BC28-F073E0B0ACF1</t>
  </si>
  <si>
    <t>Emiliano Righetti - 140 - santiszmulewicz@gmail.com - AC584RQ</t>
  </si>
  <si>
    <t>3001338A-74C1-41BB-A7C0-89B5129D0C97</t>
  </si>
  <si>
    <t xml:space="preserve">Emiliano Righetti - Chef - </t>
  </si>
  <si>
    <t>56704954-3714-4498-BE2E-E289B7267BE3</t>
  </si>
  <si>
    <t>Emiliano Righetti - 140 - Losfiore@gmail.com</t>
  </si>
  <si>
    <t>A5DA8F44-2822-40CE-8E3C-3B6CD24F7F05</t>
  </si>
  <si>
    <t>4FDC25B4-4824-4DEA-8463-F977D413FC13</t>
  </si>
  <si>
    <t>8896ACAC-8656-4D01-9398-EEC7F805C870</t>
  </si>
  <si>
    <t>Emiliano Righetti - Lucasjamus@hotmail.com - AE743LU</t>
  </si>
  <si>
    <t>C181B552-C0EB-4727-900B-BC05F765FD74</t>
  </si>
  <si>
    <t>Emiliano Righetti - OTS Map Bundle - frigorificonazca@yahoo.com.ar</t>
  </si>
  <si>
    <t>CS Flash</t>
  </si>
  <si>
    <t>M2 Nacho Caparros</t>
  </si>
  <si>
    <t>CS Steering &amp; Audio profile</t>
  </si>
  <si>
    <t>M2 Emiliano Righetti</t>
  </si>
  <si>
    <t>CS Steering &amp; chassis</t>
  </si>
  <si>
    <t>M2 Fran Raspagliesi</t>
  </si>
  <si>
    <t>6AE44506-D90C-44A3-9C97-CF46FA6A2E56</t>
  </si>
  <si>
    <t>Mauro Lerda - M2 G87 - repro G series</t>
  </si>
  <si>
    <t>01190124-A430-4A90-8D4F-E693B3B0D67A</t>
  </si>
  <si>
    <t>A8F5611C-FBD4-4BB1-BD5C-C17E8FAB748D</t>
  </si>
  <si>
    <t>4E676B8F-C7DC-4062-B90C-BA37796C0E99</t>
  </si>
  <si>
    <t>Emiliano Righetti - servinjuancruz24@gmail.com - ab676ok</t>
  </si>
  <si>
    <t>A1DABFBA-2B09-48EA-9060-908152300734</t>
  </si>
  <si>
    <t>Emiliano Righetti - ezequielguarizola@hotmail.com - ae074nv</t>
  </si>
  <si>
    <t>F706EBAB-1D74-4361-8667-E6E890D59A84</t>
  </si>
  <si>
    <t>BA17B342-7BCB-47E1-A864-4FD0F228E8E0</t>
  </si>
  <si>
    <t>Emiliano Righetti - OTS Map Bundle - losfiore@gmail.com</t>
  </si>
  <si>
    <t>D5FC3C07-5117-4472-9A31-987A5834037F</t>
  </si>
  <si>
    <t>C7FB9CC8-4E65-4725-9455-3BF7CB6ECA69</t>
  </si>
  <si>
    <t>B348BD5C-C776-487A-BF45-476CAE09CC52</t>
  </si>
  <si>
    <t>Alan Olmedo - BMW 220 - felipelavandeira06@gmail.com - ad472gg</t>
  </si>
  <si>
    <t>64A4A489-A372-4E05-AAE2-6FA064F27075</t>
  </si>
  <si>
    <t>8212E62A-7BA3-42C5-B24D-82E8B8A5B9D9</t>
  </si>
  <si>
    <t>60E221FB-3133-4AB4-B86C-F0A5CCDF0817</t>
  </si>
  <si>
    <t>652106DA-05DA-42C7-9EC1-C4A482175AA8</t>
  </si>
  <si>
    <t>0426F2CA-7917-4666-AFB3-B9AEAA6E47D2</t>
  </si>
  <si>
    <t>Sin abonar</t>
  </si>
  <si>
    <t>D3DB1E24-F262-48F2-BC7E-CC8290C810E6</t>
  </si>
  <si>
    <t>6DC217A2-CF82-44C2-8795-5DAC13145402</t>
  </si>
  <si>
    <t>Emiliano Righetti - Lucero Escalante - catalinasalituri@gmail.com - af187of</t>
  </si>
  <si>
    <t>22536AAF-9AA8-4EB3-B34F-6D48EB7636FF</t>
  </si>
  <si>
    <t>FEDAC735-E72D-4FAA-9AC8-17A766C6D021</t>
  </si>
  <si>
    <t>B91274D1-80E2-48B4-8F72-7F7992C81686</t>
  </si>
  <si>
    <t>Emiliano Righetti - M2 Frozen blue</t>
  </si>
  <si>
    <t>MHD N55E Stage 2</t>
  </si>
  <si>
    <t>Map bundle</t>
  </si>
  <si>
    <t>Emiliano Righetti - compras@pgstools.com.ar</t>
  </si>
  <si>
    <t>Emiliano Righetti - m5 s63 - memuruzabal@hotmail.com.ar</t>
  </si>
  <si>
    <t>COSTO APROX FEMTO UNLOCK</t>
  </si>
  <si>
    <t>GANANCIAS</t>
  </si>
  <si>
    <t>COSTO BAJADA B58</t>
  </si>
  <si>
    <t>LISTA</t>
  </si>
  <si>
    <t>TALLER</t>
  </si>
  <si>
    <t>EMI</t>
  </si>
  <si>
    <t>COSTO BAJADA S58</t>
  </si>
  <si>
    <t>COSTO INFINITY B58</t>
  </si>
  <si>
    <t>COSTO INFINITY S58</t>
  </si>
  <si>
    <t>COSTO BUJIAS TITAN</t>
  </si>
  <si>
    <t>PAQUETE B58</t>
  </si>
  <si>
    <t>PAQUETE S58</t>
  </si>
  <si>
    <t>BAJADA</t>
  </si>
  <si>
    <t>BUJIAS</t>
  </si>
  <si>
    <t>REPRO</t>
  </si>
  <si>
    <t>TOTAL</t>
  </si>
  <si>
    <t>SIN INTAKE</t>
  </si>
  <si>
    <t>ENVIOS Y PAGOS</t>
  </si>
  <si>
    <t>ENVIO ABONADO</t>
  </si>
  <si>
    <t>PAGADO POR</t>
  </si>
  <si>
    <t>SALDADO?</t>
  </si>
  <si>
    <t>GANANCIA SELECCIONADA</t>
  </si>
  <si>
    <t>PARTES GETBMW M3 E36</t>
  </si>
  <si>
    <t>GANANCIA TOTAL</t>
  </si>
  <si>
    <t>PARTES ECS M3 E36</t>
  </si>
  <si>
    <t>JUNTA COMETIC</t>
  </si>
  <si>
    <t>OTRAS CONSIDERACIONES</t>
  </si>
  <si>
    <t>VALOR</t>
  </si>
  <si>
    <t>FEDE Y NAHUE</t>
  </si>
  <si>
    <t>DINERO PARA SALDO COMPRAS</t>
  </si>
  <si>
    <t>ENTREGADO A NAHUE 16/07/2024</t>
  </si>
  <si>
    <t>TECLADO NAHUE</t>
  </si>
  <si>
    <t>ESCAPE AKRAPOVIC</t>
  </si>
  <si>
    <t>PARTES VOLVO GENUINE</t>
  </si>
  <si>
    <t>PAGOS CUESTIONES ADMINISTRATIVAS TRIBE SHIPPING</t>
  </si>
  <si>
    <t>GASTOS PUBLICIDAD Y VARIOS SALDADOS A JUNIO-2024</t>
  </si>
  <si>
    <t>OK</t>
  </si>
  <si>
    <t>Renovacion de dominio</t>
  </si>
  <si>
    <t>pagado por nahue 16/07/2024</t>
  </si>
  <si>
    <t>PLASTICO VOLVO EBAY</t>
  </si>
  <si>
    <t>BimmerFest</t>
  </si>
  <si>
    <t>17/10/2025 transfe Fede</t>
  </si>
  <si>
    <t>PARTES MARGOSIAN 1ER PARTE</t>
  </si>
  <si>
    <t>03/12/2025 transfe Fede</t>
  </si>
  <si>
    <t>PARAGOLPE M3 E36</t>
  </si>
  <si>
    <t>Pago cartel TribeShipping para bimmerfest</t>
  </si>
  <si>
    <t>abonado el 11/12/2025 por fede</t>
  </si>
  <si>
    <t>FILTRO M2 ABEL</t>
  </si>
  <si>
    <t>pagado por nahue 24 jun 2025</t>
  </si>
  <si>
    <t>VRSF M2 ABEL</t>
  </si>
  <si>
    <t>Google Workspace desde Julio 24 a Enero 26</t>
  </si>
  <si>
    <t>pagado por nahue</t>
  </si>
  <si>
    <t>SENSOR N20 YANI</t>
  </si>
  <si>
    <t>Via Cargo Downpipe Raptor</t>
  </si>
  <si>
    <t>LLANTAS M2 ABEL</t>
  </si>
  <si>
    <t>PUBLICIDAD IG</t>
  </si>
  <si>
    <t>SENSORES HONDA X5</t>
  </si>
  <si>
    <t>AUTITO ESCALA M2</t>
  </si>
  <si>
    <t>ZAPATILLAS MILAGROS MOUSO</t>
  </si>
  <si>
    <t>DIVERTER M2 ABEL</t>
  </si>
  <si>
    <t>SIDEMARKERS M2 ABEL</t>
  </si>
  <si>
    <t>IACV HONDA</t>
  </si>
  <si>
    <t>COLITAS M2 ABEL</t>
  </si>
  <si>
    <t>RIÑONES M2 ABEL</t>
  </si>
  <si>
    <t>MODULOS HONDA X5</t>
  </si>
  <si>
    <t>ALERON M2 ABEL</t>
  </si>
  <si>
    <t>ORDEN GRANDE M4 JUAN PAPA</t>
  </si>
  <si>
    <t>CEPILLOS DETAIL NAHUE</t>
  </si>
  <si>
    <t>SWITCH MAZDA TANO</t>
  </si>
  <si>
    <t>INTERCOOLER VRSF OLMEDO</t>
  </si>
  <si>
    <t>REPUESTOS MARGOSIAN CAMARO</t>
  </si>
  <si>
    <t>ROPA JUAN PAPA</t>
  </si>
  <si>
    <t>DISCOS TRASEROS M3</t>
  </si>
  <si>
    <t>PASTILLAS Y PARTS M3 TRAS</t>
  </si>
  <si>
    <t>FILTRO KYN 335I</t>
  </si>
  <si>
    <t>SENSOR LAND ROVER</t>
  </si>
  <si>
    <t>BOMBA DORCH STG2</t>
  </si>
  <si>
    <t>ESPEJOS M2</t>
  </si>
  <si>
    <t>PARTES M4 PARTE 2</t>
  </si>
  <si>
    <t>FLANGUE AGUA</t>
  </si>
  <si>
    <t>TECHO MERCEDES</t>
  </si>
  <si>
    <t>DUCHA</t>
  </si>
  <si>
    <t>RADIADOR BMW</t>
  </si>
  <si>
    <t>RIÑONES 335I F30</t>
  </si>
  <si>
    <t>GUARDAPLAST M4 PAPA</t>
  </si>
  <si>
    <t>GUARDAPLAST HONDA</t>
  </si>
  <si>
    <t>AMORTIGUADOR VOLVO</t>
  </si>
  <si>
    <t>PLASTICO SAPITO</t>
  </si>
  <si>
    <t>CHARGEPIPE N55 CASTELLVI</t>
  </si>
  <si>
    <t>BUJES RS4</t>
  </si>
  <si>
    <t>ZAPAS AIRMAX</t>
  </si>
  <si>
    <t>RADIADOR CSF 135I</t>
  </si>
  <si>
    <t>TURBO PURE ABEL</t>
  </si>
  <si>
    <t>BUJE RESTANTE RS4</t>
  </si>
  <si>
    <t>DELETE RAZ PARAGOLPE</t>
  </si>
  <si>
    <t>AMORTIGUADORCITOS VOLVO</t>
  </si>
  <si>
    <t>ACCESORIOS CARROCERIA VARIOS CHINA</t>
  </si>
  <si>
    <t>CAPOT M2</t>
  </si>
  <si>
    <t>PANTALLITAS ORLANDO</t>
  </si>
  <si>
    <t>FAROS 335I F30 NACHO</t>
  </si>
  <si>
    <t>PARAGOLPE M2 ABEL</t>
  </si>
  <si>
    <t>MUD GUARDS NAHUE</t>
  </si>
  <si>
    <t>FAROS HYUNDAI JAVIER</t>
  </si>
  <si>
    <t>BOTON AUXILIAR NAHUE</t>
  </si>
  <si>
    <t>Repuestos honda primer parte</t>
  </si>
  <si>
    <t>GUARDABARRO 335I ABEL</t>
  </si>
  <si>
    <t>Puños Moto rey</t>
  </si>
  <si>
    <t>Repuestos M3 (metales + riñones + junta + manijita)</t>
  </si>
  <si>
    <t>Stereo Audi Rey</t>
  </si>
  <si>
    <t>Bobinas m3 Emiliano Righetti</t>
  </si>
  <si>
    <t>repuesto goma espuma rey</t>
  </si>
  <si>
    <t>flotante rey</t>
  </si>
  <si>
    <t>cojinetes k series</t>
  </si>
  <si>
    <t>valvula x6</t>
  </si>
  <si>
    <t>sexta corta</t>
  </si>
  <si>
    <t>engine valve cover</t>
  </si>
  <si>
    <t>bomba nafta m3 e36</t>
  </si>
  <si>
    <t>Carburador ramiro cordoba</t>
  </si>
  <si>
    <t>Supension Civic Nahue</t>
  </si>
  <si>
    <t>Map n20 x2</t>
  </si>
  <si>
    <t>bujias ngk x8</t>
  </si>
  <si>
    <t>diverter abel m2</t>
  </si>
  <si>
    <t>Disco delantero honda crx</t>
  </si>
  <si>
    <t>pastillas honda crx</t>
  </si>
  <si>
    <t>cachas espejos Emiliano Righetti</t>
  </si>
  <si>
    <t>COLITAS M PERFOMANCE JUANMA</t>
  </si>
  <si>
    <t>ALERON CIVIC NAHUE</t>
  </si>
  <si>
    <t>ALERON RS4 DANNO</t>
  </si>
  <si>
    <t>ESPEJOS BMW F20</t>
  </si>
  <si>
    <t>SUBFRAME HONDA NERF</t>
  </si>
  <si>
    <t>BUJIAS ngk x8</t>
  </si>
  <si>
    <t>TORNILLOS M3</t>
  </si>
  <si>
    <t>SENSOR DENSO</t>
  </si>
  <si>
    <t>AMORT TRASEROS Z4 BILSTEIN</t>
  </si>
  <si>
    <t>EMBLEMAS BMW</t>
  </si>
  <si>
    <t>REPUESTO TOYOTA CAMRY</t>
  </si>
  <si>
    <t>Disco de freno Honda</t>
  </si>
  <si>
    <t xml:space="preserve">Inlet Vrsf </t>
  </si>
  <si>
    <t>opticas bmw m3 e36</t>
  </si>
  <si>
    <t>arp tapa de cilindro</t>
  </si>
  <si>
    <t xml:space="preserve">Bundle M3 e36 </t>
  </si>
  <si>
    <t>amortiguadores delanteros bmw z4</t>
  </si>
  <si>
    <t>riñones m3</t>
  </si>
  <si>
    <t>Leva land rover</t>
  </si>
  <si>
    <t>Filtro BMS</t>
  </si>
  <si>
    <t>Sensor map n20</t>
  </si>
  <si>
    <t>Sonda Bosch n55</t>
  </si>
  <si>
    <t>Torniillera m3 e36</t>
  </si>
  <si>
    <t>Molduras Honda Nerf</t>
  </si>
  <si>
    <t>Burlete y antena Z4</t>
  </si>
  <si>
    <t>Licencias bm3</t>
  </si>
  <si>
    <t>Envio DHL ECU LUIS a MIAMI</t>
  </si>
  <si>
    <t>PAGO FEMTO</t>
  </si>
  <si>
    <t>GESTION CASTE</t>
  </si>
  <si>
    <t>Titan motorsport 240 Luis</t>
  </si>
  <si>
    <t>GASTO ENVIO MIAMI &gt; FINLANDIA</t>
  </si>
  <si>
    <t>Opticas Danno</t>
  </si>
  <si>
    <t>Items amazon javier</t>
  </si>
  <si>
    <t>Sensor Map n20 135 abel</t>
  </si>
  <si>
    <t>Tablet Jessi Olmedo</t>
  </si>
  <si>
    <t>Danno Joint</t>
  </si>
  <si>
    <t>Diverter GFB Alan Olmedo</t>
  </si>
  <si>
    <t xml:space="preserve">Ecs m3 e46 Pablo Romano </t>
  </si>
  <si>
    <t>Hondata</t>
  </si>
  <si>
    <t>Wideband Innovate</t>
  </si>
  <si>
    <t>Filtro kyn y wideband aem</t>
  </si>
  <si>
    <t>Lineas freno Alan klement</t>
  </si>
  <si>
    <t>Cinta dorada Alan Klement</t>
  </si>
  <si>
    <t>DME 240i Luis</t>
  </si>
  <si>
    <t>Subframe Nerf</t>
  </si>
  <si>
    <t>TBA X5 Leandro</t>
  </si>
  <si>
    <t>Honda Parts Nerf</t>
  </si>
  <si>
    <t>Autito Golf Nerf</t>
  </si>
  <si>
    <t>Sincros</t>
  </si>
  <si>
    <t>Calcos honda</t>
  </si>
  <si>
    <t>Tapita Honda</t>
  </si>
  <si>
    <t>Moldura Honda</t>
  </si>
  <si>
    <t>Ropa Foca</t>
  </si>
  <si>
    <t>Opel burlete</t>
  </si>
  <si>
    <t>Opel espejo</t>
  </si>
  <si>
    <t>Bomba supra Juanma</t>
  </si>
  <si>
    <t>Blowsion Alan Bruno</t>
  </si>
  <si>
    <t>Tc Freeride Alan Bruno</t>
  </si>
  <si>
    <t>Thrust Alan Bruno</t>
  </si>
  <si>
    <t>Aro Turbina Alan Bruno</t>
  </si>
  <si>
    <t>Parrilla Porta maza m2</t>
  </si>
  <si>
    <t>varios m3 e46 cliente Emiliano Righetti</t>
  </si>
  <si>
    <t>PAGADO VENTILADORES RODRI</t>
  </si>
  <si>
    <t>Multiple Civic Nahue</t>
  </si>
  <si>
    <t>Escape Revel</t>
  </si>
  <si>
    <t>Luces interior Alan Olmedo</t>
  </si>
  <si>
    <t>Adaptador y Modulo Leandro Ig</t>
  </si>
  <si>
    <t xml:space="preserve"> $ -   </t>
  </si>
  <si>
    <t>Compra Blowsion Alan Bruno</t>
  </si>
  <si>
    <t>Lineas de freno Alan Olmedo</t>
  </si>
  <si>
    <t>Fierros Factory Nerf</t>
  </si>
  <si>
    <t>Charge pipe b58 Matias Virarelli</t>
  </si>
  <si>
    <t>Inlet b58 Matias Virarelli</t>
  </si>
  <si>
    <t>Embrague exedy</t>
  </si>
  <si>
    <t>Cai Matias Virarelli</t>
  </si>
  <si>
    <t>Modulo MB Coco Padilla</t>
  </si>
  <si>
    <t>Tornillos ARP Nerf (embrague y tapa)</t>
  </si>
  <si>
    <t>ECS Tapas de optica Leandro Ig</t>
  </si>
  <si>
    <t>ECS Vanos Leandro Ig</t>
  </si>
  <si>
    <t>Buje ECS Alan Olmedo</t>
  </si>
  <si>
    <t>Compra GetbmwParts M3 e36 A.OLMEDO</t>
  </si>
  <si>
    <t>Bujes ECS F30 335I A.OLMEDO</t>
  </si>
  <si>
    <t>Valvulas Ferrea + supertech + oil pump NERF</t>
  </si>
  <si>
    <t>Pechera Alpine star A.klement</t>
  </si>
  <si>
    <t>Twitters Eterovic</t>
  </si>
  <si>
    <t>Alivio NERF</t>
  </si>
  <si>
    <t>Partes m3 e46 Emiliano Righetti</t>
  </si>
  <si>
    <t>Bujes A. Olmedo</t>
  </si>
  <si>
    <t>Multiple Nerf</t>
  </si>
  <si>
    <t>Cooling pack</t>
  </si>
  <si>
    <t>Titan Missing Parts</t>
  </si>
  <si>
    <t>Kraftwerks Filter</t>
  </si>
  <si>
    <t>Cable acelerador Alan Bruno</t>
  </si>
  <si>
    <t>Buje Powerflex Thomas</t>
  </si>
  <si>
    <t>Envio DHL Pomo m3 e46</t>
  </si>
  <si>
    <t>Programador coco padilla</t>
  </si>
  <si>
    <t>Wastegate Nerf</t>
  </si>
  <si>
    <t>Blowsion L.Sosa</t>
  </si>
  <si>
    <t>Timing Tool Coco Padilla</t>
  </si>
  <si>
    <t>Level 7 Nerf</t>
  </si>
  <si>
    <t>Raceart Nerf</t>
  </si>
  <si>
    <t>Pomo E46 M3 Emiliano Righetti</t>
  </si>
  <si>
    <t>Valvula MAC Nerf</t>
  </si>
  <si>
    <t>Downpipe VRSF Luis 240</t>
  </si>
  <si>
    <t>iNTAKE csf lUIS 240</t>
  </si>
  <si>
    <t>Marine Parts NERF</t>
  </si>
  <si>
    <t>Tensor MB Coco Padilla</t>
  </si>
  <si>
    <t>Engranaje MB Coco Padilla</t>
  </si>
  <si>
    <t>Filtro Volvo NERF</t>
  </si>
  <si>
    <t>Inyectores NERF</t>
  </si>
  <si>
    <t>Junta Speedfactory NERF</t>
  </si>
  <si>
    <r>
      <rPr/>
      <t xml:space="preserve">Pagos publicidad y gmail: </t>
    </r>
    <r>
      <rPr>
        <color rgb="FF1155CC"/>
        <u/>
      </rPr>
      <t>https://trello.com/c/2kcmSxjE</t>
    </r>
  </si>
  <si>
    <t>Pasaruedas 240i Luis</t>
  </si>
  <si>
    <t xml:space="preserve">Spray Alan Olmedo </t>
  </si>
  <si>
    <t>Difusor 240i Emiliano Righetti</t>
  </si>
  <si>
    <t>Cachas carbono 240i Emiliano Righetti</t>
  </si>
  <si>
    <t>Intake 240i Emiliano Righetti</t>
  </si>
  <si>
    <t>Ecu Link Alan Olmedo M3</t>
  </si>
  <si>
    <t>Correa Gates Nerf</t>
  </si>
  <si>
    <t>Ventilador Portables Nerf</t>
  </si>
  <si>
    <t>Plaqueta bateria Abel</t>
  </si>
  <si>
    <t>Embrague Luk Emiliano Righetti</t>
  </si>
  <si>
    <t>Bomba interna Felix Scheuter</t>
  </si>
  <si>
    <t>Tanque Moto Alan Klement</t>
  </si>
  <si>
    <t>Colitas M perfomance Emiliano Righetti 240i</t>
  </si>
  <si>
    <t>Patada Alan Klement</t>
  </si>
  <si>
    <t>Protectores auditivos Franco Sciacarrillo</t>
  </si>
  <si>
    <t>Parrilla MB Franco Sciacarrillo</t>
  </si>
  <si>
    <t>Inyectores Felix</t>
  </si>
  <si>
    <t>Tensores Daro Gaig</t>
  </si>
  <si>
    <t>Espaciadores Daro Gaig</t>
  </si>
  <si>
    <t>Regulador ventana Leandro Contigiani</t>
  </si>
  <si>
    <t>Cinta bmw Leandro Contigiani</t>
  </si>
  <si>
    <t>Sensor Thomas Shaw x1</t>
  </si>
  <si>
    <t>Reloj Aeromotive Nerf</t>
  </si>
  <si>
    <t>Abel Termica</t>
  </si>
  <si>
    <t>Iphone Karina Mora</t>
  </si>
  <si>
    <t>Items apple Karina Mora</t>
  </si>
  <si>
    <t>Fuel System Kit NERF</t>
  </si>
  <si>
    <t>Herramienta Inyectores Emiliano Righetti</t>
  </si>
  <si>
    <t>Selenoide Mini Medu</t>
  </si>
  <si>
    <t>Plaqueta Patricio</t>
  </si>
  <si>
    <t>Manguera Javier Capizzano x1</t>
  </si>
  <si>
    <t>Manguera Javier Capizzano x4</t>
  </si>
  <si>
    <t>Kit embragues Luis 240i</t>
  </si>
  <si>
    <t>Pata motor Daro Gaig</t>
  </si>
  <si>
    <t>Kyn Freedy</t>
  </si>
  <si>
    <t>Reloj Smartwatch Danno Starck</t>
  </si>
  <si>
    <t>Optica Audi TT Alan Olmedo</t>
  </si>
  <si>
    <t>Ropa Danno Starck</t>
  </si>
  <si>
    <t>Tapa Termostato Suzuki Alan Olmedo</t>
  </si>
  <si>
    <t>Modulo bmw Nacho Fantuz</t>
  </si>
  <si>
    <t>Cadena Distribucion Pablo Alvarez</t>
  </si>
  <si>
    <t>Sensor de presion Coco Padilla</t>
  </si>
  <si>
    <t>Ruleman VOLVO NERF</t>
  </si>
  <si>
    <t>Maquina Cortadora Laser Lucas Strachensko</t>
  </si>
  <si>
    <t>Maquina ultrasonido Rodrigo Frejeido</t>
  </si>
  <si>
    <t>Manchon NERF</t>
  </si>
  <si>
    <t>Joint y junta carter M3 E46 Rey</t>
  </si>
  <si>
    <t>Tweatter Yamaha</t>
  </si>
  <si>
    <t>Tapa Parlante Emiliano Righetti</t>
  </si>
  <si>
    <t>Logos Renault RS NERF</t>
  </si>
  <si>
    <t>Embudo Emiliano Righetti</t>
  </si>
  <si>
    <t>Tapita Franco Sciacarrillo</t>
  </si>
  <si>
    <t>Termostato Daro Gaig</t>
  </si>
  <si>
    <t>Colizas BMW Emiliano Righetti</t>
  </si>
  <si>
    <t>Joysticks Rodrigo Frejeido</t>
  </si>
  <si>
    <t>Llaves Mini COCO PADILLA</t>
  </si>
  <si>
    <t>Partes Faltantes Leandro Cotigiani</t>
  </si>
  <si>
    <t>Air Springs Diego Martinez</t>
  </si>
  <si>
    <t>Sega Saturn consola Rodrigo</t>
  </si>
  <si>
    <t>Pastillas Brembo RS NERF</t>
  </si>
  <si>
    <t>Godiag Autotool Coco Padilla</t>
  </si>
  <si>
    <t>Rotula SQ5 Matias de migale</t>
  </si>
  <si>
    <t>Cut OUT can am</t>
  </si>
  <si>
    <t>Ventiladores portables Nerf</t>
  </si>
  <si>
    <t>Fogs Ram Alejo Martinez</t>
  </si>
  <si>
    <t>Borcegos Mario Bruno</t>
  </si>
  <si>
    <t>Inlet Emiliano Righetti</t>
  </si>
  <si>
    <t>Aplicadores silicona y cepillos tipo plancha</t>
  </si>
  <si>
    <t>Motores de puerta Audi Alan Olmedo</t>
  </si>
  <si>
    <t>Llaves MB Coco Padilla</t>
  </si>
  <si>
    <t>Godiag Test Plataform Coco Padilla</t>
  </si>
  <si>
    <t>Ropa Yeezy 2 NERF</t>
  </si>
  <si>
    <t>Plastico Bmw reposta items Emiliano Righetti</t>
  </si>
  <si>
    <t>Centro volante Bmw Emiliano Righetti</t>
  </si>
  <si>
    <t>Opticas Ram  Alejo Martinez</t>
  </si>
  <si>
    <t>Blowsion F.crespo</t>
  </si>
  <si>
    <t>Modulo cuñado Juanma</t>
  </si>
  <si>
    <t>Diverter Emiliano Righetti</t>
  </si>
  <si>
    <t>Orrings Javier Capizzano</t>
  </si>
  <si>
    <t>Parlantes Harman Kardon Abel</t>
  </si>
  <si>
    <t>Bomba Nafta Javier Capizzano</t>
  </si>
  <si>
    <t>Kit levas resortes, arp (sin levas) luis</t>
  </si>
  <si>
    <t>Espejo 235I Fede Gym</t>
  </si>
  <si>
    <t>grilla M3 E46 Usada Nico Rosanzky</t>
  </si>
  <si>
    <t>Aplicadores Hawk Drops</t>
  </si>
  <si>
    <t>Problend Positivo</t>
  </si>
  <si>
    <t>Fuelle usado Nico Rozansky</t>
  </si>
  <si>
    <t>Repuestos chicos Honda Stabile</t>
  </si>
  <si>
    <t>Mariposa V6 Alejandro</t>
  </si>
  <si>
    <t>Alfombra Juan Papa</t>
  </si>
  <si>
    <t>Ropa YZY NERF</t>
  </si>
  <si>
    <t>Levas b58 Luis</t>
  </si>
  <si>
    <t>Multiple Skunk</t>
  </si>
  <si>
    <t>Difusor Nacho Fantuz 140i</t>
  </si>
  <si>
    <t>Mariposa Skunk</t>
  </si>
  <si>
    <t>Bomba Nissin</t>
  </si>
  <si>
    <t>Syncros K20</t>
  </si>
  <si>
    <t>Junta escape Luis 240i</t>
  </si>
  <si>
    <t>Divertir Emiliano Righetti 2</t>
  </si>
  <si>
    <t>Pomo M3 Nico Rosanzky</t>
  </si>
  <si>
    <t>Cepillitos Positivo</t>
  </si>
  <si>
    <t>Calcos Porshce Ramiro Barrea</t>
  </si>
  <si>
    <t>Sensor Fuel Javier Capizzano</t>
  </si>
  <si>
    <t>Fondo Tablero M3 Nico Rosanzky</t>
  </si>
  <si>
    <t>Caja direccion MB</t>
  </si>
  <si>
    <t>Cepillos Goma Positivo</t>
  </si>
  <si>
    <t>Partes varias Porsche Ramiro Barrea</t>
  </si>
  <si>
    <t>Cilinder Porsche</t>
  </si>
  <si>
    <t>Ropa Juan Papa  x12</t>
  </si>
  <si>
    <t>Calcos Honda Freddy</t>
  </si>
  <si>
    <t>LLaves Jeep Coco</t>
  </si>
  <si>
    <t>Aplicadores Hawk Positivo</t>
  </si>
  <si>
    <t>Cepillos plancha positivo</t>
  </si>
  <si>
    <t>Reel Pesca</t>
  </si>
  <si>
    <t>Cerradura Bmw</t>
  </si>
  <si>
    <t>Manija Puerta Rosanzky</t>
  </si>
  <si>
    <t>Medu 406</t>
  </si>
  <si>
    <t>Medu 076</t>
  </si>
  <si>
    <t>Medu DFI Controller</t>
  </si>
  <si>
    <t>Multiple skunk matias fititero</t>
  </si>
  <si>
    <t>Thermal Camara Guido Tripodi</t>
  </si>
  <si>
    <t>Camera Francp gworks</t>
  </si>
  <si>
    <t>Jacket Zara Danno</t>
  </si>
  <si>
    <t>Discos m5 Javier Capizzano</t>
  </si>
  <si>
    <t>Ropa Nieve NERF</t>
  </si>
  <si>
    <t>Partes Mitsu Juan m3</t>
  </si>
  <si>
    <t>Gato Prompter Danno</t>
  </si>
  <si>
    <t>Repuesto HB Anibal bento</t>
  </si>
  <si>
    <t>Funda Samsung Danno</t>
  </si>
  <si>
    <t>Motor Lavafaro audi A.OLMEDO</t>
  </si>
  <si>
    <t>Garra Drone Medu</t>
  </si>
  <si>
    <t>Ropa Juan Papa x2</t>
  </si>
  <si>
    <t>Belly Pan Javier Capizzano</t>
  </si>
  <si>
    <t>Pedido m3 Getbmw Alan Olmedo</t>
  </si>
  <si>
    <t>Grilla Rs4 y tapa</t>
  </si>
  <si>
    <t>Repuestos Honda NERF</t>
  </si>
  <si>
    <t>Xhorse Coco VVDI2</t>
  </si>
  <si>
    <t>Antiparras Nieve Nerf</t>
  </si>
  <si>
    <t>Sensor z4 Emiliano Righetti</t>
  </si>
  <si>
    <t>Odometer Repair Kit</t>
  </si>
  <si>
    <t>Seat extenders Bmw Emiliano Righetti</t>
  </si>
  <si>
    <t>Camarita Nerf</t>
  </si>
  <si>
    <t>Tecla Baliza Danno</t>
  </si>
  <si>
    <t>Obstaculo Medu 1</t>
  </si>
  <si>
    <t>Obstaculo Medu 2</t>
  </si>
  <si>
    <t>Piluso Danno</t>
  </si>
  <si>
    <t>Llaves Coco Jeep v2</t>
  </si>
  <si>
    <t>Cloud City Drones Medu</t>
  </si>
  <si>
    <t>Link Sensor missing part Titan</t>
  </si>
  <si>
    <t>Envio DHL DME Hernan Franchina</t>
  </si>
  <si>
    <t>Pedido ECS S4 A.Olmedo</t>
  </si>
  <si>
    <t>Sopladores positivo</t>
  </si>
  <si>
    <t>Banderillas MEDU</t>
  </si>
  <si>
    <t>Xhorse Coco VVDI PARTE 2</t>
  </si>
  <si>
    <t>OSMO action Aixa</t>
  </si>
  <si>
    <t>Herramienta DSG Coco Padilla</t>
  </si>
  <si>
    <t>New balance Coco padilla</t>
  </si>
  <si>
    <t>Union bindings NERF</t>
  </si>
  <si>
    <t>Aro mitsubishi outlander Jose legari</t>
  </si>
  <si>
    <t>Envio DME Fer Zilla ARG-USA</t>
  </si>
  <si>
    <t>DME Hernan Frachina</t>
  </si>
  <si>
    <t>Compresor DENSO bmw</t>
  </si>
  <si>
    <t>DJi mic</t>
  </si>
  <si>
    <t>Getbmw Missing Part</t>
  </si>
  <si>
    <t>Sensores bmw parking Emiliano Righetti</t>
  </si>
  <si>
    <t>Insignias MB Emiliano Righetti</t>
  </si>
  <si>
    <t>CG Pro Coco Padilla</t>
  </si>
  <si>
    <t>Kit tapas carbono S4 Alan Olmedo</t>
  </si>
  <si>
    <t>acrilico bmw derecho</t>
  </si>
  <si>
    <t>Correa S4 Alan Olmedo</t>
  </si>
  <si>
    <t>Tool S54 ECS</t>
  </si>
  <si>
    <t>Inyectores Pablo Alvarez</t>
  </si>
  <si>
    <t>Repuesto ducha demian</t>
  </si>
  <si>
    <t>Retenes y tornillos s4 A.Olmedo</t>
  </si>
  <si>
    <t>Acrilico bmw izquierdo</t>
  </si>
  <si>
    <t>Batery Charger y accesorio Celu</t>
  </si>
  <si>
    <t>DME ZILLA</t>
  </si>
  <si>
    <t>Embrague Popi</t>
  </si>
  <si>
    <t>Cachas espejo leandro cotigiani</t>
  </si>
  <si>
    <t>Accesorios 323ti</t>
  </si>
  <si>
    <t>Aleron MB</t>
  </si>
  <si>
    <t>Radiador Touareg Nicolas Tarantini</t>
  </si>
  <si>
    <t>Electro Touareg Nicolas Tarantini</t>
  </si>
  <si>
    <t>Items Bose Nicolas Tarantini</t>
  </si>
  <si>
    <t>Repuestos Yamaha Patrick Jones</t>
  </si>
  <si>
    <t>Pastillas Moto Juanma</t>
  </si>
  <si>
    <t>Short Shifter Perrin Victor</t>
  </si>
  <si>
    <t>Ecu X5 Coco Padilla</t>
  </si>
  <si>
    <t>Kyn Matias Fititero</t>
  </si>
  <si>
    <t>Cachas Espejos c400</t>
  </si>
  <si>
    <t>Intercooler Nahue</t>
  </si>
  <si>
    <t>Kit intercooler e intake C400</t>
  </si>
  <si>
    <t>Tips Exhaust C400</t>
  </si>
  <si>
    <t>Grilla delantera C400</t>
  </si>
  <si>
    <t>Elementos electronicos Leandro Cotigiani</t>
  </si>
  <si>
    <t>Aleron porsche</t>
  </si>
  <si>
    <t>Items ecs Leandro Cotigiani</t>
  </si>
  <si>
    <t xml:space="preserve">Vanos Toaureg </t>
  </si>
  <si>
    <t>Aleron C400</t>
  </si>
  <si>
    <t>Arm Honda Demian</t>
  </si>
  <si>
    <t>Fusilera Yamaha Patrick Jones</t>
  </si>
  <si>
    <t>BimmerWorld Lean Cotigiani</t>
  </si>
  <si>
    <t>Biela Yamaha Chun</t>
  </si>
  <si>
    <t>Tambor Kawasaki Rasta</t>
  </si>
  <si>
    <t>Sensores BMW Emiliano Righetti</t>
  </si>
  <si>
    <t>Tensionador Toaureg Nico Toaureg</t>
  </si>
  <si>
    <t>Viras Cromadas Passat CC Alan Olmedo</t>
  </si>
  <si>
    <t>Banco Pruebas BMW</t>
  </si>
  <si>
    <t>Lever Assy Yamaha</t>
  </si>
  <si>
    <t>Lentes Burbery</t>
  </si>
  <si>
    <t>Ford Convertible top and quarters</t>
  </si>
  <si>
    <t>Correctores Adrian Stabile</t>
  </si>
  <si>
    <t>Bulones Rueda Alan Olmedo</t>
  </si>
  <si>
    <t>Getbmw Alan Olmedo</t>
  </si>
  <si>
    <t>Plastico Motor bmw alan olmedo</t>
  </si>
  <si>
    <t>Hurley Pants clay Coco</t>
  </si>
  <si>
    <t>Honda Parts Stabile</t>
  </si>
  <si>
    <t>Front window regulator Pablo valdez</t>
  </si>
  <si>
    <t>Burlete Opel Jose</t>
  </si>
  <si>
    <t>Xhose Chips</t>
  </si>
  <si>
    <t>North face ropa Coco</t>
  </si>
  <si>
    <t>Hurley Pants green Coco</t>
  </si>
  <si>
    <t>Honda Megazip Adrian</t>
  </si>
  <si>
    <t>alfombras Nerf</t>
  </si>
  <si>
    <t>Thermal Camara Nicolas Touareg</t>
  </si>
  <si>
    <t>Cables freno Honda Adrian</t>
  </si>
  <si>
    <t>Correctores K tuned Adrian Stabile</t>
  </si>
  <si>
    <t>Meter Unit Adrian Stabile</t>
  </si>
  <si>
    <t>Bobinas Delphi Emiliano Righetti</t>
  </si>
  <si>
    <t>Llanta M2 trasera Abel</t>
  </si>
  <si>
    <t>Front Lip M3 alan olmedo</t>
  </si>
  <si>
    <t>Raptor Parts Juan Cruz Ceta</t>
  </si>
  <si>
    <t>Moldura paragolpe m3 alan olmedo</t>
  </si>
  <si>
    <t>Waterboss Nacho Fantuz</t>
  </si>
  <si>
    <t>Partzilla Chun Puerto Chico</t>
  </si>
  <si>
    <t>Alan Klement Ties Downs</t>
  </si>
  <si>
    <t>Sensor Velocidad Adrian Stabile</t>
  </si>
  <si>
    <t>Front Lip M3 alan olmedo V2</t>
  </si>
  <si>
    <t>Radium Matias Fititero</t>
  </si>
  <si>
    <t>Autometer Falopa</t>
  </si>
  <si>
    <t>Portamaza abel</t>
  </si>
  <si>
    <t>Inserto Varga Chino Luis</t>
  </si>
  <si>
    <t>Selenoide Vanos</t>
  </si>
  <si>
    <t>ECU X5 Coco Padilla</t>
  </si>
  <si>
    <t>Amortiguadores Alejo Martinez</t>
  </si>
  <si>
    <t>Compresor Denso Javo Win</t>
  </si>
  <si>
    <t>Aqua Bliss Filtros de agua Guido tripodi</t>
  </si>
  <si>
    <t>Fog Lights Alejo Martinez</t>
  </si>
  <si>
    <t>Hub and Bearing Abel</t>
  </si>
  <si>
    <t>Titan Pack Juli Lerda</t>
  </si>
  <si>
    <t>Modulo Agustin Pons</t>
  </si>
  <si>
    <t>Inyectores s4 alan olmedo</t>
  </si>
  <si>
    <t>DME Manuel Vasquez</t>
  </si>
  <si>
    <t>Juntas y caño agua S4 Alan Olmedo</t>
  </si>
  <si>
    <t>Accesorio Carbono Agustin Pons</t>
  </si>
  <si>
    <t>Sppedfactory Pablo Gatti x1 envio</t>
  </si>
  <si>
    <t>Brian Crower Pablo Gatti</t>
  </si>
  <si>
    <t>Supertech Pablo Gatti</t>
  </si>
  <si>
    <t>Microtronik mk3 Coco Padilla</t>
  </si>
  <si>
    <t>Ramiro Barrea primer parte</t>
  </si>
  <si>
    <t>Ramiro Barrea segunda parte</t>
  </si>
  <si>
    <t>Pistones Speedfactory Pablo Gatti</t>
  </si>
  <si>
    <t>Antiretorno Luis 240i</t>
  </si>
  <si>
    <t>Pullstraps Alan Olmedo</t>
  </si>
  <si>
    <t>Ecu x5 coco padilla V2</t>
  </si>
  <si>
    <t>Carburadores bmw Alejo Martinez</t>
  </si>
  <si>
    <t>Aircraft Spruce</t>
  </si>
  <si>
    <t>Intake Burger Fede gym</t>
  </si>
  <si>
    <t>Multiple escape CB750</t>
  </si>
  <si>
    <t>Modulo toyota Alan Olmedo</t>
  </si>
  <si>
    <t>Balljoint Emiliano Righetti</t>
  </si>
  <si>
    <t>Balljoint Emiliano Righetti Faltante</t>
  </si>
  <si>
    <t>Cooling pack y enventuri Juli Lerda</t>
  </si>
  <si>
    <t>Ecu Repuesto bmwnics</t>
  </si>
  <si>
    <t>Levas Matias Fititero</t>
  </si>
  <si>
    <t>Transfer Shift toyota Coco</t>
  </si>
  <si>
    <t>Envio ECU Coco DHL</t>
  </si>
  <si>
    <t>Envio devolucion de leva mati DHL</t>
  </si>
  <si>
    <t>Carburadores Mikuni cb750</t>
  </si>
  <si>
    <t>ECU VW COCO</t>
  </si>
  <si>
    <t>Modulo transfer Case x6 COCO</t>
  </si>
  <si>
    <t>Modulo transfer case x6 2da unidad Coco</t>
  </si>
  <si>
    <t>Levas Skunk Matias fitiero V2</t>
  </si>
  <si>
    <t>Aros spank</t>
  </si>
  <si>
    <t>Lector Ecu Reveltronics</t>
  </si>
  <si>
    <t>DME JULI LERDA</t>
  </si>
  <si>
    <t>Espaciadores de rueda</t>
  </si>
  <si>
    <t xml:space="preserve">Embrague N52 </t>
  </si>
  <si>
    <t>Shadow Protec NERF</t>
  </si>
  <si>
    <t>Amazon workplace</t>
  </si>
  <si>
    <t>Turbo Inlets Juli Lerda</t>
  </si>
  <si>
    <t>Modulo regulador voltaje Coco padilla</t>
  </si>
  <si>
    <t>Actuador Coco Padilla</t>
  </si>
  <si>
    <t>Tapa cilindros 323ti</t>
  </si>
  <si>
    <t>downpipe m2 hermano Lerda</t>
  </si>
  <si>
    <t>Bomba aceite coco padilla bmw</t>
  </si>
  <si>
    <t>Envio DHL DME Tomas graben</t>
  </si>
  <si>
    <t>DME tomas Graben</t>
  </si>
  <si>
    <t>Oil Cooler coco padilla</t>
  </si>
  <si>
    <t>Engranajes Speedfactory</t>
  </si>
  <si>
    <t>Blowsion items Alan B</t>
  </si>
  <si>
    <t>Fishing Boat</t>
  </si>
  <si>
    <t>Aleron MB Fran Monea</t>
  </si>
  <si>
    <t>Filtros de Aire CB750</t>
  </si>
  <si>
    <t>DME Fraspagliesi</t>
  </si>
  <si>
    <t>Intrumental aviacion</t>
  </si>
  <si>
    <t>Csl Wheels and drl Juli Lerda</t>
  </si>
  <si>
    <t>Wheels spacers and DRL hno Juli lerda</t>
  </si>
  <si>
    <t>Comision deposito usd otra suc</t>
  </si>
  <si>
    <t>Eibach m2 G87</t>
  </si>
  <si>
    <t>Blowsion items Alan B 2</t>
  </si>
  <si>
    <t>Breather Hose Emiliano Righetti</t>
  </si>
  <si>
    <t>Opticas Sebring</t>
  </si>
  <si>
    <t>Envio DHL DME Brian Lee</t>
  </si>
  <si>
    <t>Envio DHL DME Abdine</t>
  </si>
  <si>
    <t>Embrague m3 e46 Diego</t>
  </si>
  <si>
    <t>Apr adaptador</t>
  </si>
  <si>
    <t>Dragy x2 Juli Lerda</t>
  </si>
  <si>
    <t>J-pipe elevate</t>
  </si>
  <si>
    <t>Bomba de freno Coco padilla</t>
  </si>
  <si>
    <t>Valvetronic Coco Padilla</t>
  </si>
  <si>
    <t>Dorch HPFP Emiliano Righetti</t>
  </si>
  <si>
    <t>Eventuri Intake Martin</t>
  </si>
  <si>
    <t>KLM ICE BOX</t>
  </si>
  <si>
    <t>Thermal Camara Coco</t>
  </si>
  <si>
    <t>Master cylinder M3 SMG</t>
  </si>
  <si>
    <t>Infinity m2 Emiliano</t>
  </si>
  <si>
    <t>Infinity Tribe stock</t>
  </si>
  <si>
    <t>DME Abdine</t>
  </si>
  <si>
    <t>DME Brian LEE</t>
  </si>
  <si>
    <t>Xfinity TV box Guido tripodi</t>
  </si>
  <si>
    <t>Inlets Santiago Ventana</t>
  </si>
  <si>
    <t>Tazas porsche Ramiro Barrea</t>
  </si>
  <si>
    <t>Envio DME Mauro Lerda DHL</t>
  </si>
  <si>
    <t>Faldones Maxton + espaciadores M2 r44</t>
  </si>
  <si>
    <t>Center Grill a250 Sport Coco Padilla</t>
  </si>
  <si>
    <t>Hp Tuners Emiliano Lerda</t>
  </si>
  <si>
    <t>Left Grill a250 Sport</t>
  </si>
  <si>
    <t>Silicon Hose VTT tata</t>
  </si>
  <si>
    <t>Bujes Prado Alan Olmedo</t>
  </si>
  <si>
    <t>IPD VOLVO (intercooler, exhaust, inlet)</t>
  </si>
  <si>
    <t>Downpipes stock titan (4 b58 + 2 s58)</t>
  </si>
  <si>
    <t>FIltro kyn b58</t>
  </si>
  <si>
    <t>Charge Pipe VRSF Lean cotigiani</t>
  </si>
  <si>
    <t>Sunroof repait kit Coco Padilla</t>
  </si>
  <si>
    <t>Holley sniper +  regulador Alan Olmedo</t>
  </si>
  <si>
    <t>Bujias Titan x10 unidades de 6 cada</t>
  </si>
  <si>
    <t>Trump Fee DME Ventana</t>
  </si>
  <si>
    <t>Trump Fee DME Mauro Lerda</t>
  </si>
  <si>
    <t>Trump Fee MB grill Coco Padilla</t>
  </si>
  <si>
    <t>Trump Fee DME Ezequiel M2</t>
  </si>
  <si>
    <t>Espejos Autotecknic M2</t>
  </si>
  <si>
    <t>Rejas Mercteil</t>
  </si>
  <si>
    <t>Autochips e interfaces Coco Padilla</t>
  </si>
  <si>
    <t>Protector Frontal Lerda</t>
  </si>
  <si>
    <t>Downpipes Stock titan x2 S58</t>
  </si>
  <si>
    <t>Flybikes Nerf</t>
  </si>
  <si>
    <t>Right Grill Coco Padilla a250 Sport</t>
  </si>
  <si>
    <t>Dme Mauro Lerda</t>
  </si>
  <si>
    <t>DME santiago m2</t>
  </si>
  <si>
    <t>DME Ventana M2</t>
  </si>
  <si>
    <t>Holley adaptar Alan Olmedo</t>
  </si>
  <si>
    <t>M3 calcos y polea</t>
  </si>
  <si>
    <t>Led raptor Emiliano</t>
  </si>
  <si>
    <t>Spacers Matchell Abel M2</t>
  </si>
  <si>
    <t>FMF powercore Adri Motoquero</t>
  </si>
  <si>
    <t>Ratpor Flex Kit</t>
  </si>
  <si>
    <t>Kit restantes Maxton Emiliano Lerda (resta difusor aun)</t>
  </si>
  <si>
    <t>Kit r44 + spaciadores Martin Piermattei</t>
  </si>
  <si>
    <t>Fee trump dme emiliano lerda</t>
  </si>
  <si>
    <t>Carter x2</t>
  </si>
  <si>
    <t>portapatente</t>
  </si>
  <si>
    <t>acerbis plastic</t>
  </si>
  <si>
    <t>ring tool + fuel pump</t>
  </si>
  <si>
    <t>aeroluxe lip abel</t>
  </si>
  <si>
    <t>Lift Kit emiliano lerda</t>
  </si>
  <si>
    <t>IND Roof Abel</t>
  </si>
  <si>
    <t>brake caliper covers kit Adrian motoquero</t>
  </si>
  <si>
    <t>Filtro KYN juanma s3</t>
  </si>
  <si>
    <t>tablero 1m</t>
  </si>
  <si>
    <t>Maxton m340i</t>
  </si>
  <si>
    <t>DME Emiliano Lerda</t>
  </si>
  <si>
    <t>AntiShimmy dualtron Ventana</t>
  </si>
  <si>
    <t>Sensor flex bm3 los fiore</t>
  </si>
  <si>
    <t>Infinity desing intake S58 X2</t>
  </si>
  <si>
    <t>Fee trump DME Lucas g42</t>
  </si>
  <si>
    <t>DME Lucas 240i G42</t>
  </si>
  <si>
    <t>Charge Pipe Fede Gym</t>
  </si>
  <si>
    <t>Analizador mhd Fede gym</t>
  </si>
  <si>
    <t>downpipe b48 Alan Olmedo</t>
  </si>
  <si>
    <t>Eisenmann emiliano Lerda</t>
  </si>
  <si>
    <t>Tanque Harley Davidson</t>
  </si>
  <si>
    <t>DME Mercedes benz</t>
  </si>
  <si>
    <t>TNF Coco Padilla</t>
  </si>
  <si>
    <t>Tapa valvulas b58</t>
  </si>
  <si>
    <t>Hp tuners Emiliano Lerda version 2</t>
  </si>
  <si>
    <t>Difusor Emiliano Lerda</t>
  </si>
  <si>
    <t>Envio Dme Maxi Boinemberg</t>
  </si>
  <si>
    <t>Envio Dme Fran Mdq</t>
  </si>
  <si>
    <t>Trump Fee DME Andres Jacob</t>
  </si>
  <si>
    <t>Envio Dme Guido m2 Frozen Blue</t>
  </si>
  <si>
    <t>Axel margossina cableados</t>
  </si>
  <si>
    <t>Partes harley Nahue 2</t>
  </si>
  <si>
    <t>dme Coco Bmw</t>
  </si>
  <si>
    <t>Trump Fee DME Fran MDQ</t>
  </si>
  <si>
    <t>Trump Fee DME Maxi Bonemberg</t>
  </si>
  <si>
    <t>Trump Fee DME Guido M2 frozen blue</t>
  </si>
  <si>
    <t>inlet B48 Alan Olmedo</t>
  </si>
  <si>
    <t>Dme andres Jacob</t>
  </si>
  <si>
    <t>Colitas Andres</t>
  </si>
  <si>
    <t>asics nahue</t>
  </si>
  <si>
    <t xml:space="preserve">rejillas m2 </t>
  </si>
  <si>
    <t>botines aixa</t>
  </si>
  <si>
    <t>Spacers MMX Andres Jacobs</t>
  </si>
  <si>
    <t>DME Guido m2 frozen blue</t>
  </si>
  <si>
    <t>DME Fran mdq 240 G42</t>
  </si>
  <si>
    <t>DME Maximo Bonemberg 240 G42</t>
  </si>
  <si>
    <t>Spacers MMX Emi Righetti</t>
  </si>
  <si>
    <t>Lip maxton Andres Jacobs M340I</t>
  </si>
  <si>
    <t>Eibach Emiliano Lerda M2</t>
  </si>
  <si>
    <t>Getbmw parts x1 Rodrigo</t>
  </si>
  <si>
    <t>Downpipes CTS B58 STOCK</t>
  </si>
  <si>
    <t>Infinity intakes B58 stock</t>
  </si>
  <si>
    <t>Spacers Tata</t>
  </si>
  <si>
    <t>Flex Javi Pergamino</t>
  </si>
  <si>
    <t>Flex Martin M2</t>
  </si>
  <si>
    <t>Zapas y lentes cettire nerf</t>
  </si>
  <si>
    <t>Trump Fee dme Emilio Tevini</t>
  </si>
  <si>
    <t>Items cettire restantes NERF</t>
  </si>
  <si>
    <t>Item Cactus NERF</t>
  </si>
  <si>
    <t>Escape MAD (x2 cajas)</t>
  </si>
  <si>
    <t>tips M140i Nacho Fantuz</t>
  </si>
  <si>
    <t>Herramient Gworks</t>
  </si>
  <si>
    <t xml:space="preserve">DME Tevini M2 </t>
  </si>
  <si>
    <t>Cableado Summit</t>
  </si>
  <si>
    <t>Carbono raptor Juan m 1</t>
  </si>
  <si>
    <t>Carbono raptor Juan m 2</t>
  </si>
  <si>
    <t>pedales raptor</t>
  </si>
  <si>
    <t>R44 WING + PORTAPATENTES + SPACERS</t>
  </si>
  <si>
    <t>LMC TRUCK GUIDO TRIPODI</t>
  </si>
  <si>
    <t>Manijas bmw emi Righetti</t>
  </si>
  <si>
    <t>Mosutafe Led Raptor Juan m</t>
  </si>
  <si>
    <t>Advoclt rx7</t>
  </si>
  <si>
    <t>Fee dhl bootmod3 conector santiago ventana</t>
  </si>
  <si>
    <t>Envio dhl dme  Monteiro</t>
  </si>
  <si>
    <t>Envio dhl dme Cicarelli</t>
  </si>
  <si>
    <t>Admision Coco Padilla</t>
  </si>
  <si>
    <t>Tool Solder kit coco padilla</t>
  </si>
  <si>
    <t>Correa s4 Alan Olmedo</t>
  </si>
  <si>
    <t>Escape Akrapovic m5 Luis</t>
  </si>
  <si>
    <t>Bomba de baja visconti Luis</t>
  </si>
  <si>
    <t>Mb testing platform Coco</t>
  </si>
  <si>
    <t>Fee Agustin cicarelli DME</t>
  </si>
  <si>
    <t>Fee Andres Monteiro DME</t>
  </si>
  <si>
    <t>Fee scanmatik Coco padilla</t>
  </si>
  <si>
    <t>Charge pipe m4 abel</t>
  </si>
  <si>
    <t>cactus jack nerf</t>
  </si>
  <si>
    <t>swingarm</t>
  </si>
  <si>
    <t>portapatentes abel</t>
  </si>
  <si>
    <t>DME Andres Monteiro</t>
  </si>
  <si>
    <t>DME Agustin Cicarelli</t>
  </si>
  <si>
    <t>Items ind Abel</t>
  </si>
  <si>
    <t>Inifinity desing Abel 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</si>
</sst>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_-&quot;$&quot;* #,##0.00_-;_-&quot;$&quot;* \-#,##0.00_-;_-&quot;$&quot;* &quot;-&quot;??_-;_-@"/>
    <numFmt numFmtId="166" formatCode="&quot;$&quot;#,##0.00"/>
    <numFmt numFmtId="167" formatCode="d/m"/>
    <numFmt numFmtId="168" formatCode="d/m/yyyy"/>
    <numFmt numFmtId="169" formatCode="dd/mm/yyyy"/>
  </numFmts>
  <fonts count="6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u/>
      <sz val="11.0"/>
      <color rgb="FF0000FF"/>
      <name val="Calibri"/>
    </font>
    <font>
      <sz val="11.0"/>
      <color rgb="FF565959"/>
      <name val="&quot;Amazon Ember&quot;"/>
    </font>
    <font>
      <color theme="1"/>
      <name val="Calibri"/>
      <scheme val="minor"/>
    </font>
    <font>
      <u/>
      <color rgb="FF0000FF"/>
    </font>
    <font>
      <u/>
      <sz val="11.0"/>
      <color rgb="FF0563C1"/>
      <name val="Calibri"/>
    </font>
    <font>
      <i/>
      <sz val="11.0"/>
      <color theme="1"/>
      <name val="Calibri"/>
      <scheme val="minor"/>
    </font>
    <font>
      <u/>
      <sz val="11.0"/>
      <color rgb="FF000000"/>
      <name val="Calibri"/>
    </font>
    <font>
      <u/>
      <sz val="11.0"/>
      <color theme="1"/>
      <name val="Calibri"/>
    </font>
    <font>
      <b/>
      <u/>
      <sz val="9.0"/>
      <color rgb="FF22A28E"/>
      <name val="&quot;Merriweather Sans&quot;"/>
    </font>
    <font>
      <u/>
      <sz val="11.0"/>
      <color theme="1"/>
      <name val="Calibri"/>
    </font>
    <font>
      <sz val="11.0"/>
      <color rgb="FF000000"/>
      <name val="Docs-Calibri"/>
    </font>
    <font>
      <u/>
      <sz val="11.0"/>
      <color rgb="FF1990C6"/>
      <name val="Arial"/>
    </font>
    <font>
      <i/>
      <color theme="1"/>
      <name val="Calibri"/>
      <scheme val="minor"/>
    </font>
    <font>
      <u/>
      <color rgb="FF0000FF"/>
    </font>
    <font>
      <u/>
      <color rgb="FF0563C1"/>
    </font>
    <font>
      <u/>
      <sz val="12.0"/>
      <color rgb="FF3399FF"/>
      <name val="Roboto"/>
    </font>
    <font>
      <u/>
      <color rgb="FF0000FF"/>
    </font>
    <font>
      <u/>
      <sz val="11.0"/>
      <color rgb="FF1372D2"/>
      <name val="Arial"/>
    </font>
    <font>
      <u/>
      <color rgb="FF0563C1"/>
      <name val="Calibri"/>
      <scheme val="minor"/>
    </font>
    <font>
      <u/>
      <sz val="12.0"/>
      <color rgb="FF0000FF"/>
      <name val="Helvetica"/>
    </font>
    <font>
      <color rgb="FF000000"/>
      <name val="Calibri"/>
      <scheme val="minor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sz val="11.0"/>
      <color rgb="FF0000FF"/>
      <name val="Calibri"/>
    </font>
    <font>
      <u/>
      <sz val="9.0"/>
      <color rgb="FF383838"/>
      <name val="&quot;Open Sans&quot;"/>
    </font>
    <font>
      <u/>
      <sz val="9.0"/>
      <color rgb="FF000000"/>
      <name val="&quot;Open Sans&quot;"/>
    </font>
    <font>
      <sz val="11.0"/>
      <color rgb="FF111820"/>
      <name val="Arial"/>
    </font>
    <font>
      <sz val="11.0"/>
      <color rgb="FF363636"/>
      <name val="Arial"/>
    </font>
    <font>
      <sz val="11.0"/>
      <color rgb="FF363636"/>
      <name val="UPSRoboto"/>
    </font>
    <font>
      <sz val="11.0"/>
      <color rgb="FF002F36"/>
      <name val="&quot;Amazon Ember&quot;"/>
    </font>
    <font>
      <u/>
      <sz val="11.0"/>
      <color rgb="FF0000FF"/>
      <name val="Calibri"/>
    </font>
    <font>
      <color rgb="FF000000"/>
    </font>
    <font>
      <u/>
      <sz val="11.0"/>
      <color rgb="FF0563C1"/>
      <name val="&quot;Open Sans&quot;"/>
    </font>
    <font>
      <i/>
      <u/>
      <color rgb="FF0000FF"/>
    </font>
    <font>
      <u/>
      <color rgb="FF0000FF"/>
    </font>
    <font>
      <color rgb="FF222222"/>
      <name val="Arial"/>
    </font>
    <font>
      <u/>
      <color rgb="FF0000FF"/>
    </font>
    <font>
      <u/>
      <sz val="9.0"/>
      <color rgb="FF0000FF"/>
      <name val="&quot;Market Sans&quot;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</font>
    <font>
      <sz val="11.0"/>
      <color rgb="FF000000"/>
      <name val="Calibri"/>
    </font>
    <font>
      <u/>
      <color rgb="FF0000FF"/>
    </font>
    <font>
      <u/>
      <sz val="11.0"/>
      <color theme="1"/>
      <name val="Calibri"/>
    </font>
    <font>
      <u/>
      <sz val="11.0"/>
      <color rgb="FF0000FF"/>
      <name val="Calibri"/>
    </font>
    <font>
      <u/>
      <color theme="1"/>
      <name val="Calibri"/>
      <scheme val="minor"/>
    </font>
    <font>
      <u/>
      <color theme="1"/>
      <name val="Calibri"/>
      <scheme val="minor"/>
    </font>
    <font>
      <b/>
      <color rgb="FFFFFFFF"/>
      <name val="Calibri"/>
      <scheme val="minor"/>
    </font>
    <font>
      <b/>
      <color rgb="FF000000"/>
      <name val="Calibri"/>
      <scheme val="minor"/>
    </font>
    <font/>
    <font>
      <b/>
      <color theme="1"/>
      <name val="Calibri"/>
      <scheme val="minor"/>
    </font>
    <font>
      <b/>
      <color theme="0"/>
      <name val="Arial"/>
    </font>
    <font>
      <b/>
      <color theme="0"/>
      <name val="Calibri"/>
      <scheme val="minor"/>
    </font>
    <font>
      <sz val="11.0"/>
      <color rgb="FF333333"/>
      <name val="Arial"/>
    </font>
    <font>
      <color rgb="FF222222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0F2F2"/>
        <bgColor rgb="FFF0F2F2"/>
      </patternFill>
    </fill>
    <fill>
      <patternFill patternType="solid">
        <fgColor theme="0"/>
        <bgColor theme="0"/>
      </patternFill>
    </fill>
    <fill>
      <patternFill patternType="solid">
        <fgColor rgb="FFE8E8E6"/>
        <bgColor rgb="FFE8E8E6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565959"/>
        <bgColor rgb="FF56595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2" fontId="1" numFmtId="164" xfId="0" applyAlignment="1" applyBorder="1" applyFont="1" applyNumberFormat="1">
      <alignment readingOrder="0"/>
    </xf>
    <xf borderId="1" fillId="2" fontId="1" numFmtId="165" xfId="0" applyBorder="1" applyFont="1" applyNumberForma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2" numFmtId="165" xfId="0" applyBorder="1" applyFont="1" applyNumberFormat="1"/>
    <xf borderId="1" fillId="0" fontId="2" numFmtId="164" xfId="0" applyAlignment="1" applyBorder="1" applyFont="1" applyNumberFormat="1">
      <alignment readingOrder="0"/>
    </xf>
    <xf borderId="0" fillId="3" fontId="5" numFmtId="165" xfId="0" applyAlignment="1" applyFill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4" fontId="2" numFmtId="165" xfId="0" applyAlignment="1" applyBorder="1" applyFill="1" applyFont="1" applyNumberFormat="1">
      <alignment readingOrder="0"/>
    </xf>
    <xf borderId="1" fillId="4" fontId="2" numFmtId="164" xfId="0" applyBorder="1" applyFont="1" applyNumberFormat="1"/>
    <xf borderId="1" fillId="4" fontId="2" numFmtId="165" xfId="0" applyBorder="1" applyFont="1" applyNumberFormat="1"/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6" numFmtId="164" xfId="0" applyFont="1" applyNumberFormat="1"/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5" fontId="12" numFmtId="0" xfId="0" applyAlignment="1" applyFill="1" applyFont="1">
      <alignment horizontal="left" readingOrder="0"/>
    </xf>
    <xf borderId="1" fillId="0" fontId="6" numFmtId="165" xfId="0" applyAlignment="1" applyBorder="1" applyFont="1" applyNumberFormat="1">
      <alignment horizontal="right" readingOrder="0"/>
    </xf>
    <xf borderId="1" fillId="0" fontId="6" numFmtId="4" xfId="0" applyAlignment="1" applyBorder="1" applyFont="1" applyNumberFormat="1">
      <alignment horizontal="right" readingOrder="0"/>
    </xf>
    <xf borderId="1" fillId="0" fontId="13" numFmtId="165" xfId="0" applyAlignment="1" applyBorder="1" applyFont="1" applyNumberFormat="1">
      <alignment readingOrder="0"/>
    </xf>
    <xf borderId="0" fillId="6" fontId="14" numFmtId="165" xfId="0" applyAlignment="1" applyFill="1" applyFont="1" applyNumberFormat="1">
      <alignment horizontal="right" readingOrder="0"/>
    </xf>
    <xf borderId="1" fillId="6" fontId="14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vertical="bottom"/>
    </xf>
    <xf borderId="0" fillId="6" fontId="15" numFmtId="0" xfId="0" applyAlignment="1" applyFont="1">
      <alignment horizontal="left"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4" xfId="0" applyBorder="1" applyFont="1" applyNumberFormat="1"/>
    <xf borderId="1" fillId="0" fontId="6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6" numFmtId="164" xfId="0" applyBorder="1" applyFont="1" applyNumberFormat="1"/>
    <xf borderId="1" fillId="0" fontId="6" numFmtId="4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1" fillId="6" fontId="19" numFmtId="0" xfId="0" applyAlignment="1" applyBorder="1" applyFont="1">
      <alignment horizontal="left" readingOrder="0"/>
    </xf>
    <xf borderId="1" fillId="0" fontId="20" numFmtId="0" xfId="0" applyAlignment="1" applyBorder="1" applyFont="1">
      <alignment readingOrder="0"/>
    </xf>
    <xf borderId="1" fillId="0" fontId="6" numFmtId="166" xfId="0" applyAlignment="1" applyBorder="1" applyFont="1" applyNumberFormat="1">
      <alignment readingOrder="0"/>
    </xf>
    <xf borderId="1" fillId="6" fontId="21" numFmtId="0" xfId="0" applyAlignment="1" applyBorder="1" applyFont="1">
      <alignment readingOrder="0"/>
    </xf>
    <xf borderId="1" fillId="0" fontId="6" numFmtId="165" xfId="0" applyBorder="1" applyFont="1" applyNumberFormat="1"/>
    <xf borderId="1" fillId="0" fontId="6" numFmtId="167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22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0" fontId="2" numFmtId="165" xfId="0" applyAlignment="1" applyBorder="1" applyFont="1" applyNumberFormat="1">
      <alignment horizontal="left" readingOrder="0"/>
    </xf>
    <xf borderId="1" fillId="0" fontId="2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25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vertical="bottom"/>
    </xf>
    <xf borderId="2" fillId="0" fontId="1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26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 vertical="bottom"/>
    </xf>
    <xf borderId="2" fillId="0" fontId="2" numFmtId="164" xfId="0" applyAlignment="1" applyBorder="1" applyFont="1" applyNumberFormat="1">
      <alignment readingOrder="0" vertical="bottom"/>
    </xf>
    <xf borderId="2" fillId="0" fontId="6" numFmtId="165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horizontal="right" vertical="bottom"/>
    </xf>
    <xf borderId="2" fillId="0" fontId="6" numFmtId="4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horizontal="left" readingOrder="0" vertical="bottom"/>
    </xf>
    <xf borderId="2" fillId="0" fontId="2" numFmtId="0" xfId="0" applyAlignment="1" applyBorder="1" applyFont="1">
      <alignment readingOrder="0"/>
    </xf>
    <xf borderId="2" fillId="0" fontId="27" numFmtId="0" xfId="0" applyAlignment="1" applyBorder="1" applyFont="1">
      <alignment readingOrder="0"/>
    </xf>
    <xf borderId="2" fillId="0" fontId="6" numFmtId="165" xfId="0" applyBorder="1" applyFont="1" applyNumberFormat="1"/>
    <xf borderId="2" fillId="0" fontId="2" numFmtId="165" xfId="0" applyBorder="1" applyFont="1" applyNumberFormat="1"/>
    <xf borderId="1" fillId="0" fontId="28" numFmtId="0" xfId="0" applyAlignment="1" applyBorder="1" applyFont="1">
      <alignment readingOrder="0" vertical="bottom"/>
    </xf>
    <xf borderId="1" fillId="0" fontId="2" numFmtId="168" xfId="0" applyAlignment="1" applyBorder="1" applyFont="1" applyNumberFormat="1">
      <alignment readingOrder="0" vertical="bottom"/>
    </xf>
    <xf borderId="1" fillId="0" fontId="6" numFmtId="4" xfId="0" applyBorder="1" applyFont="1" applyNumberFormat="1"/>
    <xf borderId="1" fillId="0" fontId="6" numFmtId="0" xfId="0" applyBorder="1" applyFont="1"/>
    <xf borderId="2" fillId="0" fontId="2" numFmtId="165" xfId="0" applyAlignment="1" applyBorder="1" applyFont="1" applyNumberFormat="1">
      <alignment horizontal="right" readingOrder="0" vertical="bottom"/>
    </xf>
    <xf borderId="1" fillId="0" fontId="29" numFmtId="0" xfId="0" applyAlignment="1" applyBorder="1" applyFont="1">
      <alignment horizontal="left" readingOrder="0" vertical="top"/>
    </xf>
    <xf borderId="1" fillId="6" fontId="30" numFmtId="0" xfId="0" applyAlignment="1" applyBorder="1" applyFont="1">
      <alignment horizontal="left" readingOrder="0"/>
    </xf>
    <xf borderId="1" fillId="4" fontId="6" numFmtId="165" xfId="0" applyAlignment="1" applyBorder="1" applyFont="1" applyNumberFormat="1">
      <alignment readingOrder="0"/>
    </xf>
    <xf borderId="1" fillId="4" fontId="6" numFmtId="4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0" fontId="24" numFmtId="0" xfId="0" applyAlignment="1" applyBorder="1" applyFont="1">
      <alignment readingOrder="0"/>
    </xf>
    <xf borderId="0" fillId="6" fontId="31" numFmtId="0" xfId="0" applyAlignment="1" applyFont="1">
      <alignment readingOrder="0"/>
    </xf>
    <xf borderId="1" fillId="6" fontId="32" numFmtId="0" xfId="0" applyAlignment="1" applyBorder="1" applyFont="1">
      <alignment horizontal="left" readingOrder="0"/>
    </xf>
    <xf borderId="1" fillId="6" fontId="33" numFmtId="0" xfId="0" applyAlignment="1" applyBorder="1" applyFont="1">
      <alignment horizontal="left" readingOrder="0"/>
    </xf>
    <xf borderId="0" fillId="6" fontId="34" numFmtId="0" xfId="0" applyAlignment="1" applyFont="1">
      <alignment readingOrder="0"/>
    </xf>
    <xf borderId="1" fillId="0" fontId="6" numFmtId="165" xfId="0" applyAlignment="1" applyBorder="1" applyFont="1" applyNumberFormat="1">
      <alignment horizontal="right" readingOrder="0" vertical="center"/>
    </xf>
    <xf borderId="1" fillId="0" fontId="35" numFmtId="165" xfId="0" applyAlignment="1" applyBorder="1" applyFont="1" applyNumberFormat="1">
      <alignment readingOrder="0" vertical="bottom"/>
    </xf>
    <xf borderId="1" fillId="0" fontId="36" numFmtId="0" xfId="0" applyAlignment="1" applyBorder="1" applyFont="1">
      <alignment readingOrder="0"/>
    </xf>
    <xf borderId="1" fillId="4" fontId="2" numFmtId="165" xfId="0" applyAlignment="1" applyBorder="1" applyFont="1" applyNumberFormat="1">
      <alignment readingOrder="0" vertical="bottom"/>
    </xf>
    <xf borderId="1" fillId="4" fontId="2" numFmtId="164" xfId="0" applyAlignment="1" applyBorder="1" applyFont="1" applyNumberFormat="1">
      <alignment readingOrder="0" vertical="bottom"/>
    </xf>
    <xf borderId="1" fillId="4" fontId="6" numFmtId="165" xfId="0" applyBorder="1" applyFont="1" applyNumberFormat="1"/>
    <xf borderId="2" fillId="4" fontId="2" numFmtId="165" xfId="0" applyAlignment="1" applyBorder="1" applyFont="1" applyNumberFormat="1">
      <alignment horizontal="right" vertical="bottom"/>
    </xf>
    <xf borderId="1" fillId="4" fontId="6" numFmtId="0" xfId="0" applyAlignment="1" applyBorder="1" applyFont="1">
      <alignment readingOrder="0"/>
    </xf>
    <xf borderId="0" fillId="7" fontId="37" numFmtId="0" xfId="0" applyAlignment="1" applyFill="1" applyFont="1">
      <alignment readingOrder="0"/>
    </xf>
    <xf borderId="0" fillId="0" fontId="6" numFmtId="166" xfId="0" applyAlignment="1" applyFont="1" applyNumberFormat="1">
      <alignment readingOrder="0"/>
    </xf>
    <xf borderId="1" fillId="0" fontId="38" numFmtId="0" xfId="0" applyAlignment="1" applyBorder="1" applyFont="1">
      <alignment readingOrder="0"/>
    </xf>
    <xf borderId="1" fillId="0" fontId="24" numFmtId="165" xfId="0" applyAlignment="1" applyBorder="1" applyFont="1" applyNumberFormat="1">
      <alignment readingOrder="0"/>
    </xf>
    <xf borderId="1" fillId="0" fontId="6" numFmtId="168" xfId="0" applyAlignment="1" applyBorder="1" applyFont="1" applyNumberFormat="1">
      <alignment readingOrder="0"/>
    </xf>
    <xf borderId="1" fillId="0" fontId="39" numFmtId="0" xfId="0" applyAlignment="1" applyBorder="1" applyFont="1">
      <alignment horizontal="left"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horizontal="left" readingOrder="0"/>
    </xf>
    <xf borderId="1" fillId="4" fontId="31" numFmtId="0" xfId="0" applyAlignment="1" applyBorder="1" applyFont="1">
      <alignment readingOrder="0"/>
    </xf>
    <xf borderId="1" fillId="4" fontId="4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43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4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vertical="bottom"/>
    </xf>
    <xf borderId="1" fillId="4" fontId="44" numFmtId="0" xfId="0" applyAlignment="1" applyBorder="1" applyFont="1">
      <alignment readingOrder="0" vertical="bottom"/>
    </xf>
    <xf borderId="1" fillId="4" fontId="2" numFmtId="165" xfId="0" applyAlignment="1" applyBorder="1" applyFont="1" applyNumberFormat="1">
      <alignment horizontal="right" vertical="bottom"/>
    </xf>
    <xf borderId="1" fillId="4" fontId="2" numFmtId="4" xfId="0" applyAlignment="1" applyBorder="1" applyFont="1" applyNumberFormat="1">
      <alignment readingOrder="0" vertical="bottom"/>
    </xf>
    <xf borderId="0" fillId="0" fontId="45" numFmtId="0" xfId="0" applyAlignment="1" applyFont="1">
      <alignment readingOrder="0"/>
    </xf>
    <xf borderId="1" fillId="0" fontId="2" numFmtId="4" xfId="0" applyAlignment="1" applyBorder="1" applyFont="1" applyNumberFormat="1">
      <alignment vertical="bottom"/>
    </xf>
    <xf borderId="1" fillId="0" fontId="4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47" numFmtId="0" xfId="0" applyAlignment="1" applyFont="1">
      <alignment readingOrder="0"/>
    </xf>
    <xf borderId="1" fillId="0" fontId="48" numFmtId="0" xfId="0" applyAlignment="1" applyBorder="1" applyFont="1">
      <alignment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46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4" fontId="2" numFmtId="0" xfId="0" applyAlignment="1" applyBorder="1" applyFont="1">
      <alignment readingOrder="0" shrinkToFit="0" vertical="bottom" wrapText="0"/>
    </xf>
    <xf borderId="1" fillId="0" fontId="49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0" fillId="0" fontId="50" numFmtId="0" xfId="0" applyAlignment="1" applyFont="1">
      <alignment readingOrder="0"/>
    </xf>
    <xf borderId="1" fillId="0" fontId="6" numFmtId="169" xfId="0" applyAlignment="1" applyBorder="1" applyFont="1" applyNumberFormat="1">
      <alignment readingOrder="0"/>
    </xf>
    <xf borderId="1" fillId="0" fontId="51" numFmtId="0" xfId="0" applyAlignment="1" applyBorder="1" applyFont="1">
      <alignment readingOrder="0"/>
    </xf>
    <xf borderId="0" fillId="0" fontId="16" numFmtId="0" xfId="0" applyFont="1"/>
    <xf borderId="0" fillId="0" fontId="6" numFmtId="165" xfId="0" applyFont="1" applyNumberFormat="1"/>
    <xf borderId="0" fillId="0" fontId="6" numFmtId="4" xfId="0" applyFont="1" applyNumberForma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8" fontId="52" numFmtId="0" xfId="0" applyAlignment="1" applyFill="1" applyFont="1">
      <alignment horizontal="left" readingOrder="0"/>
    </xf>
    <xf borderId="0" fillId="8" fontId="52" numFmtId="0" xfId="0" applyAlignment="1" applyFont="1">
      <alignment readingOrder="0"/>
    </xf>
    <xf borderId="3" fillId="9" fontId="53" numFmtId="0" xfId="0" applyAlignment="1" applyBorder="1" applyFill="1" applyFont="1">
      <alignment readingOrder="0"/>
    </xf>
    <xf borderId="4" fillId="0" fontId="54" numFmtId="0" xfId="0" applyBorder="1" applyFont="1"/>
    <xf borderId="2" fillId="0" fontId="54" numFmtId="0" xfId="0" applyBorder="1" applyFont="1"/>
    <xf borderId="5" fillId="8" fontId="52" numFmtId="0" xfId="0" applyAlignment="1" applyBorder="1" applyFont="1">
      <alignment horizontal="left" readingOrder="0"/>
    </xf>
    <xf borderId="5" fillId="8" fontId="52" numFmtId="0" xfId="0" applyAlignment="1" applyBorder="1" applyFont="1">
      <alignment readingOrder="0"/>
    </xf>
    <xf borderId="6" fillId="8" fontId="52" numFmtId="0" xfId="0" applyAlignment="1" applyBorder="1" applyFont="1">
      <alignment readingOrder="0"/>
    </xf>
    <xf borderId="7" fillId="0" fontId="55" numFmtId="0" xfId="0" applyAlignment="1" applyBorder="1" applyFont="1">
      <alignment horizontal="left" readingOrder="0"/>
    </xf>
    <xf borderId="7" fillId="0" fontId="6" numFmtId="164" xfId="0" applyAlignment="1" applyBorder="1" applyFont="1" applyNumberFormat="1">
      <alignment readingOrder="0"/>
    </xf>
    <xf borderId="7" fillId="0" fontId="6" numFmtId="0" xfId="0" applyAlignment="1" applyBorder="1" applyFont="1">
      <alignment readingOrder="0"/>
    </xf>
    <xf borderId="7" fillId="0" fontId="55" numFmtId="0" xfId="0" applyAlignment="1" applyBorder="1" applyFont="1">
      <alignment readingOrder="0"/>
    </xf>
    <xf borderId="7" fillId="0" fontId="6" numFmtId="165" xfId="0" applyBorder="1" applyFont="1" applyNumberFormat="1"/>
    <xf borderId="7" fillId="0" fontId="6" numFmtId="10" xfId="0" applyAlignment="1" applyBorder="1" applyFont="1" applyNumberFormat="1">
      <alignment readingOrder="0"/>
    </xf>
    <xf borderId="7" fillId="0" fontId="55" numFmtId="165" xfId="0" applyBorder="1" applyFont="1" applyNumberFormat="1"/>
    <xf borderId="1" fillId="0" fontId="55" numFmtId="0" xfId="0" applyAlignment="1" applyBorder="1" applyFont="1">
      <alignment readingOrder="0"/>
    </xf>
    <xf borderId="1" fillId="0" fontId="55" numFmtId="0" xfId="0" applyAlignment="1" applyBorder="1" applyFont="1">
      <alignment horizontal="left" readingOrder="0"/>
    </xf>
    <xf borderId="1" fillId="0" fontId="6" numFmtId="10" xfId="0" applyAlignment="1" applyBorder="1" applyFont="1" applyNumberFormat="1">
      <alignment readingOrder="0"/>
    </xf>
    <xf borderId="1" fillId="4" fontId="6" numFmtId="10" xfId="0" applyAlignment="1" applyBorder="1" applyFont="1" applyNumberFormat="1">
      <alignment readingOrder="0"/>
    </xf>
    <xf borderId="7" fillId="4" fontId="55" numFmtId="165" xfId="0" applyBorder="1" applyFont="1" applyNumberFormat="1"/>
    <xf borderId="1" fillId="0" fontId="55" numFmtId="0" xfId="0" applyAlignment="1" applyBorder="1" applyFont="1">
      <alignment horizontal="left"/>
    </xf>
    <xf borderId="1" fillId="0" fontId="55" numFmtId="0" xfId="0" applyBorder="1" applyFont="1"/>
    <xf borderId="0" fillId="0" fontId="6" numFmtId="165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1" fillId="10" fontId="55" numFmtId="0" xfId="0" applyAlignment="1" applyBorder="1" applyFill="1" applyFont="1">
      <alignment readingOrder="0"/>
    </xf>
    <xf borderId="1" fillId="10" fontId="55" numFmtId="166" xfId="0" applyAlignment="1" applyBorder="1" applyFont="1" applyNumberFormat="1">
      <alignment readingOrder="0"/>
    </xf>
    <xf borderId="1" fillId="0" fontId="6" numFmtId="10" xfId="0" applyBorder="1" applyFont="1" applyNumberFormat="1"/>
    <xf borderId="1" fillId="0" fontId="55" numFmtId="165" xfId="0" applyBorder="1" applyFont="1" applyNumberFormat="1"/>
    <xf borderId="3" fillId="11" fontId="56" numFmtId="0" xfId="0" applyAlignment="1" applyBorder="1" applyFill="1" applyFont="1">
      <alignment readingOrder="0"/>
    </xf>
    <xf borderId="4" fillId="11" fontId="56" numFmtId="0" xfId="0" applyAlignment="1" applyBorder="1" applyFont="1">
      <alignment readingOrder="0"/>
    </xf>
    <xf borderId="4" fillId="11" fontId="52" numFmtId="0" xfId="0" applyAlignment="1" applyBorder="1" applyFont="1">
      <alignment readingOrder="0"/>
    </xf>
    <xf borderId="2" fillId="11" fontId="57" numFmtId="0" xfId="0" applyAlignment="1" applyBorder="1" applyFont="1">
      <alignment readingOrder="0"/>
    </xf>
    <xf borderId="0" fillId="11" fontId="57" numFmtId="0" xfId="0" applyAlignment="1" applyFont="1">
      <alignment readingOrder="0"/>
    </xf>
    <xf borderId="0" fillId="11" fontId="52" numFmtId="0" xfId="0" applyAlignment="1" applyFont="1">
      <alignment readingOrder="0"/>
    </xf>
    <xf borderId="0" fillId="6" fontId="40" numFmtId="168" xfId="0" applyAlignment="1" applyFont="1" applyNumberFormat="1">
      <alignment readingOrder="0"/>
    </xf>
    <xf borderId="0" fillId="6" fontId="40" numFmtId="0" xfId="0" applyAlignment="1" applyFont="1">
      <alignment readingOrder="0"/>
    </xf>
    <xf borderId="0" fillId="4" fontId="6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6" fontId="58" numFmtId="0" xfId="0" applyAlignment="1" applyFont="1">
      <alignment readingOrder="0"/>
    </xf>
    <xf borderId="0" fillId="6" fontId="58" numFmtId="0" xfId="0" applyFont="1"/>
    <xf borderId="0" fillId="0" fontId="55" numFmtId="0" xfId="0" applyAlignment="1" applyFont="1">
      <alignment readingOrder="0"/>
    </xf>
    <xf borderId="0" fillId="0" fontId="6" numFmtId="16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3" fillId="0" fontId="55" numFmtId="0" xfId="0" applyAlignment="1" applyBorder="1" applyFont="1">
      <alignment readingOrder="0"/>
    </xf>
    <xf borderId="8" fillId="12" fontId="6" numFmtId="0" xfId="0" applyAlignment="1" applyBorder="1" applyFill="1" applyFont="1">
      <alignment readingOrder="0"/>
    </xf>
    <xf borderId="9" fillId="0" fontId="54" numFmtId="0" xfId="0" applyBorder="1" applyFont="1"/>
    <xf borderId="10" fillId="0" fontId="54" numFmtId="0" xfId="0" applyBorder="1" applyFont="1"/>
    <xf borderId="5" fillId="13" fontId="6" numFmtId="0" xfId="0" applyAlignment="1" applyBorder="1" applyFill="1" applyFont="1">
      <alignment readingOrder="0"/>
    </xf>
    <xf borderId="5" fillId="0" fontId="6" numFmtId="0" xfId="0" applyAlignment="1" applyBorder="1" applyFont="1">
      <alignment readingOrder="0"/>
    </xf>
    <xf borderId="0" fillId="6" fontId="59" numFmtId="0" xfId="0" applyAlignment="1" applyFont="1">
      <alignment readingOrder="0"/>
    </xf>
    <xf borderId="0" fillId="0" fontId="2" numFmtId="168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60" numFmtId="0" xfId="0" applyAlignment="1" applyFont="1">
      <alignment readingOrder="0" vertical="bottom"/>
    </xf>
    <xf borderId="0" fillId="0" fontId="61" numFmtId="0" xfId="0" applyAlignment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0" fillId="4" fontId="2" numFmtId="165" xfId="0" applyAlignment="1" applyFont="1" applyNumberFormat="1">
      <alignment readingOrder="0" vertical="bottom"/>
    </xf>
    <xf borderId="0" fillId="0" fontId="55" numFmtId="0" xfId="0" applyFont="1"/>
    <xf borderId="0" fillId="0" fontId="6" numFmtId="0" xfId="0" applyFont="1"/>
    <xf borderId="0" fillId="0" fontId="55" numFmtId="165" xfId="0" applyFont="1" applyNumberFormat="1"/>
    <xf borderId="0" fillId="0" fontId="62" numFmtId="0" xfId="0" applyAlignment="1" applyFont="1">
      <alignment readingOrder="0" shrinkToFit="0" vertical="bottom" wrapText="0"/>
    </xf>
    <xf borderId="0" fillId="0" fontId="46" numFmtId="165" xfId="0" applyAlignment="1" applyFont="1" applyNumberFormat="1">
      <alignment horizontal="right" shrinkToFit="0" vertical="bottom" wrapText="0"/>
    </xf>
    <xf borderId="0" fillId="0" fontId="46" numFmtId="0" xfId="0" applyAlignment="1" applyFont="1">
      <alignment horizontal="center" shrinkToFit="0" vertical="bottom" wrapText="0"/>
    </xf>
    <xf borderId="0" fillId="0" fontId="46" numFmtId="0" xfId="0" applyAlignment="1" applyFont="1">
      <alignment shrinkToFit="0" vertical="bottom" wrapText="0"/>
    </xf>
    <xf borderId="1" fillId="14" fontId="46" numFmtId="0" xfId="0" applyAlignment="1" applyBorder="1" applyFill="1" applyFont="1">
      <alignment horizontal="center" readingOrder="0" shrinkToFit="0" vertical="bottom" wrapText="0"/>
    </xf>
    <xf borderId="2" fillId="14" fontId="46" numFmtId="0" xfId="0" applyAlignment="1" applyBorder="1" applyFont="1">
      <alignment horizontal="center" readingOrder="0" shrinkToFit="0" vertical="bottom" wrapText="0"/>
    </xf>
    <xf borderId="1" fillId="14" fontId="63" numFmtId="0" xfId="0" applyAlignment="1" applyBorder="1" applyFont="1">
      <alignment horizontal="center" readingOrder="0" shrinkToFit="0" vertical="bottom" wrapText="0"/>
    </xf>
    <xf borderId="11" fillId="15" fontId="46" numFmtId="0" xfId="0" applyAlignment="1" applyBorder="1" applyFill="1" applyFont="1">
      <alignment readingOrder="0" shrinkToFit="0" vertical="bottom" wrapText="0"/>
    </xf>
    <xf borderId="11" fillId="15" fontId="46" numFmtId="165" xfId="0" applyAlignment="1" applyBorder="1" applyFont="1" applyNumberFormat="1">
      <alignment horizontal="right" readingOrder="0" shrinkToFit="0" vertical="bottom" wrapText="0"/>
    </xf>
    <xf borderId="11" fillId="15" fontId="46" numFmtId="0" xfId="0" applyAlignment="1" applyBorder="1" applyFont="1">
      <alignment horizontal="center" readingOrder="0" shrinkToFit="0" vertical="bottom" wrapText="0"/>
    </xf>
    <xf borderId="7" fillId="14" fontId="63" numFmtId="0" xfId="0" applyAlignment="1" applyBorder="1" applyFont="1">
      <alignment horizontal="center" readingOrder="0" shrinkToFit="0" vertical="bottom" wrapText="0"/>
    </xf>
    <xf borderId="3" fillId="14" fontId="63" numFmtId="0" xfId="0" applyAlignment="1" applyBorder="1" applyFont="1">
      <alignment horizontal="center" readingOrder="0" shrinkToFit="0" vertical="bottom" wrapText="0"/>
    </xf>
    <xf borderId="11" fillId="14" fontId="63" numFmtId="0" xfId="0" applyAlignment="1" applyBorder="1" applyFont="1">
      <alignment horizontal="center" readingOrder="0" shrinkToFit="0" vertical="bottom" wrapText="0"/>
    </xf>
    <xf borderId="7" fillId="15" fontId="46" numFmtId="0" xfId="0" applyAlignment="1" applyBorder="1" applyFont="1">
      <alignment horizontal="center" readingOrder="0" shrinkToFit="0" vertical="bottom" wrapText="0"/>
    </xf>
    <xf borderId="11" fillId="15" fontId="46" numFmtId="166" xfId="0" applyAlignment="1" applyBorder="1" applyFont="1" applyNumberFormat="1">
      <alignment horizontal="center" readingOrder="0" shrinkToFit="0" vertical="bottom" wrapText="0"/>
    </xf>
    <xf borderId="11" fillId="15" fontId="46" numFmtId="0" xfId="0" applyAlignment="1" applyBorder="1" applyFont="1">
      <alignment horizontal="left" readingOrder="0" shrinkToFit="0" vertical="bottom" wrapText="0"/>
    </xf>
    <xf borderId="7" fillId="0" fontId="46" numFmtId="0" xfId="0" applyAlignment="1" applyBorder="1" applyFont="1">
      <alignment readingOrder="0" shrinkToFit="0" vertical="bottom" wrapText="0"/>
    </xf>
    <xf borderId="11" fillId="0" fontId="46" numFmtId="0" xfId="0" applyAlignment="1" applyBorder="1" applyFont="1">
      <alignment horizontal="center" readingOrder="0" shrinkToFit="0" vertical="bottom" wrapText="0"/>
    </xf>
    <xf borderId="1" fillId="0" fontId="46" numFmtId="0" xfId="0" applyAlignment="1" applyBorder="1" applyFont="1">
      <alignment readingOrder="0" shrinkToFit="0" vertical="bottom" wrapText="0"/>
    </xf>
    <xf borderId="1" fillId="0" fontId="46" numFmtId="0" xfId="0" applyAlignment="1" applyBorder="1" applyFont="1">
      <alignment horizontal="center" readingOrder="0" shrinkToFit="0" vertical="bottom" wrapText="0"/>
    </xf>
    <xf borderId="2" fillId="0" fontId="46" numFmtId="0" xfId="0" applyAlignment="1" applyBorder="1" applyFont="1">
      <alignment horizontal="center" readingOrder="0" shrinkToFit="0" vertical="bottom" wrapText="0"/>
    </xf>
    <xf borderId="2" fillId="0" fontId="46" numFmtId="0" xfId="0" applyAlignment="1" applyBorder="1" applyFont="1">
      <alignment readingOrder="0" shrinkToFit="0" vertical="bottom" wrapText="0"/>
    </xf>
    <xf borderId="7" fillId="15" fontId="46" numFmtId="0" xfId="0" applyAlignment="1" applyBorder="1" applyFont="1">
      <alignment readingOrder="0" shrinkToFit="0" vertical="bottom" wrapText="0"/>
    </xf>
    <xf borderId="1" fillId="16" fontId="6" numFmtId="0" xfId="0" applyAlignment="1" applyBorder="1" applyFill="1" applyFont="1">
      <alignment readingOrder="0"/>
    </xf>
    <xf borderId="1" fillId="16" fontId="6" numFmtId="165" xfId="0" applyAlignment="1" applyBorder="1" applyFont="1" applyNumberFormat="1">
      <alignment horizontal="right" readingOrder="0"/>
    </xf>
    <xf borderId="11" fillId="16" fontId="46" numFmtId="0" xfId="0" applyAlignment="1" applyBorder="1" applyFont="1">
      <alignment horizontal="center" readingOrder="0" shrinkToFit="0" vertical="bottom" wrapText="0"/>
    </xf>
    <xf borderId="1" fillId="16" fontId="46" numFmtId="0" xfId="0" applyAlignment="1" applyBorder="1" applyFont="1">
      <alignment readingOrder="0" shrinkToFit="0" vertical="bottom" wrapText="0"/>
    </xf>
    <xf borderId="11" fillId="16" fontId="46" numFmtId="166" xfId="0" applyAlignment="1" applyBorder="1" applyFont="1" applyNumberFormat="1">
      <alignment horizontal="center" readingOrder="0" shrinkToFit="0" vertical="bottom" wrapText="0"/>
    </xf>
    <xf borderId="1" fillId="16" fontId="46" numFmtId="166" xfId="0" applyAlignment="1" applyBorder="1" applyFont="1" applyNumberFormat="1">
      <alignment horizontal="center" readingOrder="0" shrinkToFit="0" vertical="bottom" wrapText="0"/>
    </xf>
    <xf borderId="1" fillId="16" fontId="46" numFmtId="0" xfId="0" applyAlignment="1" applyBorder="1" applyFont="1">
      <alignment horizontal="center" readingOrder="0" shrinkToFit="0" vertical="bottom" wrapText="0"/>
    </xf>
    <xf borderId="1" fillId="16" fontId="6" numFmtId="166" xfId="0" applyAlignment="1" applyBorder="1" applyFont="1" applyNumberFormat="1">
      <alignment horizontal="right" readingOrder="0"/>
    </xf>
    <xf borderId="1" fillId="16" fontId="2" numFmtId="0" xfId="0" applyAlignment="1" applyBorder="1" applyFont="1">
      <alignment readingOrder="0" vertical="bottom"/>
    </xf>
    <xf borderId="1" fillId="16" fontId="2" numFmtId="165" xfId="0" applyAlignment="1" applyBorder="1" applyFont="1" applyNumberFormat="1">
      <alignment horizontal="right" readingOrder="0" vertical="bottom"/>
    </xf>
    <xf borderId="1" fillId="8" fontId="6" numFmtId="0" xfId="0" applyAlignment="1" applyBorder="1" applyFont="1">
      <alignment readingOrder="0"/>
    </xf>
    <xf borderId="1" fillId="8" fontId="6" numFmtId="165" xfId="0" applyAlignment="1" applyBorder="1" applyFont="1" applyNumberFormat="1">
      <alignment horizontal="right" readingOrder="0"/>
    </xf>
    <xf borderId="11" fillId="8" fontId="46" numFmtId="0" xfId="0" applyAlignment="1" applyBorder="1" applyFont="1">
      <alignment horizontal="center" readingOrder="0" shrinkToFit="0" vertical="bottom" wrapText="0"/>
    </xf>
    <xf borderId="1" fillId="15" fontId="6" numFmtId="0" xfId="0" applyAlignment="1" applyBorder="1" applyFont="1">
      <alignment readingOrder="0"/>
    </xf>
    <xf borderId="1" fillId="15" fontId="46" numFmtId="165" xfId="0" applyAlignment="1" applyBorder="1" applyFont="1" applyNumberFormat="1">
      <alignment horizontal="right" readingOrder="0" shrinkToFit="0" vertical="bottom" wrapText="0"/>
    </xf>
    <xf borderId="1" fillId="15" fontId="6" numFmtId="0" xfId="0" applyAlignment="1" applyBorder="1" applyFont="1">
      <alignment horizontal="center" readingOrder="0"/>
    </xf>
    <xf borderId="1" fillId="15" fontId="6" numFmtId="165" xfId="0" applyAlignment="1" applyBorder="1" applyFont="1" applyNumberFormat="1">
      <alignment horizontal="right" readingOrder="0"/>
    </xf>
    <xf borderId="1" fillId="15" fontId="3" numFmtId="0" xfId="0" applyAlignment="1" applyBorder="1" applyFont="1">
      <alignment readingOrder="0"/>
    </xf>
    <xf borderId="1" fillId="15" fontId="2" numFmtId="0" xfId="0" applyAlignment="1" applyBorder="1" applyFont="1">
      <alignment readingOrder="0" vertical="bottom"/>
    </xf>
    <xf borderId="2" fillId="15" fontId="2" numFmtId="165" xfId="0" applyAlignment="1" applyBorder="1" applyFont="1" applyNumberFormat="1">
      <alignment horizontal="right" readingOrder="0" vertical="bottom"/>
    </xf>
    <xf borderId="2" fillId="15" fontId="2" numFmtId="0" xfId="0" applyAlignment="1" applyBorder="1" applyFont="1">
      <alignment horizontal="center" readingOrder="0" vertical="bottom"/>
    </xf>
    <xf borderId="1" fillId="16" fontId="6" numFmtId="0" xfId="0" applyAlignment="1" applyBorder="1" applyFont="1">
      <alignment horizontal="center" readingOrder="0"/>
    </xf>
    <xf borderId="1" fillId="15" fontId="64" numFmtId="0" xfId="0" applyAlignment="1" applyBorder="1" applyFont="1">
      <alignment readingOrder="0"/>
    </xf>
    <xf borderId="1" fillId="15" fontId="16" numFmtId="0" xfId="0" applyAlignment="1" applyBorder="1" applyFont="1">
      <alignment readingOrder="0"/>
    </xf>
    <xf borderId="1" fillId="15" fontId="2" numFmtId="0" xfId="0" applyAlignment="1" applyBorder="1" applyFont="1">
      <alignment vertical="bottom"/>
    </xf>
    <xf borderId="1" fillId="15" fontId="2" numFmtId="165" xfId="0" applyAlignment="1" applyBorder="1" applyFont="1" applyNumberFormat="1">
      <alignment horizontal="right" vertical="bottom"/>
    </xf>
    <xf borderId="1" fillId="15" fontId="2" numFmtId="0" xfId="0" applyAlignment="1" applyBorder="1" applyFont="1">
      <alignment horizontal="center" vertical="bottom"/>
    </xf>
    <xf borderId="1" fillId="15" fontId="2" numFmtId="165" xfId="0" applyAlignment="1" applyBorder="1" applyFont="1" applyNumberFormat="1">
      <alignment horizontal="right" readingOrder="0" vertical="bottom"/>
    </xf>
    <xf borderId="1" fillId="15" fontId="2" numFmtId="0" xfId="0" applyAlignment="1" applyBorder="1" applyFont="1">
      <alignment horizontal="center" readingOrder="0" vertical="bottom"/>
    </xf>
    <xf borderId="1" fillId="16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0" fillId="4" fontId="6" numFmtId="0" xfId="0" applyFont="1"/>
    <xf borderId="1" fillId="8" fontId="2" numFmtId="0" xfId="0" applyAlignment="1" applyBorder="1" applyFont="1">
      <alignment readingOrder="0" vertical="bottom"/>
    </xf>
    <xf borderId="1" fillId="8" fontId="2" numFmtId="165" xfId="0" applyAlignment="1" applyBorder="1" applyFont="1" applyNumberFormat="1">
      <alignment horizontal="right" readingOrder="0" vertical="bottom"/>
    </xf>
    <xf borderId="1" fillId="8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vertical="bottom"/>
    </xf>
    <xf borderId="1" fillId="8" fontId="2" numFmtId="165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0" fillId="0" fontId="6" numFmtId="165" xfId="0" applyAlignment="1" applyFont="1" applyNumberFormat="1">
      <alignment horizontal="right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trackshipment.shipstation.com/?branding_id=001d6731-0000-0000-1ebf-030000000000&amp;carrier_code=ups&amp;tracking_number=1ZA83W70DG31608764&amp;order_number=MjYzMzY1&amp;postal_code=33166-2783&amp;locale=en" TargetMode="External"/><Relationship Id="rId194" Type="http://schemas.openxmlformats.org/officeDocument/2006/relationships/hyperlink" Target="https://www.amazon.com/gp/your-account/order-details/ref=dp_iou_view_this_order?ie=UTF8&amp;orderID=112-0162187-9266607" TargetMode="External"/><Relationship Id="rId193" Type="http://schemas.openxmlformats.org/officeDocument/2006/relationships/hyperlink" Target="https://www.fedex.com/fedextrack/?trknbr=61299989289340265067&amp;trkqual=20231226175800~61299989289340265067~FXSP" TargetMode="External"/><Relationship Id="rId192" Type="http://schemas.openxmlformats.org/officeDocument/2006/relationships/hyperlink" Target="https://www.fedex.com/fedextrack/?trknbr=74899989289340272375&amp;trkqual=20231227204400~74899989289340272375~FXSP" TargetMode="External"/><Relationship Id="rId191" Type="http://schemas.openxmlformats.org/officeDocument/2006/relationships/hyperlink" Target="https://parcelsapp.com/en/tracking/TBA310748270766" TargetMode="External"/><Relationship Id="rId187" Type="http://schemas.openxmlformats.org/officeDocument/2006/relationships/hyperlink" Target="https://order.ebay.com/ord/show?orderId=18-10960-64378" TargetMode="External"/><Relationship Id="rId186" Type="http://schemas.openxmlformats.org/officeDocument/2006/relationships/hyperlink" Target="https://www.vr-speed.com/checkout/order-received/100346828/?key=wc_order_ViGpcEnnPM6Fc&amp;utm_nooverride=1" TargetMode="External"/><Relationship Id="rId185" Type="http://schemas.openxmlformats.org/officeDocument/2006/relationships/hyperlink" Target="https://mnlasercutting.com/commerce/orders/304f638d-eed0-4dcc-83c8-60ccf4d438e8" TargetMode="External"/><Relationship Id="rId184" Type="http://schemas.openxmlformats.org/officeDocument/2006/relationships/hyperlink" Target="https://www.aliexpress.com/p/order/detail.html?orderId=8181967288665219&amp;edm_log_data=edm-order-details.store-product-log-link&amp;tracelog=rowan&amp;rowan_id1=delivery_for_buyer_20230406_1_en_US_2023-12-22&amp;rowan_msg_id=5219818196728866$b9b4851346994efbaeb830eb38c7a385&amp;ck=in_edm_other" TargetMode="External"/><Relationship Id="rId189" Type="http://schemas.openxmlformats.org/officeDocument/2006/relationships/hyperlink" Target="https://www.ctsturbo.com/my-account/view-order/263365/" TargetMode="External"/><Relationship Id="rId188" Type="http://schemas.openxmlformats.org/officeDocument/2006/relationships/hyperlink" Target="https://www.orangeconnex.com/tracking?language=en&amp;trackingnumber=ES10025978481020001010001E0N" TargetMode="External"/><Relationship Id="rId183" Type="http://schemas.openxmlformats.org/officeDocument/2006/relationships/hyperlink" Target="https://www.speedfactoryracing.net/checkouts/cn/b97cca2419fde17f19cb6b1d688f366a/thank_you" TargetMode="External"/><Relationship Id="rId182" Type="http://schemas.openxmlformats.org/officeDocument/2006/relationships/hyperlink" Target="https://shop.redline360.com/account/orders/e98432728a2026181feb71efa0935b29" TargetMode="External"/><Relationship Id="rId181" Type="http://schemas.openxmlformats.org/officeDocument/2006/relationships/hyperlink" Target="https://order.ebay.com/ord/show?orderId=07-10955-74299" TargetMode="External"/><Relationship Id="rId180" Type="http://schemas.openxmlformats.org/officeDocument/2006/relationships/hyperlink" Target="https://order.ebay.com/ord/show?orderId=02-10958-99070" TargetMode="External"/><Relationship Id="rId176" Type="http://schemas.openxmlformats.org/officeDocument/2006/relationships/hyperlink" Target="https://www.bmwpartsdeal.com/online/order/detail?orderId=241635&amp;orderGuid=fe68a369-9160-49f1-b9d1-39f03ba363a9" TargetMode="External"/><Relationship Id="rId297" Type="http://schemas.openxmlformats.org/officeDocument/2006/relationships/hyperlink" Target="https://order.ebay.com/ord/show?orderId=07-11727-25377" TargetMode="External"/><Relationship Id="rId175" Type="http://schemas.openxmlformats.org/officeDocument/2006/relationships/hyperlink" Target="https://www.fedex.com/fedextrack/?trknbr=788028034237" TargetMode="External"/><Relationship Id="rId296" Type="http://schemas.openxmlformats.org/officeDocument/2006/relationships/hyperlink" Target="https://www.selectaudiparts.com/account/order?token=eyJ0eXAiOiJKV1QiLCJhbGciOiJIUzUxMiJ9.eyJvcmRlcl9udW1iZXIiOiIyNDc0IiwidXNlcl9lbWFpbCI6ImFsbEB0cmliZXNoaXBwaW5nLmNvbSJ9.Gu3ARPaxeqfjD-0TbbFUe51e-qrRj5CZkj978DzZxc15ziATmlTc2XI3DFef2H4rSW1Aw--xyXmBNwMIbmP_AA" TargetMode="External"/><Relationship Id="rId174" Type="http://schemas.openxmlformats.org/officeDocument/2006/relationships/hyperlink" Target="https://www.getbmwparts.com/account/order?token=eyJ0eXAiOiJKV1QiLCJhbGciOiJIUzUxMiJ9.eyJvcmRlcl9udW1iZXIiOiI0NDEzNTAwMiIsInVzZXJfZW1haWwiOiJlbWlsaWFub0B0cmliZXNoaXBwaW5nLmNvbSJ9.OZIXZQeAyrENzwQW6HbVU53R3CGyeW_9JQkg2SeZz2Sk8phod7efJXlkupM17pNOsEi3s1__GFZgJM_snxnhGA" TargetMode="External"/><Relationship Id="rId295" Type="http://schemas.openxmlformats.org/officeDocument/2006/relationships/hyperlink" Target="https://www.aliexpress.com/p/tracking/index.html?_addShare=no&amp;_login=yes&amp;tradeOrderId=8187468628865219" TargetMode="External"/><Relationship Id="rId173" Type="http://schemas.openxmlformats.org/officeDocument/2006/relationships/hyperlink" Target="http://wwwapps.ups.com/etracking/tracking.cgi?tracknums_displayed=5&amp;TypeOfInquiryNumber=T&amp;HTMLVersion=4.0&amp;InquiryNumber1=1Z283637A862295892&amp;InquiryNumber2=&amp;InquiryNumber3=&amp;track=Track" TargetMode="External"/><Relationship Id="rId294" Type="http://schemas.openxmlformats.org/officeDocument/2006/relationships/hyperlink" Target="https://www.aliexpress.com/p/order/detail.html?spm=a2g0o.order_list.order_list_main.1.21ef18028fryxf&amp;orderId=8187468628865219" TargetMode="External"/><Relationship Id="rId179" Type="http://schemas.openxmlformats.org/officeDocument/2006/relationships/hyperlink" Target="https://www.ecstuning.com/MyAccount/Orders/Order-595271369/" TargetMode="External"/><Relationship Id="rId178" Type="http://schemas.openxmlformats.org/officeDocument/2006/relationships/hyperlink" Target="https://biz.alibaba.com/ta/detail.htm?orderId=196311074501022057&amp;tracelog=notification_mail_normal_PaymentStatusChanged_5096555404&amp;mt=mail&amp;crm_mtn_tracelog_log_id=5000000003707688580&amp;crm_mtn_tracelog_task_id=b39fde97-28b7-4219-a9eb-7714f26cc3c4&amp;crm_mtn_tracelog_template=2000745458&amp;crm_mtn_tracelog_from_sys=service_mhtserver&amp;as_token=ROjf2boXxQDJEEy8H7BYs4DXgc4ESmP6fkUQq1sfJL4s7dvf&amp;to=array.dude%40gmail.com&amp;from=credit%40notice.alibaba.com" TargetMode="External"/><Relationship Id="rId299" Type="http://schemas.openxmlformats.org/officeDocument/2006/relationships/hyperlink" Target="https://order.ebay.com/ord/show?orderId=06-11475-39578" TargetMode="External"/><Relationship Id="rId177" Type="http://schemas.openxmlformats.org/officeDocument/2006/relationships/hyperlink" Target="https://www.blowsion.com/sales/order/view/order_id/78239/" TargetMode="External"/><Relationship Id="rId298" Type="http://schemas.openxmlformats.org/officeDocument/2006/relationships/hyperlink" Target="https://www.getbmwparts.com/account/order?token=eyJ0eXAiOiJKV1QiLCJhbGciOiJIUzUxMiJ9.eyJvcmRlcl9udW1iZXIiOiI0NDE0MTcxOCIsInVzZXJfZW1haWwiOiJlbWlsaWFub0B0cmliZXNoaXBwaW5nLmNvbSJ9.xVEMPgRxGTBVI7PAHkQJ78QNK6uwEoS5iHxh96qb8uTjdR9aIaM6lzRz7PDiXD5ccTn-zhVLMtzGWbIQ_FY0EQ" TargetMode="External"/><Relationship Id="rId198" Type="http://schemas.openxmlformats.org/officeDocument/2006/relationships/hyperlink" Target="https://www.ecstuning.com/MyAccount/Orders/Order-378985169/" TargetMode="External"/><Relationship Id="rId197" Type="http://schemas.openxmlformats.org/officeDocument/2006/relationships/hyperlink" Target="https://order.ebay.com/ord/show?orderId=02-10984-42917" TargetMode="External"/><Relationship Id="rId196" Type="http://schemas.openxmlformats.org/officeDocument/2006/relationships/hyperlink" Target="https://order.ebay.com/ord/show?orderId=04-10979-11809" TargetMode="External"/><Relationship Id="rId195" Type="http://schemas.openxmlformats.org/officeDocument/2006/relationships/hyperlink" Target="https://jhpusa.com/11510688/checkouts/7c54d73065e72d77236b9f119aca66ba/thank_you" TargetMode="External"/><Relationship Id="rId199" Type="http://schemas.openxmlformats.org/officeDocument/2006/relationships/hyperlink" Target="https://opel-shop.com/kasse/order-received/2818193/?key=wc_order_4eEsS46TwTt0Y" TargetMode="External"/><Relationship Id="rId150" Type="http://schemas.openxmlformats.org/officeDocument/2006/relationships/hyperlink" Target="https://order.ebay.com/ord/show?orderId=23-10791-19926" TargetMode="External"/><Relationship Id="rId271" Type="http://schemas.openxmlformats.org/officeDocument/2006/relationships/hyperlink" Target="https://www.ecstuning.com/Cart/Receipt-253602947/?customerID=2679329" TargetMode="External"/><Relationship Id="rId392" Type="http://schemas.openxmlformats.org/officeDocument/2006/relationships/hyperlink" Target="https://www.cgdiprog.com/account/order-detail" TargetMode="External"/><Relationship Id="rId270" Type="http://schemas.openxmlformats.org/officeDocument/2006/relationships/hyperlink" Target="https://order.ebay.com/ord/show?orderId=27-11384-53641" TargetMode="External"/><Relationship Id="rId391" Type="http://schemas.openxmlformats.org/officeDocument/2006/relationships/hyperlink" Target="https://docs.google.com/spreadsheets/d/1OdZrqAX8VyICrEm6e4MCscf8K5JpFgTX4b5bxumNR84/edit?gid=0" TargetMode="External"/><Relationship Id="rId390" Type="http://schemas.openxmlformats.org/officeDocument/2006/relationships/hyperlink" Target="https://order.ebay.com/ord/show?orderId=16-11965-26477&amp;purchaseOrderId=16-1196-52647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gp/product/B00PV6T5U4/ref=ppx_yo_dt_b_asin_title_o03_s00?ie=UTF8&amp;psc=1" TargetMode="External"/><Relationship Id="rId3" Type="http://schemas.openxmlformats.org/officeDocument/2006/relationships/hyperlink" Target="https://www.ebay.com/itm/371496693838" TargetMode="External"/><Relationship Id="rId149" Type="http://schemas.openxmlformats.org/officeDocument/2006/relationships/hyperlink" Target="https://www.burton-racing.com/6436454465/orders/2d7829d71521491021a1894c969042cc" TargetMode="External"/><Relationship Id="rId4" Type="http://schemas.openxmlformats.org/officeDocument/2006/relationships/hyperlink" Target="https://www.amazon.com/gp/product/B07F1C9MFJ/ref=ppx_yo_dt_b_asin_title_o04_s00?ie=UTF8&amp;psc=1" TargetMode="External"/><Relationship Id="rId148" Type="http://schemas.openxmlformats.org/officeDocument/2006/relationships/hyperlink" Target="https://www.amazon.com/dp/B0184TSI84?psc=1&amp;ref=ppx_yo2ov_dt_b_product_details" TargetMode="External"/><Relationship Id="rId269" Type="http://schemas.openxmlformats.org/officeDocument/2006/relationships/hyperlink" Target="https://order.ebay.com/ord/show?orderId=10-11398-77879" TargetMode="External"/><Relationship Id="rId9" Type="http://schemas.openxmlformats.org/officeDocument/2006/relationships/hyperlink" Target="https://www.amazon.com/-/es/Davitu-CarPlay-corriente-cable-5G0035222E/dp/B07M9RL1GD" TargetMode="External"/><Relationship Id="rId143" Type="http://schemas.openxmlformats.org/officeDocument/2006/relationships/hyperlink" Target="https://order.ebay.com/ord/show?orderId=13-10788-98269" TargetMode="External"/><Relationship Id="rId264" Type="http://schemas.openxmlformats.org/officeDocument/2006/relationships/hyperlink" Target="https://order.ebay.com/ord/show?/ViewPaymentStatus&amp;purchaseOrderId=06-1139-176504" TargetMode="External"/><Relationship Id="rId385" Type="http://schemas.openxmlformats.org/officeDocument/2006/relationships/hyperlink" Target="https://www.dhl.com/ar-es/home/tracking/tracking-express.html?submit=1&amp;tracking-id=8238221515" TargetMode="External"/><Relationship Id="rId142" Type="http://schemas.openxmlformats.org/officeDocument/2006/relationships/hyperlink" Target="https://order.ebay.com/ord/show?orderId=15-10783-96277" TargetMode="External"/><Relationship Id="rId263" Type="http://schemas.openxmlformats.org/officeDocument/2006/relationships/hyperlink" Target="https://www.moparpartsproonline.com/account/order-details/?token=eyJ0eXAiOiJKV1QiLCJhbGciOiJIUzUxMiJ9.eyJvcmRlcl9udW1iZXIiOiI0MDg3IiwidXNlcl9lbWFpbCI6ImFycmF5ZHVkZUBnbWFpbC5jb20ifQ.s64rzs77bLcn-2ikfO09Cwv8AE7EEngrQVQX6J7gmzmyFAohMWUYdRfvxvWqlT1uXC76tJEu6NtqtH7YAUTNbg" TargetMode="External"/><Relationship Id="rId384" Type="http://schemas.openxmlformats.org/officeDocument/2006/relationships/hyperlink" Target="https://docs.google.com/spreadsheets/d/1VbQBImy8x2lvSvLIZXygahCh0N-cBgfEJp0nCtqp9MM/edit?gid=0" TargetMode="External"/><Relationship Id="rId141" Type="http://schemas.openxmlformats.org/officeDocument/2006/relationships/hyperlink" Target="https://www.kiesmotorsports.com/7437025395/checkouts/dae99a1af140164a94115045dbd534e7/thank_you" TargetMode="External"/><Relationship Id="rId262" Type="http://schemas.openxmlformats.org/officeDocument/2006/relationships/hyperlink" Target="https://docs.google.com/spreadsheets/u/3/d/1rY_9gIibGtP0kCqraWRojaUIaw7ob369FIt9zb33b1M/edit" TargetMode="External"/><Relationship Id="rId383" Type="http://schemas.openxmlformats.org/officeDocument/2006/relationships/hyperlink" Target="https://docs.google.com/spreadsheets/d/1VbQBImy8x2lvSvLIZXygahCh0N-cBgfEJp0nCtqp9MM/edit?gid=0" TargetMode="External"/><Relationship Id="rId140" Type="http://schemas.openxmlformats.org/officeDocument/2006/relationships/hyperlink" Target="https://www.bimmernetwork.com/58151403692/orders/cc416c8a9b3f6999caf89369ac5fed8c" TargetMode="External"/><Relationship Id="rId261" Type="http://schemas.openxmlformats.org/officeDocument/2006/relationships/hyperlink" Target="https://shopify.com/6603702362/account/orders/5985687830618?locale=en" TargetMode="External"/><Relationship Id="rId382" Type="http://schemas.openxmlformats.org/officeDocument/2006/relationships/hyperlink" Target="https://www.ecstuning.com/MyAccount/Orders/Order-344369709/" TargetMode="External"/><Relationship Id="rId5" Type="http://schemas.openxmlformats.org/officeDocument/2006/relationships/hyperlink" Target="https://www.ebay.com/itm/175564026454?hash=item28e06e7256:g:JvoAAOSw-7Zj5CHH&amp;amdata=enc%3AAQAHAAAAoIXUlg1UNk7TbYe3FabkWPJcOXfJjxUdU08uXWu1bYnwPC%2F23lQcUalfPDXA%2F0bT7Dz8P784RjZYuWHUWf3%2FRm9HK5lbZH%2Bpvp4UpWfQ6acBIQlrqP6gYfBB82zF0Jk0tSlwsMADKQudHIX1zkphqSG%2Fu1alGJE6zwIH1wHmaGDwTtkRuLmMbjumRFo4AXXWtp2rXLDnyNCurdnkhCTrurY%3D%7Ctkp%3ABk9SR_zgqLTJYQ" TargetMode="External"/><Relationship Id="rId147" Type="http://schemas.openxmlformats.org/officeDocument/2006/relationships/hyperlink" Target="https://www.amazon.com/dp/B00062YIJQ?psc=1&amp;ref=ppx_yo2ov_dt_b_product_details" TargetMode="External"/><Relationship Id="rId268" Type="http://schemas.openxmlformats.org/officeDocument/2006/relationships/hyperlink" Target="https://order.ebay.com/ord/show?orderId=23-11386-18178" TargetMode="External"/><Relationship Id="rId389" Type="http://schemas.openxmlformats.org/officeDocument/2006/relationships/hyperlink" Target="https://order.ebay.com/ord/show?orderId=09-11972-26594&amp;purchaseOrderId=09-1197-226593" TargetMode="External"/><Relationship Id="rId6" Type="http://schemas.openxmlformats.org/officeDocument/2006/relationships/hyperlink" Target="https://www.ebay.com/itm/404223900795?hash=item5e1d9f3c7b:g:5YgAAOSwMyhkJdSM&amp;amdata=enc%3AAQAHAAAA8FSz39KtRB%2BPktdf2yt1G8hS8rRdtTIp4RLsIvLQuULpWtmk1v90Xi%2FEB4ii2lYGvs4cGUkO0HRK1lPAO34hmV5OUoiPnYQLJaqewa5lB3ZXz%2BhmsKNyhZof4IQJ%2FWv2xlZ9%2FWl5gnqKO0b4IM33c0zK7dT9oujExAc9Tv1tzcbmEXvX9Xrs%2Fenczwd4vz7Hi2yd7LarkyqKUoxuYSG8zCrePPHOhp7eqdQHkdlHV5%2Fn6p%2Bl2ARvfPH%2Bg8iwAahZZHXBXDJeBp7JoQdLCTWllwssyhqo%2BTb3OSANMyao9ed%2FYIVMVquVrL3lfOb0UeEmmQ%3D%3D%7Ctkp%3ABk9SR47u8L3mYQ" TargetMode="External"/><Relationship Id="rId146" Type="http://schemas.openxmlformats.org/officeDocument/2006/relationships/hyperlink" Target="https://privatelabelmfg.com/38056853642/orders/7c91da76d728dd5af66d1a406d63fa5f" TargetMode="External"/><Relationship Id="rId267" Type="http://schemas.openxmlformats.org/officeDocument/2006/relationships/hyperlink" Target="https://order.ebay.com/ord/show?/ViewPaymentStatus&amp;purchaseOrderId=09-1139-753741" TargetMode="External"/><Relationship Id="rId388" Type="http://schemas.openxmlformats.org/officeDocument/2006/relationships/hyperlink" Target="https://order.ebay.com/ord/show?orderId=06-11968-07764&amp;purchaseOrderId=06-1196-807763" TargetMode="External"/><Relationship Id="rId7" Type="http://schemas.openxmlformats.org/officeDocument/2006/relationships/hyperlink" Target="https://www.ebay.com/itm/114182300635?epid=1825189926&amp;hash=item1a95cba3db:g:dFoAAOSwWPtekcc9&amp;amdata=enc%3AAQAHAAAA4JrdX9uEUhHyuVzc44752o8kG3lPhqEEx2lIvydvC4uYRyeK6WB8RMwkC%2Fx9qt50tLZSrVnQuH7AAsw%2BLfIJLxIPI9wDizaFB4OCCy8O46qP55QL9PHz6ikjO3v7lzenqPwNffIxxPZ98wa8KZok%2FfsR%2FTUlGu4CcWlA8YqX4ppIAhBxdqHDcHCLTRidFUObqkATtLCoek1IU6%2Bx8%2FlDry82UYsjVdxHcrTRBsNuibxu8W602dHpFgjPVHIiBDyXjBY1XvmfgXdDk5KH0U8hIobC3Ak2XpBA3NhYekhhHvPg%7Ctkp%3ABk9SR_L4zLzmYQ" TargetMode="External"/><Relationship Id="rId145" Type="http://schemas.openxmlformats.org/officeDocument/2006/relationships/hyperlink" Target="https://biz.alibaba.com/ta/detail.htm?spm=a2700.12336162.0.0.54b565aapDICCy&amp;orderId=193197207001022057" TargetMode="External"/><Relationship Id="rId266" Type="http://schemas.openxmlformats.org/officeDocument/2006/relationships/hyperlink" Target="https://parcelsapp.com/en/tracking/RS902456693LV" TargetMode="External"/><Relationship Id="rId387" Type="http://schemas.openxmlformats.org/officeDocument/2006/relationships/hyperlink" Target="https://www.ecstuning.com/MyAccount/Orders/Order-982682691/" TargetMode="External"/><Relationship Id="rId8" Type="http://schemas.openxmlformats.org/officeDocument/2006/relationships/hyperlink" Target="https://www.volvocarsoempartsdirect.com/checkout/aaa827035d449822ff600c6a73a71e65/shipping" TargetMode="External"/><Relationship Id="rId144" Type="http://schemas.openxmlformats.org/officeDocument/2006/relationships/hyperlink" Target="https://order.ebay.com/ord/show?orderId=10-10791-14483" TargetMode="External"/><Relationship Id="rId265" Type="http://schemas.openxmlformats.org/officeDocument/2006/relationships/hyperlink" Target="https://order.ebay.com/ord/show?/ViewPaymentStatus&amp;purchaseOrderId=26-1137-883211" TargetMode="External"/><Relationship Id="rId386" Type="http://schemas.openxmlformats.org/officeDocument/2006/relationships/hyperlink" Target="https://order.ebay.com/ord/show?orderId=01-11956-41944&amp;purchaseOrderId=01-1195-641943" TargetMode="External"/><Relationship Id="rId260" Type="http://schemas.openxmlformats.org/officeDocument/2006/relationships/hyperlink" Target="https://www.amazon.com/gp/your-account/order-details/ref=ppx_yo_dt_b_veo_o00_s00?ie=UTF8&amp;orderID=112-3718030-3647432" TargetMode="External"/><Relationship Id="rId381" Type="http://schemas.openxmlformats.org/officeDocument/2006/relationships/hyperlink" Target="https://order.ebay.com/ord/show?orderId=09-11939-01169&amp;purchaseOrderId=09-1193-901168" TargetMode="External"/><Relationship Id="rId380" Type="http://schemas.openxmlformats.org/officeDocument/2006/relationships/hyperlink" Target="https://order.ebay.com/ord/show?itemId=166765676948&amp;transactionId=2449527685006&amp;mkevt=1&amp;mkpid=0&amp;emsid=e11400.m144670.l152615&amp;mkcid=7&amp;ch=osgood&amp;euid=5402331ff2d74b1c9e6080ecb2b233c2&amp;bu=43795160990&amp;exe=0&amp;ext=0&amp;osub=-1%7E1&amp;crd=20240812201410&amp;segname=11400" TargetMode="External"/><Relationship Id="rId139" Type="http://schemas.openxmlformats.org/officeDocument/2006/relationships/hyperlink" Target="https://www.ups.com/track?loc=en_US&amp;tracknum=1ZE8316Y0315927124&amp;requester=WT/trackdetails" TargetMode="External"/><Relationship Id="rId138" Type="http://schemas.openxmlformats.org/officeDocument/2006/relationships/hyperlink" Target="https://www.fcpeuro.com/products/audi-axle-shaft-cv-joint-kit-gkn-8e0498099c" TargetMode="External"/><Relationship Id="rId259" Type="http://schemas.openxmlformats.org/officeDocument/2006/relationships/hyperlink" Target="https://www.puredrivetrainsolutions.com/zf-8hp-transmission-upgrades/bmw/2-series" TargetMode="External"/><Relationship Id="rId137" Type="http://schemas.openxmlformats.org/officeDocument/2006/relationships/hyperlink" Target="https://t.17track.net/en" TargetMode="External"/><Relationship Id="rId258" Type="http://schemas.openxmlformats.org/officeDocument/2006/relationships/hyperlink" Target="https://order.ebay.com/ord/show?orderId=25-11324-82607" TargetMode="External"/><Relationship Id="rId379" Type="http://schemas.openxmlformats.org/officeDocument/2006/relationships/hyperlink" Target="https://www.ontrac.com/tracking/?number=1LSCY9R003NSWOS" TargetMode="External"/><Relationship Id="rId132" Type="http://schemas.openxmlformats.org/officeDocument/2006/relationships/hyperlink" Target="https://www.ecstuning.com/b-continental-parts/map-sensor/13627843531~vdo/" TargetMode="External"/><Relationship Id="rId253" Type="http://schemas.openxmlformats.org/officeDocument/2006/relationships/hyperlink" Target="https://www.turnermotorsport.com/p-177058-11417647238-genuine-bmw-part/" TargetMode="External"/><Relationship Id="rId374" Type="http://schemas.openxmlformats.org/officeDocument/2006/relationships/hyperlink" Target="https://www.amazon.com/gp/your-account/order-details?ie=UTF8&amp;orderID=112-5936924-1506604&amp;ref=ppx_yo2ov_dt_b_fed_order_details" TargetMode="External"/><Relationship Id="rId495" Type="http://schemas.openxmlformats.org/officeDocument/2006/relationships/hyperlink" Target="https://shopify.com/6603702362/account/orders/d814086d79131a9934780959697584c4" TargetMode="External"/><Relationship Id="rId131" Type="http://schemas.openxmlformats.org/officeDocument/2006/relationships/hyperlink" Target="https://www.amazon.com/gp/your-account/order-details/ref=ppx_yo_dt_b_order_details_o00?ie=UTF8&amp;orderID=114-3763702-2283436" TargetMode="External"/><Relationship Id="rId252" Type="http://schemas.openxmlformats.org/officeDocument/2006/relationships/hyperlink" Target="https://www.amazon.com/gp/your-account/order-details/ref=ppx_yo_dt_b_order_details_o00?ie=UTF8&amp;orderID=111-2985465-1995401" TargetMode="External"/><Relationship Id="rId373" Type="http://schemas.openxmlformats.org/officeDocument/2006/relationships/hyperlink" Target="https://biz.alibaba.com/ta/detail.htm?spm=a2700.12336162.0.0.1b7365aa2ZaQUV&amp;orderId=219312386501022057" TargetMode="External"/><Relationship Id="rId494" Type="http://schemas.openxmlformats.org/officeDocument/2006/relationships/hyperlink" Target="https://order.ebay.com/ord/show?itemId=226537657469&amp;transactionId=10072781985812&amp;mkevt=1&amp;mkpid=0&amp;emsid=e11400.m144670.l152615&amp;mkcid=7&amp;ch=osgood&amp;euid=d5b76ca0fd9a4cce8defa9576c5d7f24&amp;bu=43795160990&amp;osub=-1%7E1&amp;crd=20250527131212&amp;segname=11400" TargetMode="External"/><Relationship Id="rId130" Type="http://schemas.openxmlformats.org/officeDocument/2006/relationships/hyperlink" Target="https://www.amazon.com/gp/your-account/order-details/ref=ppx_yo_dt_b_order_details_o01?ie=UTF8&amp;orderID=114-0810433-0849813" TargetMode="External"/><Relationship Id="rId251" Type="http://schemas.openxmlformats.org/officeDocument/2006/relationships/hyperlink" Target="https://order.ebay.com/ord/show?orderId=17-11310-14157" TargetMode="External"/><Relationship Id="rId372" Type="http://schemas.openxmlformats.org/officeDocument/2006/relationships/hyperlink" Target="https://www.ecstuning.com/Cart/Receipt-406599450/?customerID=2679329" TargetMode="External"/><Relationship Id="rId493" Type="http://schemas.openxmlformats.org/officeDocument/2006/relationships/hyperlink" Target="https://order.ebay.com/ord/show?orderId=04-13111-53541&amp;purchaseOrderId=04-1311-153539" TargetMode="External"/><Relationship Id="rId250" Type="http://schemas.openxmlformats.org/officeDocument/2006/relationships/hyperlink" Target="https://www.turnermotorsport.com/p-1110-oem-vdo-camshaft-reference-sensor-m52s52/" TargetMode="External"/><Relationship Id="rId371" Type="http://schemas.openxmlformats.org/officeDocument/2006/relationships/hyperlink" Target="https://www.aliexpress.com/p/tracking/index.html?_addShare=no&amp;_login=yes&amp;tradeOrderId=8190856181645219" TargetMode="External"/><Relationship Id="rId492" Type="http://schemas.openxmlformats.org/officeDocument/2006/relationships/hyperlink" Target="https://order.ebay.com/ord/show?orderId=02-13113-06022&amp;purchaseOrderId=02-1311-306021" TargetMode="External"/><Relationship Id="rId136" Type="http://schemas.openxmlformats.org/officeDocument/2006/relationships/hyperlink" Target="https://order.ebay.com/ord/show?orderId=25-10766-02670" TargetMode="External"/><Relationship Id="rId257" Type="http://schemas.openxmlformats.org/officeDocument/2006/relationships/hyperlink" Target="https://order.ebay.com/ord/show?orderId=25-11324-82607" TargetMode="External"/><Relationship Id="rId378" Type="http://schemas.openxmlformats.org/officeDocument/2006/relationships/hyperlink" Target="https://vod.ebay.com/vod/FetchOrderDetails?/ViewPaymentStatus&amp;purchaseOrderId=01-1194-342927" TargetMode="External"/><Relationship Id="rId499" Type="http://schemas.openxmlformats.org/officeDocument/2006/relationships/hyperlink" Target="https://order.ebay.com/ord/show?orderId=20-13235-83103&amp;purchaseOrderId=20-1323-583102" TargetMode="External"/><Relationship Id="rId135" Type="http://schemas.openxmlformats.org/officeDocument/2006/relationships/hyperlink" Target="https://titanmotorsports.com/account/orders/13b70e0dd717f602e564eb3cd9583f86" TargetMode="External"/><Relationship Id="rId256" Type="http://schemas.openxmlformats.org/officeDocument/2006/relationships/hyperlink" Target="https://order.ebay.com/ord/show?/ViewPaymentStatus&amp;purchaseOrderId=21-1132-409423" TargetMode="External"/><Relationship Id="rId377" Type="http://schemas.openxmlformats.org/officeDocument/2006/relationships/hyperlink" Target="https://vod.ebay.com/vod/FetchOrderDetails?/ViewPaymentStatus&amp;purchaseOrderId=25-1191-904652" TargetMode="External"/><Relationship Id="rId498" Type="http://schemas.openxmlformats.org/officeDocument/2006/relationships/hyperlink" Target="https://vod.ebay.com/vod/FetchOrderDetails?/ViewPaymentStatus&amp;purchaseOrderId=15-1318-805936" TargetMode="External"/><Relationship Id="rId134" Type="http://schemas.openxmlformats.org/officeDocument/2006/relationships/hyperlink" Target="https://track.aliexpress.com/logisticsdetail.htm?spm=a2g0o.order_detail.order_detail_item.2.556cf19cQ17xyO&amp;tradeId=8178594193235219" TargetMode="External"/><Relationship Id="rId255" Type="http://schemas.openxmlformats.org/officeDocument/2006/relationships/hyperlink" Target="https://global.cainiao.com/detail.htm?spm=a2d0j.7922267.0.0.60e7330cHgRzWM&amp;mailNoList=LP00637538811162" TargetMode="External"/><Relationship Id="rId376" Type="http://schemas.openxmlformats.org/officeDocument/2006/relationships/hyperlink" Target="https://vod.ebay.com/vod/FetchOrderDetails?/ViewPaymentStatus&amp;purchaseOrderId=25-1191-903402" TargetMode="External"/><Relationship Id="rId497" Type="http://schemas.openxmlformats.org/officeDocument/2006/relationships/hyperlink" Target="https://www.ecstuning.com/Cart/Receipt-282970124/?customerID=2679329" TargetMode="External"/><Relationship Id="rId133" Type="http://schemas.openxmlformats.org/officeDocument/2006/relationships/hyperlink" Target="https://www.aliexpress.com/p/order/detail.html?orderId=8178594193235219&amp;tracelog=rowan&amp;rowan_id1=logistics_default_20221027_1_en_US_2023-11-05&amp;rowan_msg_id=5219817859419323$3b08018d1776493c9cae1a89cce5ac74&amp;ck=in_edm_other" TargetMode="External"/><Relationship Id="rId254" Type="http://schemas.openxmlformats.org/officeDocument/2006/relationships/hyperlink" Target="https://www.aliexpress.com/p/order/detail.html?spm=a2g0o.order_list.order_list_main.1.21ef1802mQ2Jx6&amp;orderId=8185677381115219" TargetMode="External"/><Relationship Id="rId375" Type="http://schemas.openxmlformats.org/officeDocument/2006/relationships/hyperlink" Target="https://www.amazon.com/gp/your-account/order-details?ie=UTF8&amp;orderID=114-2724130-3451443&amp;ref=ppx_yo2ov_dt_b_fed_order_details" TargetMode="External"/><Relationship Id="rId496" Type="http://schemas.openxmlformats.org/officeDocument/2006/relationships/hyperlink" Target="https://www.aircraftspruce.com/" TargetMode="External"/><Relationship Id="rId172" Type="http://schemas.openxmlformats.org/officeDocument/2006/relationships/hyperlink" Target="https://www.getbmwparts.com/account/order?token=eyJ0eXAiOiJKV1QiLCJhbGciOiJIUzUxMiJ9.eyJvcmRlcl9udW1iZXIiOiI0NDEzNTAwMSIsInVzZXJfZW1haWwiOiJlbWlsaWFub0B0cmliZXNoaXBwaW5nLmNvbSJ9.Kbh-BNWQc6Hlhj7eLxxW3Gjsffdx_KxUUR5lfixmQIsXvWU2CoHfHLaAgUHrHUn-_fMndHvOI2BSbzg1m_JthQ" TargetMode="External"/><Relationship Id="rId293" Type="http://schemas.openxmlformats.org/officeDocument/2006/relationships/hyperlink" Target="https://www.aliexpress.com/p/tracking/index.html?_addShare=no&amp;_login=yes&amp;tradeOrderId=8187753033905219" TargetMode="External"/><Relationship Id="rId171" Type="http://schemas.openxmlformats.org/officeDocument/2006/relationships/hyperlink" Target="https://www.thrustinnovations.com/product/1-thrust-innovations-ez-pull-cable/" TargetMode="External"/><Relationship Id="rId292" Type="http://schemas.openxmlformats.org/officeDocument/2006/relationships/hyperlink" Target="https://www.aliexpress.com/p/order/detail.html?spm=a2g0o.order_list.order_list_main.1.65c21802YsF97u&amp;orderId=8187753033905219" TargetMode="External"/><Relationship Id="rId170" Type="http://schemas.openxmlformats.org/officeDocument/2006/relationships/hyperlink" Target="https://track.ukrposhta.ua/tracking_EN.html?barcode=LK064338621UA" TargetMode="External"/><Relationship Id="rId291" Type="http://schemas.openxmlformats.org/officeDocument/2006/relationships/hyperlink" Target="https://www.aliexpress.com/p/tracking/index.html?spm=a2g0o.order_detail.order_detail_item.2.3bdbf19cZp5ELB&amp;_addShare=no&amp;_login=yes&amp;tradeOrderId=8186944480105219" TargetMode="External"/><Relationship Id="rId290" Type="http://schemas.openxmlformats.org/officeDocument/2006/relationships/hyperlink" Target="https://www.aliexpress.com/p/order/detail.html?spm=a2g0o.order_list.order_list_main.6.65c21802YsF97u&amp;orderId=8186944480105219" TargetMode="External"/><Relationship Id="rId165" Type="http://schemas.openxmlformats.org/officeDocument/2006/relationships/hyperlink" Target="https://trello.com/c/H3zFEG4S" TargetMode="External"/><Relationship Id="rId286" Type="http://schemas.openxmlformats.org/officeDocument/2006/relationships/hyperlink" Target="https://www.ecstuning.com/MyAccount/Orders/Order-806898185/" TargetMode="External"/><Relationship Id="rId164" Type="http://schemas.openxmlformats.org/officeDocument/2006/relationships/hyperlink" Target="https://opel-shop.com/kasse/order-received/2703227/?key=wc_order_KHnNpedt3aneo" TargetMode="External"/><Relationship Id="rId285" Type="http://schemas.openxmlformats.org/officeDocument/2006/relationships/hyperlink" Target="https://order.ebay.com/ord/show?orderId=19-11334-60341" TargetMode="External"/><Relationship Id="rId163" Type="http://schemas.openxmlformats.org/officeDocument/2006/relationships/hyperlink" Target="https://trello.com/c/1G8JUAdS" TargetMode="External"/><Relationship Id="rId284" Type="http://schemas.openxmlformats.org/officeDocument/2006/relationships/hyperlink" Target="https://www.aliexpress.com/p/tracking/index.html?_addShare=no&amp;_login=yes&amp;tradeOrderId=8186758586695219" TargetMode="External"/><Relationship Id="rId162" Type="http://schemas.openxmlformats.org/officeDocument/2006/relationships/hyperlink" Target="https://orders.femtoevo.com/user/order/878" TargetMode="External"/><Relationship Id="rId283" Type="http://schemas.openxmlformats.org/officeDocument/2006/relationships/hyperlink" Target="https://www.aliexpress.com/p/order/detail.html?spm=a2g0o.order_list.order_list_main.1.21ef18021v5OJ9&amp;orderId=8186758586695219" TargetMode="External"/><Relationship Id="rId169" Type="http://schemas.openxmlformats.org/officeDocument/2006/relationships/hyperlink" Target="https://alite.cc/76179439962/orders/5c70072297778ca1d36f16413b50c975" TargetMode="External"/><Relationship Id="rId168" Type="http://schemas.openxmlformats.org/officeDocument/2006/relationships/hyperlink" Target="https://www.amazon.com/gp/product/B071YNFZBG/ref=ppx_od_dt_b_asin_title_s00?ie=UTF8&amp;psc=1" TargetMode="External"/><Relationship Id="rId289" Type="http://schemas.openxmlformats.org/officeDocument/2006/relationships/hyperlink" Target="https://order.ebay.com/ord/show?orderId=09-11454-69891" TargetMode="External"/><Relationship Id="rId167" Type="http://schemas.openxmlformats.org/officeDocument/2006/relationships/hyperlink" Target="https://trello.com/c/UvGOq0ks" TargetMode="External"/><Relationship Id="rId288" Type="http://schemas.openxmlformats.org/officeDocument/2006/relationships/hyperlink" Target="https://order.ebay.com/ord/show?orderId=02-11460-65636" TargetMode="External"/><Relationship Id="rId166" Type="http://schemas.openxmlformats.org/officeDocument/2006/relationships/hyperlink" Target="https://trello.com/c/ZRa5C109" TargetMode="External"/><Relationship Id="rId287" Type="http://schemas.openxmlformats.org/officeDocument/2006/relationships/hyperlink" Target="https://www.mk3.com/en/customer/orderdetails/MK240417169669" TargetMode="External"/><Relationship Id="rId161" Type="http://schemas.openxmlformats.org/officeDocument/2006/relationships/hyperlink" Target="https://www.ordertracker.com/track/TBA310008540566~TBA309999339921~TBA309997933645~TBA309955321335~TBA310021013748" TargetMode="External"/><Relationship Id="rId282" Type="http://schemas.openxmlformats.org/officeDocument/2006/relationships/hyperlink" Target="https://www.ecstuning.com/MyAccount/Orders/Invoice-693247860/?customerID=2679329" TargetMode="External"/><Relationship Id="rId160" Type="http://schemas.openxmlformats.org/officeDocument/2006/relationships/hyperlink" Target="https://trello.com/c/mrnswmj4" TargetMode="External"/><Relationship Id="rId281" Type="http://schemas.openxmlformats.org/officeDocument/2006/relationships/hyperlink" Target="https://order.ebay.com/ord/show?/ViewPaymentStatus&amp;purchaseOrderId=05-1143-118986" TargetMode="External"/><Relationship Id="rId280" Type="http://schemas.openxmlformats.org/officeDocument/2006/relationships/hyperlink" Target="https://order.ebay.com/ord/show?/ViewPaymentStatus&amp;purchaseOrderId=05-1142-690327" TargetMode="External"/><Relationship Id="rId159" Type="http://schemas.openxmlformats.org/officeDocument/2006/relationships/hyperlink" Target="https://shop.redline360.com/5802524785/orders/8ef5fda517d5b01c1980ad4e03cbcaa9" TargetMode="External"/><Relationship Id="rId154" Type="http://schemas.openxmlformats.org/officeDocument/2006/relationships/hyperlink" Target="https://www.amazon.com/gp/your-account/order-details?ie=UTF8&amp;orderID=112-5490443-7682605&amp;ref=ppx_yo2ov_dt_b_fed_order_details" TargetMode="External"/><Relationship Id="rId275" Type="http://schemas.openxmlformats.org/officeDocument/2006/relationships/hyperlink" Target="https://order.ebay.com/ord/show?orderId=14-11418-81963" TargetMode="External"/><Relationship Id="rId396" Type="http://schemas.openxmlformats.org/officeDocument/2006/relationships/hyperlink" Target="https://www.boelon.com/checkouts/do/83270610cea5c4cc3f4d72810abb28dd/thank_you" TargetMode="External"/><Relationship Id="rId153" Type="http://schemas.openxmlformats.org/officeDocument/2006/relationships/hyperlink" Target="https://www.innovatemotorsports.com/mtx-d-oil-pressure-temperature.html" TargetMode="External"/><Relationship Id="rId274" Type="http://schemas.openxmlformats.org/officeDocument/2006/relationships/hyperlink" Target="https://order.ebay.com/ord/show?orderId=08-11423-20827" TargetMode="External"/><Relationship Id="rId395" Type="http://schemas.openxmlformats.org/officeDocument/2006/relationships/hyperlink" Target="https://order.ebay.com/ord/show?orderId=27-12006-64398&amp;purchaseOrderId=27-1200-664397" TargetMode="External"/><Relationship Id="rId152" Type="http://schemas.openxmlformats.org/officeDocument/2006/relationships/hyperlink" Target="https://www.hondapartsnow.com/online/order/status?Email=all@tribeshipping.com&amp;OrderNumber=CH661098974" TargetMode="External"/><Relationship Id="rId273" Type="http://schemas.openxmlformats.org/officeDocument/2006/relationships/hyperlink" Target="https://www.amazon.com/gp/your-account/order-details/ref=ppx_yo_dt_b_order_details_o00?ie=UTF8&amp;orderID=112-3606222-7303432" TargetMode="External"/><Relationship Id="rId394" Type="http://schemas.openxmlformats.org/officeDocument/2006/relationships/hyperlink" Target="https://www.ecstuning.com/Cart/Receipt-326383333/?customerID=2679329" TargetMode="External"/><Relationship Id="rId151" Type="http://schemas.openxmlformats.org/officeDocument/2006/relationships/hyperlink" Target="https://order.ebay.com/ord/show?orderId=23-10791-19926" TargetMode="External"/><Relationship Id="rId272" Type="http://schemas.openxmlformats.org/officeDocument/2006/relationships/hyperlink" Target="https://order.ebay.com/ord/show?orderId=17-11407-70700" TargetMode="External"/><Relationship Id="rId393" Type="http://schemas.openxmlformats.org/officeDocument/2006/relationships/hyperlink" Target="http://email.ecstuning.com/c/eJw0zU1uhDAMQOHThCUyjoPtRRaVKu6R34KGUhTS0uNXU2l2T_oWL3uwguiG4idGkpmV3LB6sewshcgWa1aXIMZAseYUqhZgO2weAQkEZWKnQCPIXDnknDlOLrhgCEq6-vexHR9j-vocdr_2fl7GvhlcDC73fY-15PL7VIPLf_cW0uPpduntccRm7DuTqKooilpCnkFZh-bDvhuC3rZYrnU7z9fnx-NfAAAA__8odz7w" TargetMode="External"/><Relationship Id="rId158" Type="http://schemas.openxmlformats.org/officeDocument/2006/relationships/hyperlink" Target="https://opel-shop.com/kasse/order-received/2671173/?key=wc_order_79SFpCQme0JLS" TargetMode="External"/><Relationship Id="rId279" Type="http://schemas.openxmlformats.org/officeDocument/2006/relationships/hyperlink" Target="https://www.aliexpress.com/p/tracking/index.html?_addShare=no&amp;_login=yes&amp;tradeOrderId=8187265410645219" TargetMode="External"/><Relationship Id="rId157" Type="http://schemas.openxmlformats.org/officeDocument/2006/relationships/hyperlink" Target="https://order.ebay.com/ord/show?orderId=15-10801-83432" TargetMode="External"/><Relationship Id="rId278" Type="http://schemas.openxmlformats.org/officeDocument/2006/relationships/hyperlink" Target="https://www.aliexpress.com/p/order/detail.html?spm=a2g0o.order_list.order_list_main.6.21ef1802YEbEOa&amp;orderId=8187265410645219" TargetMode="External"/><Relationship Id="rId399" Type="http://schemas.openxmlformats.org/officeDocument/2006/relationships/hyperlink" Target="https://vod.ebay.com/vod/FetchOrderDetails?/ViewPaymentStatus&amp;purchaseOrderId=15-1203-274143" TargetMode="External"/><Relationship Id="rId156" Type="http://schemas.openxmlformats.org/officeDocument/2006/relationships/hyperlink" Target="https://order.ebay.com/ord/show?itemId=265125198429&amp;transactionId=3045245013016&amp;mkevt=1&amp;mkpid=0&amp;emsid=e11400.m144671.l152967&amp;mkcid=7&amp;ch=osgood&amp;euid=89d8d6a139534712a6ccd2cf3e272ca8&amp;bu=43795160990&amp;xt=254362&amp;osub=-1%7E1&amp;crd=20231117140709&amp;segname=11400" TargetMode="External"/><Relationship Id="rId277" Type="http://schemas.openxmlformats.org/officeDocument/2006/relationships/hyperlink" Target="https://www.aliexpress.com/p/tracking/index.html?_addShare=no&amp;_login=yes&amp;tradeOrderId=8187265410625219" TargetMode="External"/><Relationship Id="rId398" Type="http://schemas.openxmlformats.org/officeDocument/2006/relationships/hyperlink" Target="https://www.ecstuning.com/Cart/Receipt-201520903/?customerID=2679329" TargetMode="External"/><Relationship Id="rId155" Type="http://schemas.openxmlformats.org/officeDocument/2006/relationships/hyperlink" Target="https://valexracing.com/15440069/orders/ef7cb42c8cd6a0cd1fd98ec58caa0d38" TargetMode="External"/><Relationship Id="rId276" Type="http://schemas.openxmlformats.org/officeDocument/2006/relationships/hyperlink" Target="https://www.aliexpress.com/p/order/detail.html?spm=a2g0o.order_list.order_list_main.1.21ef1802YEbEOa&amp;orderId=8187265410625219" TargetMode="External"/><Relationship Id="rId397" Type="http://schemas.openxmlformats.org/officeDocument/2006/relationships/hyperlink" Target="https://www.yuntrack.com/parcelTracking?id=YT2425021272063602" TargetMode="External"/><Relationship Id="rId40" Type="http://schemas.openxmlformats.org/officeDocument/2006/relationships/hyperlink" Target="https://www.ecstuning.com/Cart/Receipt-652996050/?customerID=2679329" TargetMode="External"/><Relationship Id="rId42" Type="http://schemas.openxmlformats.org/officeDocument/2006/relationships/hyperlink" Target="https://www.ecstuning.com/MyAccount/Orders/Order-843805450/" TargetMode="External"/><Relationship Id="rId41" Type="http://schemas.openxmlformats.org/officeDocument/2006/relationships/hyperlink" Target="https://www.roverparts.com/cart/receipt.cfm?id=5187696&amp;uuid=BF3D1404-4416-49AF-892352589BCF5921" TargetMode="External"/><Relationship Id="rId44" Type="http://schemas.openxmlformats.org/officeDocument/2006/relationships/hyperlink" Target="https://www.bmwpartsdeal.com/online/order/status?orderNumber=CB17237487&amp;email=arraydude%40gmail.com" TargetMode="External"/><Relationship Id="rId43" Type="http://schemas.openxmlformats.org/officeDocument/2006/relationships/hyperlink" Target="https://www.ecstuning.com/MyAccount/Orders/Order-195283626/" TargetMode="External"/><Relationship Id="rId46" Type="http://schemas.openxmlformats.org/officeDocument/2006/relationships/hyperlink" Target="https://www.ebay.com/itm/185726941194?fits=Make%3ABMW&amp;hash=item2b3e30380a:g:Ek4AAOSwpstjt754&amp;amdata=enc%3AAQAIAAAA0MVXu0UK3E%2FCTXKAHSy8VL8TueYAbyDu%2FV1k2QkTlwP767elk2MBw8PvY3v%2B2MKozJmO150FWRqKGADsUtrokiSMyTy0iVpaibEPP64NucxoqnLXw992CmTw9ow%2FnGDpCrf2nOpxRv5tKpfKzQJNoy2D3VrRfNDF42S2SK67rZjwT4LBSQbYWsXmlOAhwLGgKPPvWOFTixTY26D8%2BcmcGgpuPrIxxYBEyJ14UspDddefqa2Awdn8Y2OB2cB%2B0okEOBh7tMvX8u3%2BDC9tCYbYIPo%3D%7Ctkp%3ABk9SR4KS6sOIYg" TargetMode="External"/><Relationship Id="rId45" Type="http://schemas.openxmlformats.org/officeDocument/2006/relationships/hyperlink" Target="https://order.ebay.com/ord/show?itemId=354072826792&amp;transactionId=1430849518022&amp;mkevt=1&amp;mkpid=0&amp;emsid=e11401.m1842.l5919&amp;mkcid=7&amp;ch=osgood&amp;euid=615f5ab7ca6845a98239bdea3121b3c4&amp;bu=43795160990&amp;exe=0&amp;ext=0&amp;osub=-1%7E1&amp;crd=20230522034054&amp;segname=11401" TargetMode="External"/><Relationship Id="rId509" Type="http://schemas.openxmlformats.org/officeDocument/2006/relationships/hyperlink" Target="https://order.ebay.com/ord/show?orderId=06-13260-82794&amp;purchaseOrderId=06-1326-082793" TargetMode="External"/><Relationship Id="rId508" Type="http://schemas.openxmlformats.org/officeDocument/2006/relationships/hyperlink" Target="https://order.ebay.com/ord/show?orderId=23-13235-93684&amp;purchaseOrderId=23-1323-593683" TargetMode="External"/><Relationship Id="rId629" Type="http://schemas.openxmlformats.org/officeDocument/2006/relationships/hyperlink" Target="https://www.amazon.com/your-orders/order-details?orderID=114-4952727-0936218&amp;ref=ppx_yo2ov_dt_b_fed_veo" TargetMode="External"/><Relationship Id="rId503" Type="http://schemas.openxmlformats.org/officeDocument/2006/relationships/hyperlink" Target="https://tools.usps.com/go/TrackConfirmAction?qtc_tLabels1=LK244328002AU" TargetMode="External"/><Relationship Id="rId624" Type="http://schemas.openxmlformats.org/officeDocument/2006/relationships/hyperlink" Target="https://docs.google.com/spreadsheets/d/15sgty8cs9zgThz3FhToWRbeA2dIDo5motI9FD7RJJR8/edit?gid=0" TargetMode="External"/><Relationship Id="rId502" Type="http://schemas.openxmlformats.org/officeDocument/2006/relationships/hyperlink" Target="https://order.ebay.com/ord/show?itemId=195908986310&amp;transactionId=10072977347005&amp;mkevt=1&amp;mkpid=0&amp;emsid=e11400.m144670.l152615&amp;mkcid=7&amp;ch=osgood&amp;euid=a6d1570a45b4494baebe132a76e93f44&amp;bu=43795160990&amp;exe=0&amp;ext=0&amp;osub=-1%7E1&amp;crd=20250619065048&amp;segname=11400" TargetMode="External"/><Relationship Id="rId623" Type="http://schemas.openxmlformats.org/officeDocument/2006/relationships/hyperlink" Target="https://docs.google.com/spreadsheets/d/1FiCeQ5LdKcI8ErGWodqMxjfzKk9Gt7GJi5GG4SoqJck/edit?gid=0" TargetMode="External"/><Relationship Id="rId501" Type="http://schemas.openxmlformats.org/officeDocument/2006/relationships/hyperlink" Target="https://www.ecstuning.com/Cart/Receipt-052023482/?customerID=2679329" TargetMode="External"/><Relationship Id="rId622" Type="http://schemas.openxmlformats.org/officeDocument/2006/relationships/hyperlink" Target="https://docs.google.com/spreadsheets/d/1FiCeQ5LdKcI8ErGWodqMxjfzKk9Gt7GJi5GG4SoqJck/edit?gid=0" TargetMode="External"/><Relationship Id="rId500" Type="http://schemas.openxmlformats.org/officeDocument/2006/relationships/hyperlink" Target="https://vod.ebay.com/vod/FetchOrderDetails?/ViewPaymentStatus&amp;purchaseOrderId=15-1324-231965" TargetMode="External"/><Relationship Id="rId621" Type="http://schemas.openxmlformats.org/officeDocument/2006/relationships/hyperlink" Target="https://order.ebay.com/ord/show?orderId=16-13873-59195&amp;purchaseOrderId=16-1387-359194" TargetMode="External"/><Relationship Id="rId507" Type="http://schemas.openxmlformats.org/officeDocument/2006/relationships/hyperlink" Target="https://order.ebay.com/ord/show?orderId=24-13249-32004&amp;ssPageName=STRK:MESO:VPS&amp;_trksid=p4429486.m2548.l2673" TargetMode="External"/><Relationship Id="rId628" Type="http://schemas.openxmlformats.org/officeDocument/2006/relationships/hyperlink" Target="https://ind-distribution.com/checkouts/cn/hWN61552tXYATmoeBqCs51aD/en-us/thank-you?_r=AQAB2YMxyMkKFFFOTaRGcwip8GVxalyOB4nQzqvx26cE4CI" TargetMode="External"/><Relationship Id="rId506" Type="http://schemas.openxmlformats.org/officeDocument/2006/relationships/hyperlink" Target="https://www.amazon.com/gp/your-account/order-details?ie=UTF8&amp;orderID=114-4310417-3078629&amp;ref_=pe_125775000_1044873430_p_btn_fed_veo" TargetMode="External"/><Relationship Id="rId627" Type="http://schemas.openxmlformats.org/officeDocument/2006/relationships/hyperlink" Target="https://docs.google.com/spreadsheets/d/1U44xX50jcGTIHkpNg1UDoDdwzZXU0EJl2TDlUN2P7Co/edit?usp=drive_link" TargetMode="External"/><Relationship Id="rId505" Type="http://schemas.openxmlformats.org/officeDocument/2006/relationships/hyperlink" Target="https://www.speedfactoryracing.net/40153088154/orders/f3e494b3b05ea63f588186bcc9fc3a85" TargetMode="External"/><Relationship Id="rId626" Type="http://schemas.openxmlformats.org/officeDocument/2006/relationships/hyperlink" Target="https://docs.google.com/spreadsheets/d/1U44xX50jcGTIHkpNg1UDoDdwzZXU0EJl2TDlUN2P7Co/edit?usp=drive_link" TargetMode="External"/><Relationship Id="rId504" Type="http://schemas.openxmlformats.org/officeDocument/2006/relationships/hyperlink" Target="https://www.ecstuning.com/Cart/Receipt-831832709/?customerID=2679329" TargetMode="External"/><Relationship Id="rId625" Type="http://schemas.openxmlformats.org/officeDocument/2006/relationships/hyperlink" Target="https://docs.google.com/spreadsheets/d/15sgty8cs9zgThz3FhToWRbeA2dIDo5motI9FD7RJJR8/edit?gid=0" TargetMode="External"/><Relationship Id="rId48" Type="http://schemas.openxmlformats.org/officeDocument/2006/relationships/hyperlink" Target="https://www.ebay.com/itm/153972028238?_ul=AR" TargetMode="External"/><Relationship Id="rId47" Type="http://schemas.openxmlformats.org/officeDocument/2006/relationships/hyperlink" Target="https://www.boelon.com/checkouts/c/8048b1285556474d9b0d6b1872375a4e/thank_you" TargetMode="External"/><Relationship Id="rId49" Type="http://schemas.openxmlformats.org/officeDocument/2006/relationships/hyperlink" Target="https://www.bmwpartsdeal.com/online/order/summary?orderId=232250&amp;orderGuid=1bf5b7d7-2099-4762-be14-536dc495e96c" TargetMode="External"/><Relationship Id="rId620" Type="http://schemas.openxmlformats.org/officeDocument/2006/relationships/hyperlink" Target="https://order.ebay.com/ord/show?orderId=16-13849-59279&amp;purchaseOrderId=16-1384-959276" TargetMode="External"/><Relationship Id="rId31" Type="http://schemas.openxmlformats.org/officeDocument/2006/relationships/hyperlink" Target="https://www.aeroluxeautoboutique.com/commerce/orders/578a2dfb-2904-4c28-b500-4e3383b05d26" TargetMode="External"/><Relationship Id="rId30" Type="http://schemas.openxmlformats.org/officeDocument/2006/relationships/hyperlink" Target="https://www.paypal.com/invoice/s/pay/INV2-ZPJ3-UVUH-2EG6-UPVY?v=1&amp;utm_source=unp&amp;utm_medium=email&amp;utm_campaign=RT000426&amp;utm_unptid=c884f738-df95-11ed-b2f8-3cecef47c1cd&amp;ppid=RT000426&amp;cnac=AR&amp;rsta=en_US%28en-AR%29&amp;cust=4JFB9WGZWMDB4&amp;unptid=c884f738-df95-11ed-b2f8-3cecef47c1cd&amp;calc=f392033bca259&amp;unp_tpcid=invoice-buyer-payment-notification&amp;page=main%3Aemail%3ART000426&amp;pgrp=main%3Aemail&amp;e=cl&amp;mchn=em&amp;s=ci&amp;mail=sys&amp;appVersion=1.161.0&amp;xt=104038" TargetMode="External"/><Relationship Id="rId33" Type="http://schemas.openxmlformats.org/officeDocument/2006/relationships/hyperlink" Target="https://docs.google.com/spreadsheets/d/1krhqWKlIKFe6dnrTzcq6TyNLydmBDFXhPjvPEzYNR8M/edit" TargetMode="External"/><Relationship Id="rId32" Type="http://schemas.openxmlformats.org/officeDocument/2006/relationships/hyperlink" Target="https://www.getbmwparts.com/account/order?token=eyJ0eXAiOiJKV1QiLCJhbGciOiJIUzUxMiJ9.eyJvcmRlcl9udW1iZXIiOiI0NDEyMjcxOCIsInVzZXJfZW1haWwiOiJlbWlsaWFub0B0cmliZXNoaXBwaW5nLmNvbSJ9.csmHHYhXDjb5MDbQsrU24X0QXKD8eydtcXhM_Eh8qgvH0KQ7MChNrWSndrBee9w_UdEEiPd3K0-xjb3CgtDerA" TargetMode="External"/><Relationship Id="rId35" Type="http://schemas.openxmlformats.org/officeDocument/2006/relationships/hyperlink" Target="https://docs.google.com/spreadsheets/d/1krhqWKlIKFe6dnrTzcq6TyNLydmBDFXhPjvPEzYNR8M/edit" TargetMode="External"/><Relationship Id="rId34" Type="http://schemas.openxmlformats.org/officeDocument/2006/relationships/hyperlink" Target="https://www.getbmwparts.com/account/order?token=eyJ0eXAiOiJKV1QiLCJhbGciOiJIUzUxMiJ9.eyJvcmRlcl9udW1iZXIiOiI0NDEyMjcyMCIsInVzZXJfZW1haWwiOiJlbWlsaWFub0B0cmliZXNoaXBwaW5nLmNvbSJ9.4LQ2CZE8zPJLyim14VsFbs0Sv7FZRFfeKc6_tn86JplyrWAWbfMJXpThiPKXEUq7MnArZlptOShvECs24MQVbw" TargetMode="External"/><Relationship Id="rId619" Type="http://schemas.openxmlformats.org/officeDocument/2006/relationships/hyperlink" Target="https://order.ebay.com/ord/show?orderId=11-13828-61126&amp;purchaseOrderId=11-1382-861125" TargetMode="External"/><Relationship Id="rId618" Type="http://schemas.openxmlformats.org/officeDocument/2006/relationships/hyperlink" Target="https://www.cricket-hockey.com/es/confirmacion-del-pedido?id_cart=1533231&amp;id_module=541&amp;id_order=974159&amp;key=e1848add6c4b18b140499a6c70d49890&amp;paypal_order=5JD46605Y02553423&amp;paypal_transaction=65X104933J350944A" TargetMode="External"/><Relationship Id="rId613" Type="http://schemas.openxmlformats.org/officeDocument/2006/relationships/hyperlink" Target="https://www.ecstuning.com/Cart/Receipt-790514031/?customerID=2679329" TargetMode="External"/><Relationship Id="rId612" Type="http://schemas.openxmlformats.org/officeDocument/2006/relationships/hyperlink" Target="https://www.ecstuning.com/Cart/Receipt-060171928/?customerID=2679329" TargetMode="External"/><Relationship Id="rId611" Type="http://schemas.openxmlformats.org/officeDocument/2006/relationships/hyperlink" Target="https://shopify.com/57311985747/account/orders/17a73fded8ef6713e6ba4bd3a2a78c8f" TargetMode="External"/><Relationship Id="rId610" Type="http://schemas.openxmlformats.org/officeDocument/2006/relationships/hyperlink" Target="https://docs.google.com/spreadsheets/d/1U5xJBYZSg3wTG4m4jc-vxp4pdf9GP_SlETohhbddzmE/edit?gid=0" TargetMode="External"/><Relationship Id="rId617" Type="http://schemas.openxmlformats.org/officeDocument/2006/relationships/hyperlink" Target="https://www.thenorthface.com/en-us/account/order-details/202511132210249427504521" TargetMode="External"/><Relationship Id="rId616" Type="http://schemas.openxmlformats.org/officeDocument/2006/relationships/hyperlink" Target="https://www.ecstuning.com/Cart/Receipt-629630687/?customerID=2679329" TargetMode="External"/><Relationship Id="rId615" Type="http://schemas.openxmlformats.org/officeDocument/2006/relationships/hyperlink" Target="https://vod.ebay.com/vod/FetchOrderDetails?/ViewPaymentStatus&amp;purchaseOrderId=06-1383-135028" TargetMode="External"/><Relationship Id="rId614" Type="http://schemas.openxmlformats.org/officeDocument/2006/relationships/hyperlink" Target="https://order.ebay.com/ord/show?orderId=21-13809-44409&amp;purchaseOrderId=21-1380-944408" TargetMode="External"/><Relationship Id="rId37" Type="http://schemas.openxmlformats.org/officeDocument/2006/relationships/hyperlink" Target="https://www.amazon.com/gp/product/B09FSSTD34/ref=ppx_yo_dt_b_asin_title_o01_s00?ie=UTF8&amp;psc=1" TargetMode="External"/><Relationship Id="rId36" Type="http://schemas.openxmlformats.org/officeDocument/2006/relationships/hyperlink" Target="https://www.amazon.com/progress-tracker/package/ref=ppx_yo_dt_b_track_package?_encoding=UTF8&amp;itemId=pnnirskokptoqn&amp;orderId=111-5981075-1761066&amp;packageIndex=0&amp;shipmentId=MhhrVvplf&amp;vt=YOUR_ORDERS" TargetMode="External"/><Relationship Id="rId39" Type="http://schemas.openxmlformats.org/officeDocument/2006/relationships/hyperlink" Target="https://www.vr-speed.com/vrsf-intercooler-fmic-upgrade-kit-12-16-f20-f30-228i-m235i-328i-335i-428i-435i-n20-n55.html" TargetMode="External"/><Relationship Id="rId38" Type="http://schemas.openxmlformats.org/officeDocument/2006/relationships/hyperlink" Target="https://www.amazon.com/progress-tracker/package/ref=ppx_yo_dt_b_track_package?_encoding=UTF8&amp;itemId=pmslpqhlrrkwqn&amp;orderId=111-7212672-1937055&amp;packageIndex=0&amp;shipmentId=Dv3mBRNG7&amp;vt=YOUR_ORDERS" TargetMode="External"/><Relationship Id="rId20" Type="http://schemas.openxmlformats.org/officeDocument/2006/relationships/hyperlink" Target="https://www.goat.com/" TargetMode="External"/><Relationship Id="rId22" Type="http://schemas.openxmlformats.org/officeDocument/2006/relationships/hyperlink" Target="https://order.ebay.com/ord/show?/ViewPaymentStatus&amp;purchaseOrderId=13-0996-606294" TargetMode="External"/><Relationship Id="rId21" Type="http://schemas.openxmlformats.org/officeDocument/2006/relationships/hyperlink" Target="https://track.parxl.com/PXLMY00323D02PU1" TargetMode="External"/><Relationship Id="rId24" Type="http://schemas.openxmlformats.org/officeDocument/2006/relationships/hyperlink" Target="https://www.ebay.com/itm/134478644829" TargetMode="External"/><Relationship Id="rId23" Type="http://schemas.openxmlformats.org/officeDocument/2006/relationships/hyperlink" Target="https://trackshipment.shipstation.com/?branding_id=001d6731-0000-0000-1ebf-030000000000&amp;carrier_code=ups&amp;tracking_number=1ZA83W70DG25025584&amp;order_number=MjI4Mzk4&amp;postal_code=33166-2783&amp;locale=en" TargetMode="External"/><Relationship Id="rId409" Type="http://schemas.openxmlformats.org/officeDocument/2006/relationships/hyperlink" Target="https://www.ctsturbo.com/my-account/view-order/299148/" TargetMode="External"/><Relationship Id="rId404" Type="http://schemas.openxmlformats.org/officeDocument/2006/relationships/hyperlink" Target="https://www.amazon.com/dp/B00062ZXMW?ref=ppx_yo2ov_dt_b_fed_asin_title" TargetMode="External"/><Relationship Id="rId525" Type="http://schemas.openxmlformats.org/officeDocument/2006/relationships/hyperlink" Target="https://order.ebay.com/ord/show?orderId=10-13411-15710&amp;purchaseOrderId=10-1341-115709" TargetMode="External"/><Relationship Id="rId646" Type="http://schemas.openxmlformats.org/officeDocument/2006/relationships/hyperlink" Target="https://shopify.com/6850150457/account/orders/96c23238c6f3ee9414a48f240e4d4791" TargetMode="External"/><Relationship Id="rId403" Type="http://schemas.openxmlformats.org/officeDocument/2006/relationships/hyperlink" Target="https://opel-shop.com/kasse/order-received/3471626/?key=wc_order_Ezp7YWsApyBA9" TargetMode="External"/><Relationship Id="rId524" Type="http://schemas.openxmlformats.org/officeDocument/2006/relationships/hyperlink" Target="https://www.amazon.com/gp/your-account/order-details?ie=UTF8&amp;orderID=112-2692186-3492244&amp;ref=ppx_yo2ov_dt_b_fed_order_details" TargetMode="External"/><Relationship Id="rId645" Type="http://schemas.openxmlformats.org/officeDocument/2006/relationships/hyperlink" Target="https://www.indicarbon.com/commerce/orders/524936eb-b92b-4721-a6c1-4fb6e5b98c32" TargetMode="External"/><Relationship Id="rId402" Type="http://schemas.openxmlformats.org/officeDocument/2006/relationships/hyperlink" Target="https://www.bike-parts-yam.com/panier/affiche_commande/35321475" TargetMode="External"/><Relationship Id="rId523" Type="http://schemas.openxmlformats.org/officeDocument/2006/relationships/hyperlink" Target="https://order.ebay.com/ord/show?orderId=09-13396-85257&amp;purchaseOrderId=09-1339-685256" TargetMode="External"/><Relationship Id="rId644" Type="http://schemas.openxmlformats.org/officeDocument/2006/relationships/hyperlink" Target="https://www.indicarbon.com/commerce/orders/dff1a597-02d6-4b0d-b780-4259a58443ae" TargetMode="External"/><Relationship Id="rId401" Type="http://schemas.openxmlformats.org/officeDocument/2006/relationships/hyperlink" Target="https://order.ebay.com/ord/show?orderId=04-12113-02586&amp;purchaseOrderId=04-1211-302585" TargetMode="External"/><Relationship Id="rId522" Type="http://schemas.openxmlformats.org/officeDocument/2006/relationships/hyperlink" Target="https://www.amazon.com/gp/your-account/order-details?orderID=114-6921067-9942615&amp;ref=ppx_pt2_dt_b_change_detail" TargetMode="External"/><Relationship Id="rId643" Type="http://schemas.openxmlformats.org/officeDocument/2006/relationships/hyperlink" Target="https://auspost.com.au/mypost/track/details/LH400150045AU" TargetMode="External"/><Relationship Id="rId408" Type="http://schemas.openxmlformats.org/officeDocument/2006/relationships/hyperlink" Target="https://www.amazon.com/gp/your-account/order-details/ref=ppx_yo_dt_b_order_details_o00?ie=UTF8&amp;orderID=111-4181676-1223456" TargetMode="External"/><Relationship Id="rId529" Type="http://schemas.openxmlformats.org/officeDocument/2006/relationships/hyperlink" Target="https://track.4px.com/" TargetMode="External"/><Relationship Id="rId407" Type="http://schemas.openxmlformats.org/officeDocument/2006/relationships/hyperlink" Target="https://www.amazon.com/gp/your-account/order-details/ref=ppx_yo_dt_b_order_details_o01?ie=UTF8&amp;orderID=111-8674365-5720205" TargetMode="External"/><Relationship Id="rId528" Type="http://schemas.openxmlformats.org/officeDocument/2006/relationships/hyperlink" Target="https://www.amazon.com/gp/your-account/order-details?ie=UTF8&amp;orderID=114-2513741-2538623&amp;ref_=pe_125775000_1044873430_p_btn_fed_veo" TargetMode="External"/><Relationship Id="rId649" Type="http://schemas.openxmlformats.org/officeDocument/2006/relationships/hyperlink" Target="https://r44performance.com/checkouts/do/8fafc222c6a3b0159fee2874a6d9d0a9/en/thank-you" TargetMode="External"/><Relationship Id="rId406" Type="http://schemas.openxmlformats.org/officeDocument/2006/relationships/hyperlink" Target="https://order.ebay.com/ord/show?orderId=21-12145-34314&amp;purchaseOrderId=21-1214-534313" TargetMode="External"/><Relationship Id="rId527" Type="http://schemas.openxmlformats.org/officeDocument/2006/relationships/hyperlink" Target="https://shopify.com/6603702362/account/orders/a6a82f9702f0afa163ba688cb45c4d84" TargetMode="External"/><Relationship Id="rId648" Type="http://schemas.openxmlformats.org/officeDocument/2006/relationships/hyperlink" Target="https://mad-us.com/account.php?action=view_order&amp;order_id=20694" TargetMode="External"/><Relationship Id="rId405" Type="http://schemas.openxmlformats.org/officeDocument/2006/relationships/hyperlink" Target="https://www.speedfactoryracing.net/checkouts/cn/2640e40ddbdcbf3ee8aac366b84c8c6a/thank_you" TargetMode="External"/><Relationship Id="rId526" Type="http://schemas.openxmlformats.org/officeDocument/2006/relationships/hyperlink" Target="https://blowsion.com/checkouts/do/3712746af13869a5f535b52fce875b0f/thank-you" TargetMode="External"/><Relationship Id="rId647" Type="http://schemas.openxmlformats.org/officeDocument/2006/relationships/hyperlink" Target="https://docs.google.com/spreadsheets/d/1OPcnErykApJPlwVqR_9yx3CGck9qJLKylx5QiGNgCZA/edit?gid=0" TargetMode="External"/><Relationship Id="rId26" Type="http://schemas.openxmlformats.org/officeDocument/2006/relationships/hyperlink" Target="https://www.ebay.com/itm/191369133571" TargetMode="External"/><Relationship Id="rId25" Type="http://schemas.openxmlformats.org/officeDocument/2006/relationships/hyperlink" Target="https://www.ebay.com/itm/394507131153" TargetMode="External"/><Relationship Id="rId28" Type="http://schemas.openxmlformats.org/officeDocument/2006/relationships/hyperlink" Target="https://ind-distribution.com/6762364997/orders/8f77180929762682c4a74bab5cbbd6a8" TargetMode="External"/><Relationship Id="rId27" Type="http://schemas.openxmlformats.org/officeDocument/2006/relationships/hyperlink" Target="https://order.ebay.com/ord/show?orderId=10-09967-16454" TargetMode="External"/><Relationship Id="rId400" Type="http://schemas.openxmlformats.org/officeDocument/2006/relationships/hyperlink" Target="https://www.speedfactoryracing.net/checkouts/cn/29631fb44e2ff000bf78e6e0181c3d73/thank_you" TargetMode="External"/><Relationship Id="rId521" Type="http://schemas.openxmlformats.org/officeDocument/2006/relationships/hyperlink" Target="https://us.sourcebmx.com/22283288640/orders/59bd1500eee1d8ae06b6584229ac5744" TargetMode="External"/><Relationship Id="rId642" Type="http://schemas.openxmlformats.org/officeDocument/2006/relationships/hyperlink" Target="https://shopify.com/84997472573/account/orders/6903509156157" TargetMode="External"/><Relationship Id="rId29" Type="http://schemas.openxmlformats.org/officeDocument/2006/relationships/hyperlink" Target="https://autotecknic.com/26746278/orders/37b1e11fb56e0775086af1f0a7c31b51" TargetMode="External"/><Relationship Id="rId520" Type="http://schemas.openxmlformats.org/officeDocument/2006/relationships/hyperlink" Target="https://order.ebay.com/ord/show?orderId=19-13349-31035&amp;purchaseOrderId=19-1334-931034" TargetMode="External"/><Relationship Id="rId641" Type="http://schemas.openxmlformats.org/officeDocument/2006/relationships/hyperlink" Target="https://checkout.bootmod3.com/checkouts/cn/hWN6Snc5zs5g3IVViArtBoPw/en-us/thank-you?_r=AQABVT73DgGuEfQQ8dhPCzwZJgNxaG8-GawY_ctih8rAefM" TargetMode="External"/><Relationship Id="rId640" Type="http://schemas.openxmlformats.org/officeDocument/2006/relationships/hyperlink" Target="https://www.ecstuning.com/Cart/Receipt-351459386/?customerID=2679329" TargetMode="External"/><Relationship Id="rId11" Type="http://schemas.openxmlformats.org/officeDocument/2006/relationships/hyperlink" Target="https://www.ecstuning.com/b-ecs-parts/m3-replica-bumper-kit-non-integrated-lip/bm51009akt/" TargetMode="External"/><Relationship Id="rId10" Type="http://schemas.openxmlformats.org/officeDocument/2006/relationships/hyperlink" Target="https://www.ebay.com/itm/115099474123" TargetMode="External"/><Relationship Id="rId13" Type="http://schemas.openxmlformats.org/officeDocument/2006/relationships/hyperlink" Target="https://www.pureturbos.com/product/bmw-n55-pure-stage-2/?attribute_pa_wastegateactuatortype=8a-electronicewg&amp;attribute_pa_coredeposit-mustmatchturboyou=7b-ewgcore&amp;attribute_pa_divertervalveupgrade=f2-no&amp;attribute_pa_installationkit=f2-no&amp;attribute_pa_highflowinlet=0f-f-seriesoption2" TargetMode="External"/><Relationship Id="rId12" Type="http://schemas.openxmlformats.org/officeDocument/2006/relationships/hyperlink" Target="https://www.ecstuning.com/b-afe-parts/pro-dry-s-air-filter/31-10226~afe/" TargetMode="External"/><Relationship Id="rId519" Type="http://schemas.openxmlformats.org/officeDocument/2006/relationships/hyperlink" Target="https://autoid.co/checkouts/cn/hWN0t4ZlaAU5vuzZjlexmzZe/thank-you" TargetMode="External"/><Relationship Id="rId514" Type="http://schemas.openxmlformats.org/officeDocument/2006/relationships/hyperlink" Target="https://www.reveltronics.com/index.php?option=com_virtuemart&amp;view=vmplg&amp;task=pluginresponsereceived&amp;on=N6TE03946&amp;pm=7&amp;Itemid=569&amp;lang=en-GB&amp;PayerID=4JFB9WGZWMDB4" TargetMode="External"/><Relationship Id="rId635" Type="http://schemas.openxmlformats.org/officeDocument/2006/relationships/hyperlink" Target="https://www.amazon.com/gp/css/summary/print.html?orderID=112-1324640-1361012&amp;ref=ppx_yo2ov_dt_b_fed_invoice_pos" TargetMode="External"/><Relationship Id="rId513" Type="http://schemas.openxmlformats.org/officeDocument/2006/relationships/hyperlink" Target="https://www.amazon.com/gp/your-account/order-details?orderID=112-2819234-7374627&amp;ref=ppx_pt2_dt_b_view_detail" TargetMode="External"/><Relationship Id="rId634" Type="http://schemas.openxmlformats.org/officeDocument/2006/relationships/hyperlink" Target="https://order.ebay.com/ord/show?orderId=26-13908-71067&amp;purchaseOrderId=26-1390-871066" TargetMode="External"/><Relationship Id="rId512" Type="http://schemas.openxmlformats.org/officeDocument/2006/relationships/hyperlink" Target="https://www.amazon.com/gp/your-account/order-details?ie=UTF8&amp;orderID=112-3251068-0969052&amp;ref=ppx_yo2ov_dt_b_fed_order_details" TargetMode="External"/><Relationship Id="rId633" Type="http://schemas.openxmlformats.org/officeDocument/2006/relationships/hyperlink" Target="https://docs.google.com/spreadsheets/d/1j0fH7T7J5TzYZ5J5v_bnwoMz7hcqc1wvbViXgi1IKN8/edit?gid=0" TargetMode="External"/><Relationship Id="rId511" Type="http://schemas.openxmlformats.org/officeDocument/2006/relationships/hyperlink" Target="https://www.amazon.com/gp/your-account/order-details?ie=UTF8&amp;orderID=112-3743275-7808236&amp;ref=ppx_yo2ov_dt_b_fed_order_details" TargetMode="External"/><Relationship Id="rId632" Type="http://schemas.openxmlformats.org/officeDocument/2006/relationships/hyperlink" Target="https://docs.google.com/spreadsheets/d/1j0fH7T7J5TzYZ5J5v_bnwoMz7hcqc1wvbViXgi1IKN8/edit?gid=0" TargetMode="External"/><Relationship Id="rId518" Type="http://schemas.openxmlformats.org/officeDocument/2006/relationships/hyperlink" Target="https://www.ecstuning.com/Cart/Receipt-048703738/?customerID=2679329" TargetMode="External"/><Relationship Id="rId639" Type="http://schemas.openxmlformats.org/officeDocument/2006/relationships/hyperlink" Target="https://checkout.bootmod3.com/checkouts/cn/hWN6aKFoz4JZzKjWXNLEmeYi/en-us/thank-you?_r=AQABR6ekWm68BDDZYGPj9737x5CdFCEJi-DvuCn2yRt64P4" TargetMode="External"/><Relationship Id="rId517" Type="http://schemas.openxmlformats.org/officeDocument/2006/relationships/hyperlink" Target="https://vod.ebay.com/vod/FetchOrderDetails?/ViewPaymentStatus&amp;purchaseOrderId=05-1333-768876" TargetMode="External"/><Relationship Id="rId638" Type="http://schemas.openxmlformats.org/officeDocument/2006/relationships/hyperlink" Target="https://www.cettire.com/de/account/ordersDetail/54bdSzewp4mjZv4jA/82532662/1" TargetMode="External"/><Relationship Id="rId516" Type="http://schemas.openxmlformats.org/officeDocument/2006/relationships/hyperlink" Target="https://www.amazon.com/gp/your-account/order-details?orderID=112-2819234-7374627&amp;ref=ppx_pt2_dt_b_view_detail" TargetMode="External"/><Relationship Id="rId637" Type="http://schemas.openxmlformats.org/officeDocument/2006/relationships/hyperlink" Target="https://order.ebay.com/ord/show?itemId=404536827073&amp;transactionId=10082206093907&amp;mkevt=1&amp;mkpid=0&amp;emsid=e11400.m144670.l152615&amp;mkcid=7&amp;ch=osgood&amp;euid=e22bc5e8075a4134bca78e293d576d52&amp;bu=43795160990&amp;exe=0&amp;ext=0&amp;osub=-1%7E1&amp;crd=20251216093158&amp;segname=11400" TargetMode="External"/><Relationship Id="rId515" Type="http://schemas.openxmlformats.org/officeDocument/2006/relationships/hyperlink" Target="https://www.ecstuning.com/Cart/Receipt-202667107/?customerID=2679329" TargetMode="External"/><Relationship Id="rId636" Type="http://schemas.openxmlformats.org/officeDocument/2006/relationships/hyperlink" Target="https://shopify.com/6603702362/account/orders/40f6b80fd8119ccadce8f656368ae46c" TargetMode="External"/><Relationship Id="rId15" Type="http://schemas.openxmlformats.org/officeDocument/2006/relationships/hyperlink" Target="https://www.vr-speed.com/checkout/order-received/100314774/?key=wc_order_7mfTX1ByiMW65&amp;utm_nooverride=1" TargetMode="External"/><Relationship Id="rId14" Type="http://schemas.openxmlformats.org/officeDocument/2006/relationships/hyperlink" Target="https://www.ups.com/track?loc=en_US&amp;Requester=NES&amp;tracknum=1ZWA81613597112914&amp;AgreeToTermsAndConditions=yes&amp;WT.z_eCTAid=ct1_eml_Tracking__ct1_eml_qvn_eml_5shp&amp;WT.z_edatesent=06212023" TargetMode="External"/><Relationship Id="rId17" Type="http://schemas.openxmlformats.org/officeDocument/2006/relationships/hyperlink" Target="https://www.getbmwparts.com/oem-parts/bmw-m-performance-frozen-gold-19-quot-style-763m-rim-9jx19-et-29-36118097287" TargetMode="External"/><Relationship Id="rId16" Type="http://schemas.openxmlformats.org/officeDocument/2006/relationships/hyperlink" Target="https://burgertuning.com/products/jb4-3-5-bar-tmap-adapter?variant=2104148885528" TargetMode="External"/><Relationship Id="rId19" Type="http://schemas.openxmlformats.org/officeDocument/2006/relationships/hyperlink" Target="https://www.trackmyshipment.co/shipment-tracking/ESUS140777492" TargetMode="External"/><Relationship Id="rId510" Type="http://schemas.openxmlformats.org/officeDocument/2006/relationships/hyperlink" Target="https://order.ebay.com/ord/show?orderId=20-13231-41478&amp;ssPageName=STRK:MESO:VPS&amp;_trksid=p4429486.m2548.l2673" TargetMode="External"/><Relationship Id="rId631" Type="http://schemas.openxmlformats.org/officeDocument/2006/relationships/hyperlink" Target="https://shopify.com/6603702362/account/orders/a0a077fd727c878aa77b1ca8d6cb98a1" TargetMode="External"/><Relationship Id="rId18" Type="http://schemas.openxmlformats.org/officeDocument/2006/relationships/hyperlink" Target="https://dorchengineering.com/checkout/order-received/3789?key=wc_order_sjD8AdGJvJLAb" TargetMode="External"/><Relationship Id="rId630" Type="http://schemas.openxmlformats.org/officeDocument/2006/relationships/hyperlink" Target="https://www.amazon.com/your-orders/order-details?orderID=114-9865243-2335464&amp;ref=ppx_yo2ov_dt_b_fed_order_details" TargetMode="External"/><Relationship Id="rId84" Type="http://schemas.openxmlformats.org/officeDocument/2006/relationships/hyperlink" Target="https://order.ebay.com/ord/show?orderId=10-10458-91843" TargetMode="External"/><Relationship Id="rId83" Type="http://schemas.openxmlformats.org/officeDocument/2006/relationships/hyperlink" Target="https://order.ebay.com/ord/show?orderId=06-10461-31789" TargetMode="External"/><Relationship Id="rId86" Type="http://schemas.openxmlformats.org/officeDocument/2006/relationships/hyperlink" Target="https://www.ecstuning.com/Cart/Receipt-769305190/?customerID=2679329" TargetMode="External"/><Relationship Id="rId85" Type="http://schemas.openxmlformats.org/officeDocument/2006/relationships/hyperlink" Target="https://autotecknic.com/checkouts/co/c39c3224adbba307358b788e89f02417/thank_you" TargetMode="External"/><Relationship Id="rId88" Type="http://schemas.openxmlformats.org/officeDocument/2006/relationships/hyperlink" Target="https://order.ebay.com/ord/show?itemId=402295987768&amp;transactionId=1178326743027&amp;mkevt=1&amp;mkpid=0&amp;emsid=e11400.m144670.l152615&amp;mkcid=7&amp;ch=osgood&amp;euid=a6aa402a5d9c40709e21de158bbd21cf&amp;bu=43795160990&amp;exe=0&amp;ext=0&amp;osub=-1%7E1&amp;crd=20230906105813&amp;segname=11400" TargetMode="External"/><Relationship Id="rId87" Type="http://schemas.openxmlformats.org/officeDocument/2006/relationships/hyperlink" Target="https://order.ebay.com/ord/show?orderId=20-10485-26250" TargetMode="External"/><Relationship Id="rId89" Type="http://schemas.openxmlformats.org/officeDocument/2006/relationships/hyperlink" Target="https://order.ebay.com/ord/show?/ViewPaymentStatus&amp;purchaseOrderId=24-1051-737983" TargetMode="External"/><Relationship Id="rId80" Type="http://schemas.openxmlformats.org/officeDocument/2006/relationships/hyperlink" Target="https://www.getbmwparts.com/account/order?token=eyJ0eXAiOiJKV1QiLCJhbGciOiJIUzUxMiJ9.eyJvcmRlcl9udW1iZXIiOiI0NDEyODI4NyIsInVzZXJfZW1haWwiOiJlbWlsaWFub0B0cmliZXNoaXBwaW5nLmNvbSJ9.VNHl9Jq-D5e7FwR7OoUbq-jLjvE0W6PFXZjkojdbNgPNKeDn_SpJMIbN-OuQOYjyk-g02Pa2kPud_KzCLzLzyw" TargetMode="External"/><Relationship Id="rId82" Type="http://schemas.openxmlformats.org/officeDocument/2006/relationships/hyperlink" Target="https://tools.usps.com/go/TrackConfirmAction_input?qtc_tLabels1=9405511206364495662325" TargetMode="External"/><Relationship Id="rId81" Type="http://schemas.openxmlformats.org/officeDocument/2006/relationships/hyperlink" Target="https://www.bmwpartsdeal.com/online/order/summary?orderId=235912&amp;orderGuid=fe68a369-9160-49f1-b9d1-39f03ba363a9" TargetMode="External"/><Relationship Id="rId73" Type="http://schemas.openxmlformats.org/officeDocument/2006/relationships/hyperlink" Target="https://www.ecstuning.com/Cart/Receipt-744703530/?customerID=2679329" TargetMode="External"/><Relationship Id="rId72" Type="http://schemas.openxmlformats.org/officeDocument/2006/relationships/hyperlink" Target="https://order.ebay.com/ord/show?orderId=07-10350-74068" TargetMode="External"/><Relationship Id="rId75" Type="http://schemas.openxmlformats.org/officeDocument/2006/relationships/hyperlink" Target="https://order.ebay.com/ord/show?orderId=25-10375-80045" TargetMode="External"/><Relationship Id="rId74" Type="http://schemas.openxmlformats.org/officeDocument/2006/relationships/hyperlink" Target="https://order.ebay.com/ord/show?orderId=25-10375-79531" TargetMode="External"/><Relationship Id="rId77" Type="http://schemas.openxmlformats.org/officeDocument/2006/relationships/hyperlink" Target="https://www.amazon.com/gp/product/B07K2L6NQC/ref=ppx_yo_dt_b_asin_title_o00_s00?ie=UTF8&amp;psc=1" TargetMode="External"/><Relationship Id="rId76" Type="http://schemas.openxmlformats.org/officeDocument/2006/relationships/hyperlink" Target="https://order.ebay.com/ord/show?orderId=24-10390-91466" TargetMode="External"/><Relationship Id="rId79" Type="http://schemas.openxmlformats.org/officeDocument/2006/relationships/hyperlink" Target="http://email.ecstuning.com/c/eJw0zs1KxDAUxfGnuV2W-5HGZJGFMOQFVAQ3kmTCNNjJhDalPr5UdHc4v83_6lAM8zRkR9oyKSI7DbMTZUxktCwxRszMhllMyCJPnEiuQ3GMLGhoYiGhaUwYtKRwDYaUQaVBYU5b32uptzE97sPi5t4byDOwB_bHcYTWtnFv28nA_j3H1zWkr1JvwL6fE8QvjwRyyfXz7QVY_751v4Nc6EOhmlihWBSrRZt_H79PHlYXlgUU9rXEvM2ltb-UnwAAAP__WvJHtA" TargetMode="External"/><Relationship Id="rId78" Type="http://schemas.openxmlformats.org/officeDocument/2006/relationships/hyperlink" Target="https://www.ecstuning.com/b-vac-motorsports-parts/vac-performance-coated-rod-bearing-kit/vac-hprbk-s65~va/" TargetMode="External"/><Relationship Id="rId71" Type="http://schemas.openxmlformats.org/officeDocument/2006/relationships/hyperlink" Target="https://order.ebay.com/ord/show?orderId=22-10327-87782" TargetMode="External"/><Relationship Id="rId70" Type="http://schemas.openxmlformats.org/officeDocument/2006/relationships/hyperlink" Target="https://www.powerflexusa.com/my/invoices/250146?model=account.move&amp;res_id=250146&amp;access_token=e8c8184a-f9fe-468d-a475-97725270cced" TargetMode="External"/><Relationship Id="rId62" Type="http://schemas.openxmlformats.org/officeDocument/2006/relationships/hyperlink" Target="https://app.ecwid.com/print_invoice?ownerid=266218" TargetMode="External"/><Relationship Id="rId61" Type="http://schemas.openxmlformats.org/officeDocument/2006/relationships/hyperlink" Target="https://www.ecstuning.com/Cart/Receipt-212205159/?customerID=2679329" TargetMode="External"/><Relationship Id="rId64" Type="http://schemas.openxmlformats.org/officeDocument/2006/relationships/hyperlink" Target="https://order.ebay.com/ord/show?orderId=24-10248-11577" TargetMode="External"/><Relationship Id="rId63" Type="http://schemas.openxmlformats.org/officeDocument/2006/relationships/hyperlink" Target="https://order.ebay.com/ord/show?orderId=23-10234-09916" TargetMode="External"/><Relationship Id="rId66" Type="http://schemas.openxmlformats.org/officeDocument/2006/relationships/hyperlink" Target="https://order.ebay.com/ord/show?orderId=08-10268-23565" TargetMode="External"/><Relationship Id="rId65" Type="http://schemas.openxmlformats.org/officeDocument/2006/relationships/hyperlink" Target="https://www.hondapartsnow.com/online/order/summary?orderId=1006551&amp;orderGuid=9a3eab8c-1036-419d-8daa-c0d0514cde85" TargetMode="External"/><Relationship Id="rId68" Type="http://schemas.openxmlformats.org/officeDocument/2006/relationships/hyperlink" Target="https://order.ebay.com/ord/show?orderId=02-10295-29228" TargetMode="External"/><Relationship Id="rId67" Type="http://schemas.openxmlformats.org/officeDocument/2006/relationships/hyperlink" Target="https://order.ebay.com/ord/show?orderId=11-10266-67398" TargetMode="External"/><Relationship Id="rId609" Type="http://schemas.openxmlformats.org/officeDocument/2006/relationships/hyperlink" Target="https://docs.google.com/spreadsheets/d/1U5xJBYZSg3wTG4m4jc-vxp4pdf9GP_SlETohhbddzmE/edit?gid=0" TargetMode="External"/><Relationship Id="rId608" Type="http://schemas.openxmlformats.org/officeDocument/2006/relationships/hyperlink" Target="https://www.protuningfreaks.com/checkouts/cn/hWN4wlvMjhtulKrWF8dyN3Dd/en-us/thank-you" TargetMode="External"/><Relationship Id="rId607" Type="http://schemas.openxmlformats.org/officeDocument/2006/relationships/hyperlink" Target="https://www.bimmernetwork.com/checkouts/cn/hWN4wleCZkE83mqd5Zv0z2Je/en-us/thank-you" TargetMode="External"/><Relationship Id="rId60" Type="http://schemas.openxmlformats.org/officeDocument/2006/relationships/hyperlink" Target="https://status.roughcountry.com/" TargetMode="External"/><Relationship Id="rId602" Type="http://schemas.openxmlformats.org/officeDocument/2006/relationships/hyperlink" Target="https://www.ecstuning.com/MyAccount/Orders/Order-076347690/" TargetMode="External"/><Relationship Id="rId601" Type="http://schemas.openxmlformats.org/officeDocument/2006/relationships/hyperlink" Target="https://www.getbmwparts.com/account/order?token=eyJ0eXAiOiJKV1QiLCJhbGciOiJIUzUxMiJ9.eyJvcmRlcl9udW1iZXIiOiI0NDE3NDc0NCIsInVzZXJfZW1haWwiOiJlbWlsaWFub0B0cmliZXNoaXBwaW5nLmNvbSJ9.TycKj_0Hm06CEWIFHyrpfhqoIqM9yVISXsbwmI6_cwzF1RqptHUUcV1Vhqy0FwP1wD52Rut6pYOcTPLfPcqMmQ" TargetMode="External"/><Relationship Id="rId600" Type="http://schemas.openxmlformats.org/officeDocument/2006/relationships/hyperlink" Target="https://shopify.com/8902048/account/orders/79ec6a85b79c465c1437f3f94526bb17" TargetMode="External"/><Relationship Id="rId606" Type="http://schemas.openxmlformats.org/officeDocument/2006/relationships/hyperlink" Target="https://www.ecstuning.com/Cart/Receipt-597048308/?customerID=2679329" TargetMode="External"/><Relationship Id="rId605" Type="http://schemas.openxmlformats.org/officeDocument/2006/relationships/hyperlink" Target="https://wise.com/en/track/446bc11eacca447a8b6d0d9615b15a5d?utm_medium=copy&amp;utm_source=mobileAppIOS&amp;utm_content=moneyTracker" TargetMode="External"/><Relationship Id="rId604" Type="http://schemas.openxmlformats.org/officeDocument/2006/relationships/hyperlink" Target="https://dualtronusa.com/checkouts/cn/hWN4gJiaN9qmb5mGUOrtUQNe/en-us/thank-you" TargetMode="External"/><Relationship Id="rId603" Type="http://schemas.openxmlformats.org/officeDocument/2006/relationships/hyperlink" Target="https://shopify.com/27603861609/account/orders/82d97332dbe93669c72708a87c278c4b" TargetMode="External"/><Relationship Id="rId69" Type="http://schemas.openxmlformats.org/officeDocument/2006/relationships/hyperlink" Target="https://order.ebay.com/ord/show?orderId=03-10281-63770" TargetMode="External"/><Relationship Id="rId51" Type="http://schemas.openxmlformats.org/officeDocument/2006/relationships/hyperlink" Target="https://www.aaacooper.com/pwb/Transit/ProTrackResults.aspx" TargetMode="External"/><Relationship Id="rId50" Type="http://schemas.openxmlformats.org/officeDocument/2006/relationships/hyperlink" Target="https://ind-distribution.com/products/ind-f87-m2-competition-bumper-retrofit-kit" TargetMode="External"/><Relationship Id="rId53" Type="http://schemas.openxmlformats.org/officeDocument/2006/relationships/hyperlink" Target="https://stockx.com/buying/14135239533479773733" TargetMode="External"/><Relationship Id="rId52" Type="http://schemas.openxmlformats.org/officeDocument/2006/relationships/hyperlink" Target="https://order.ebay.com/ord/show?/ViewPaymentStatus&amp;purchaseOrderId=22-1012-367705" TargetMode="External"/><Relationship Id="rId55" Type="http://schemas.openxmlformats.org/officeDocument/2006/relationships/hyperlink" Target="https://www.ebay.com/itm/123556988063?epid=1630537340&amp;hash=item1cc492049f:g:ITcAAOSw8U9cHT-y&amp;amdata=enc%3AAQAIAAAA4Km64DIS%2F2X2Kk0xgw39bqvzBc692dtaG2YNjFhS%2BsoPHktif%2FypYjbmHuhnH9pSA7v1L6aBzHQYb3SgErSr4Ee0LBsspaDahKqnj7XGip17mXMMWuNuaCtAamJmXDwGH8lC3GlLFR5Bru14M38aBLNz9IvlDBqnKAcifP3EDn01hShyCi26oij8l0UdTBFsQVrAz0deSe8qvhtL1l%2B%2FgClfAm7XigfuaMKkDHIoX8%2FMmMyJzjfNCX%2BK4XQoYOqL4kuj%2F%2FnTeBft4Wd1IWTn9K892yIyZtIks0O5L4eMHEk%2B%7Ctkp%3ABk9SR-Su8aOXYg" TargetMode="External"/><Relationship Id="rId54" Type="http://schemas.openxmlformats.org/officeDocument/2006/relationships/hyperlink" Target="https://www.ecstuning.com/b-csf-parts/radiator-bmw-x1-2-l-2015-2012bmw-135i-3-l-2012-2008bmw-335i-3-l-2012-2007bmw-335i-xdrive-3-l-2012-2009bmw-335is-3-l-2012-2011bmw-335xi-3-l-2008-2007bmw-x1-3-l-2015-2013bmw-z4-3-l-2016-2009/3717~csf/" TargetMode="External"/><Relationship Id="rId57" Type="http://schemas.openxmlformats.org/officeDocument/2006/relationships/hyperlink" Target="https://www.ebay.com/itm/403642568555" TargetMode="External"/><Relationship Id="rId56" Type="http://schemas.openxmlformats.org/officeDocument/2006/relationships/hyperlink" Target="https://www.ebay.com/itm/155227424268?hash=item242446860c:g:gCsAAOSwZQ1fC~nf&amp;amdata=enc%3AAQAIAAAA0NWpGp3xr%2FNGf0m65rMmKlwO71qL6meGHYe5jbKinT6PfPSCFBJXGRmR47kdPWoXPpoYxP7L%2FiznQJ94q%2BvAeZ%2BFTBhhQcwqPruRclT%2BjC5Cw19w%2FOnl6eOMlzs2stmhyt%2B3OnGfzD6g89dx69tGsLJEiOKlhreUZWPqSASU%2B0iSj%2FXEprM0LDe4o%2FvPI%2B6oJL1nG3JqcdnMeSa4JFCUxE9dwjF%2FgyMUhrJEKjAIFYTOJ%2Bi%2BAPvO25MEo8LWG3ny8Z86a5vYA%2F0f75rcrd7LSUk%3D%7Ctkp%3ABk9SR7ausfqbYg" TargetMode="External"/><Relationship Id="rId59" Type="http://schemas.openxmlformats.org/officeDocument/2006/relationships/hyperlink" Target="https://order.ebay.com/ord/show?orderId=13-10225-01490" TargetMode="External"/><Relationship Id="rId58" Type="http://schemas.openxmlformats.org/officeDocument/2006/relationships/hyperlink" Target="https://www.ecstuning.com/b-genuine-bmw-parts/coolant-hose-radiator-to-oil-cooler/17117541143/" TargetMode="External"/><Relationship Id="rId590" Type="http://schemas.openxmlformats.org/officeDocument/2006/relationships/hyperlink" Target="https://account.ind-distribution.com/orders/f006a2ea92025f187c43e2a67c5d98ea" TargetMode="External"/><Relationship Id="rId107" Type="http://schemas.openxmlformats.org/officeDocument/2006/relationships/hyperlink" Target="https://www.amazon.com/gp/your-account/order-details/ref=ppx_yo_dt_b_order_details_o00?ie=UTF8&amp;orderID=113-2602114-4684260" TargetMode="External"/><Relationship Id="rId228" Type="http://schemas.openxmlformats.org/officeDocument/2006/relationships/hyperlink" Target="https://www.ctsturbo.com/checkout/order-received/268680/?key=wc_order_zLbhWRXWWBZ9q&amp;utm_nooverride=1" TargetMode="External"/><Relationship Id="rId349" Type="http://schemas.openxmlformats.org/officeDocument/2006/relationships/hyperlink" Target="https://order.ebay.com/ord/show?orderId=24-11684-79782" TargetMode="External"/><Relationship Id="rId106" Type="http://schemas.openxmlformats.org/officeDocument/2006/relationships/hyperlink" Target="https://www.bmwpartsdeal.com/online/order/summary?orderId=239317&amp;orderGuid=fe68a369-9160-49f1-b9d1-39f03ba363a9" TargetMode="External"/><Relationship Id="rId227" Type="http://schemas.openxmlformats.org/officeDocument/2006/relationships/hyperlink" Target="https://www.cettire.com/checkout/order/nXEnpec8Thg3f3i3R?token=KGkRnsCRHpPE5Y2AyppnIVroH5POOSAc_H4H8DpHauM" TargetMode="External"/><Relationship Id="rId348" Type="http://schemas.openxmlformats.org/officeDocument/2006/relationships/hyperlink" Target="https://henriesoem.com/commerce/orders/61e4a609-7d70-4377-b724-195abc0548c3" TargetMode="External"/><Relationship Id="rId469" Type="http://schemas.openxmlformats.org/officeDocument/2006/relationships/hyperlink" Target="https://www.amazon.com/gp/your-account/order-details?ie=UTF8&amp;orderID=111-7895568-5466609&amp;ref=ppx_yo2ov_dt_b_fed_order_details" TargetMode="External"/><Relationship Id="rId105" Type="http://schemas.openxmlformats.org/officeDocument/2006/relationships/hyperlink" Target="https://www.amazon.com/gp/your-account/order-details/ref=ppx_yo_dt_b_order_details_o01?ie=UTF8&amp;orderID=114-5690241-3171412" TargetMode="External"/><Relationship Id="rId226" Type="http://schemas.openxmlformats.org/officeDocument/2006/relationships/hyperlink" Target="https://secure6.store.apple.com/shop/order/guest/W1301633397/7ec7fe351e17011a36aa9fd3ca6ce2de391b662650a0287b94f55dd44ebfb2c8c94462ac1926065f1b7de0a06b3984f73d9b7fc57119fd09dccc4598b2497f87159cf80671e62f16157d04d23a368f52?e=true" TargetMode="External"/><Relationship Id="rId347" Type="http://schemas.openxmlformats.org/officeDocument/2006/relationships/hyperlink" Target="https://order.ebay.com/ord/show?orderId=20-11667-12884" TargetMode="External"/><Relationship Id="rId468" Type="http://schemas.openxmlformats.org/officeDocument/2006/relationships/hyperlink" Target="https://www.amazon.com/gp/your-account/order-details?ie=UTF8&amp;orderID=111-0221339-8329832&amp;ref=ppx_yo2ov_dt_b_fed_order_details" TargetMode="External"/><Relationship Id="rId589" Type="http://schemas.openxmlformats.org/officeDocument/2006/relationships/hyperlink" Target="https://docs.google.com/spreadsheets/d/1BjG3PyAeyMXhGp3OFMBZBHFt6xHkb9W9QWRq1eRHyd4/edit?gid=0" TargetMode="External"/><Relationship Id="rId104" Type="http://schemas.openxmlformats.org/officeDocument/2006/relationships/hyperlink" Target="https://www.amazon.com/gp/your-account/order-details/ref=ppx_yo_dt_b_order_details_o02?ie=UTF8&amp;orderID=114-5191030-9496269" TargetMode="External"/><Relationship Id="rId225" Type="http://schemas.openxmlformats.org/officeDocument/2006/relationships/hyperlink" Target="https://secure6.store.apple.com/shop/order/guest/W1301633397/7ec7fe351e17011a36aa9fd3ca6ce2de391b662650a0287b94f55dd44ebfb2c8c94462ac1926065f1b7de0a06b3984f73d9b7fc57119fd09dccc4598b2497f87159cf80671e62f16157d04d23a368f52?e=true" TargetMode="External"/><Relationship Id="rId346" Type="http://schemas.openxmlformats.org/officeDocument/2006/relationships/hyperlink" Target="https://order.ebay.com/ord/show?orderId=06-11680-38207" TargetMode="External"/><Relationship Id="rId467" Type="http://schemas.openxmlformats.org/officeDocument/2006/relationships/hyperlink" Target="https://cloudcitydrones.com/checkouts/cn/Z2NwLXVzLWVhc3QxOjAxSk1DU1JYQTRRWE5ESFoyMEhYNVo5QkpZ/thank-you" TargetMode="External"/><Relationship Id="rId588" Type="http://schemas.openxmlformats.org/officeDocument/2006/relationships/hyperlink" Target="https://docs.google.com/spreadsheets/d/1BjG3PyAeyMXhGp3OFMBZBHFt6xHkb9W9QWRq1eRHyd4/edit?gid=0" TargetMode="External"/><Relationship Id="rId109" Type="http://schemas.openxmlformats.org/officeDocument/2006/relationships/hyperlink" Target="https://www.bmwpartsdeal.com/online/order/detail?orderId=239329&amp;orderGuid=fe68a369-9160-49f1-b9d1-39f03ba363a9" TargetMode="External"/><Relationship Id="rId108" Type="http://schemas.openxmlformats.org/officeDocument/2006/relationships/hyperlink" Target="https://www.vr-speed.com/my-account/view-order/100339352/" TargetMode="External"/><Relationship Id="rId229" Type="http://schemas.openxmlformats.org/officeDocument/2006/relationships/hyperlink" Target="https://order.ebay.com/ord/show?orderId=07-11196-32306" TargetMode="External"/><Relationship Id="rId220" Type="http://schemas.openxmlformats.org/officeDocument/2006/relationships/hyperlink" Target="https://www.blowsion.com/sales/order/view/order_id/78830/" TargetMode="External"/><Relationship Id="rId341" Type="http://schemas.openxmlformats.org/officeDocument/2006/relationships/hyperlink" Target="https://hawkautoessentials.com/checkouts/cn/Z2NwLXVzLWVhc3QxOjAxSFpUNlBSR0RYQjdSSlZWSktFRzRHMUZR/thank-you" TargetMode="External"/><Relationship Id="rId462" Type="http://schemas.openxmlformats.org/officeDocument/2006/relationships/hyperlink" Target="https://www.amazon.com/gp/your-account/order-details?ie=UTF8&amp;orderID=112-6782762-0523454&amp;ref=ppx_yo2ov_dt_b_fed_order_details" TargetMode="External"/><Relationship Id="rId583" Type="http://schemas.openxmlformats.org/officeDocument/2006/relationships/hyperlink" Target="https://goatoffroad.com.au/checkouts/cn/hWN3v43CUxj47zDx6PYkkYT4/en-us/thank-you" TargetMode="External"/><Relationship Id="rId340" Type="http://schemas.openxmlformats.org/officeDocument/2006/relationships/hyperlink" Target="https://biz.alibaba.com/ta/detail.htm?spm=a2700.12336162.0.0.423f65aa6yhQPC&amp;orderId=213694655001022057" TargetMode="External"/><Relationship Id="rId461" Type="http://schemas.openxmlformats.org/officeDocument/2006/relationships/hyperlink" Target="https://www.amazon.com/gp/your-account/order-details?ie=UTF8&amp;orderID=112-2357245-7829036&amp;ref=ppx_yo2ov_dt_b_fed_order_details" TargetMode="External"/><Relationship Id="rId582" Type="http://schemas.openxmlformats.org/officeDocument/2006/relationships/hyperlink" Target="https://ind-distribution.com/checkouts/cn/hWN3zwebmeESLAJcjdfEFGXx/en-us/thank-you" TargetMode="External"/><Relationship Id="rId460" Type="http://schemas.openxmlformats.org/officeDocument/2006/relationships/hyperlink" Target="https://order.ebay.com/ord/show?orderId=19-12611-80272&amp;purchaseOrderId=19-1261-180271" TargetMode="External"/><Relationship Id="rId581" Type="http://schemas.openxmlformats.org/officeDocument/2006/relationships/hyperlink" Target="https://docs.google.com/spreadsheets/d/1aZIKxI5qp7zKvSM2fSnhph6aKsxJz8o_kpXyIFS6JA4/edit?usp=drive_link" TargetMode="External"/><Relationship Id="rId580" Type="http://schemas.openxmlformats.org/officeDocument/2006/relationships/hyperlink" Target="https://docs.google.com/spreadsheets/d/1aZIKxI5qp7zKvSM2fSnhph6aKsxJz8o_kpXyIFS6JA4/edit?usp=drive_link" TargetMode="External"/><Relationship Id="rId103" Type="http://schemas.openxmlformats.org/officeDocument/2006/relationships/hyperlink" Target="https://www.amazon.com/gp/your-account/order-details/ref=dp_iou_view_this_order?ie=UTF8&amp;orderID=114-8976138-4940250" TargetMode="External"/><Relationship Id="rId224" Type="http://schemas.openxmlformats.org/officeDocument/2006/relationships/hyperlink" Target="https://opel-shop.com/kasse/order-received/2915654/?key=wc_order_7CZg0yANGbgXn" TargetMode="External"/><Relationship Id="rId345" Type="http://schemas.openxmlformats.org/officeDocument/2006/relationships/hyperlink" Target="https://order.ebay.com/ord/show?orderId=06-11680-38207" TargetMode="External"/><Relationship Id="rId466" Type="http://schemas.openxmlformats.org/officeDocument/2006/relationships/hyperlink" Target="https://order.ebay.com/ord/show?orderId=11-12720-40200&amp;ssPageName=STRK:MESO:VPS&amp;_trksid=p4429486.m2548.l2673" TargetMode="External"/><Relationship Id="rId587" Type="http://schemas.openxmlformats.org/officeDocument/2006/relationships/hyperlink" Target="https://docs.google.com/spreadsheets/d/1Ucmuy1jQIMd_wrjEm5J5gSY0ojGPXkH5e4zWrmlvcN8/edit?usp=sharing" TargetMode="External"/><Relationship Id="rId102" Type="http://schemas.openxmlformats.org/officeDocument/2006/relationships/hyperlink" Target="https://usd.r44performance.com/checkouts/cn/3ba3d31af71784444063d5c4c4d895da/thank_you" TargetMode="External"/><Relationship Id="rId223" Type="http://schemas.openxmlformats.org/officeDocument/2006/relationships/hyperlink" Target="https://order.ebay.com/ord/show?orderId=12-11154-86868" TargetMode="External"/><Relationship Id="rId344" Type="http://schemas.openxmlformats.org/officeDocument/2006/relationships/hyperlink" Target="https://www.mk3.com/en/customer/orderdetails/MK240610176502" TargetMode="External"/><Relationship Id="rId465" Type="http://schemas.openxmlformats.org/officeDocument/2006/relationships/hyperlink" Target="https://order.ebay.com/ord/show?itemId=235946761155&amp;transactionId=2225329839013&amp;mkevt=1&amp;mkpid=0&amp;emsid=e11400.m144670.l152615&amp;mkcid=7&amp;ch=osgood&amp;euid=8280472fc9f246b683fea0927fa108b9&amp;bu=43795160990&amp;osub=-1%7E1&amp;crd=20250211094438&amp;segname=11400" TargetMode="External"/><Relationship Id="rId586" Type="http://schemas.openxmlformats.org/officeDocument/2006/relationships/hyperlink" Target="https://docs.google.com/spreadsheets/d/1Ucmuy1jQIMd_wrjEm5J5gSY0ojGPXkH5e4zWrmlvcN8/edit?usp=sharing" TargetMode="External"/><Relationship Id="rId101" Type="http://schemas.openxmlformats.org/officeDocument/2006/relationships/hyperlink" Target="https://secure.bimmerworld.com/myaccount-1-06-0/index.ssp?sc=6" TargetMode="External"/><Relationship Id="rId222" Type="http://schemas.openxmlformats.org/officeDocument/2006/relationships/hyperlink" Target="https://order.ebay.com/ord/show?orderId=04-11161-54844" TargetMode="External"/><Relationship Id="rId343" Type="http://schemas.openxmlformats.org/officeDocument/2006/relationships/hyperlink" Target="https://www.aliexpress.com/p/tracking/index.html?_addShare=no&amp;_login=yes&amp;tradeOrderId=8189128598845219" TargetMode="External"/><Relationship Id="rId464" Type="http://schemas.openxmlformats.org/officeDocument/2006/relationships/hyperlink" Target="https://www.paypal.com/invoice/payerView/details/INV2-QD4L-6VYK-XQPE-A8SJ?locale.x=en_US&amp;v=1&amp;utm_source=unp&amp;utm_medium=email&amp;utm_campaign=RT000238&amp;utm_unptid=09db2a02-e7cb-11ef-8de7-5babe8a82aa8&amp;ppid=RT000238&amp;cnac=US&amp;rsta=en_US%28en-US%29&amp;unptid=09db2a02-e7cb-11ef-8de7-5babe8a82aa8&amp;calc=f36025759d4a7&amp;unp_tpcid=invoice-buyer-notification&amp;page=main%3Aemail%3ART000238&amp;pgrp=main%3Aemail&amp;e=cl&amp;mchn=em&amp;s=ci&amp;mail=sys&amp;appVersion=1.304.0&amp;tenant_name=&amp;xt=145585%2C134644%2C150948%2C104038&amp;link_ref=details_inv2-qd4l-6vyk-xqpe-a8sj" TargetMode="External"/><Relationship Id="rId585" Type="http://schemas.openxmlformats.org/officeDocument/2006/relationships/hyperlink" Target="https://shopify.com/6603702362/account/orders/96fe56496efdf4bd059545f00159ed2a" TargetMode="External"/><Relationship Id="rId100" Type="http://schemas.openxmlformats.org/officeDocument/2006/relationships/hyperlink" Target="https://www.amazon.com/progress-tracker/package/ref=ppx_od_dt_b_track_package?_encoding=UTF8&amp;itemId=qlohqwjooosqqn&amp;orderId=114-4824695-3921862&amp;vt=ORDER_DETAILS" TargetMode="External"/><Relationship Id="rId221" Type="http://schemas.openxmlformats.org/officeDocument/2006/relationships/hyperlink" Target="https://order.ebay.com/ord/show?itemId=126008945424&amp;transactionId=2707666618002&amp;mkevt=1&amp;mkpid=0&amp;emsid=e11400.m144670.l152615&amp;mkcid=7&amp;ch=osgood&amp;euid=9e9f4d18ebac4d84a6073ef5ca99eb35&amp;bu=43795160990&amp;exe=0&amp;ext=0&amp;osub=-1%7E1&amp;crd=20240207155621&amp;segname=11400" TargetMode="External"/><Relationship Id="rId342" Type="http://schemas.openxmlformats.org/officeDocument/2006/relationships/hyperlink" Target="https://www.aliexpress.com/p/order/detail.html?spm=a2g0o.order_list.order_list_main.1.5c2c1802H30Y73&amp;orderId=8189128598845219" TargetMode="External"/><Relationship Id="rId463" Type="http://schemas.openxmlformats.org/officeDocument/2006/relationships/hyperlink" Target="https://www.ecstuning.com/MyAccount/Orders/Order-853303004/" TargetMode="External"/><Relationship Id="rId584" Type="http://schemas.openxmlformats.org/officeDocument/2006/relationships/hyperlink" Target="https://morepowertuning.com/checkouts/cn/hWN3zxiLGlUEs7MUQFYGWVKk/en-us/thank-you" TargetMode="External"/><Relationship Id="rId217" Type="http://schemas.openxmlformats.org/officeDocument/2006/relationships/hyperlink" Target="https://order.ebay.com/ord/show?/ViewPaymentStatus&amp;purchaseOrderId=11-1114-727744" TargetMode="External"/><Relationship Id="rId338" Type="http://schemas.openxmlformats.org/officeDocument/2006/relationships/hyperlink" Target="https://www.hondapartsnow.com/online/order/summary?orderId=1171536&amp;orderGuid=9a3eab8c-1036-419d-8daa-c0d0514cde85" TargetMode="External"/><Relationship Id="rId459" Type="http://schemas.openxmlformats.org/officeDocument/2006/relationships/hyperlink" Target="https://order.ebay.com/ord/show?orderId=23-12600-40592&amp;purchaseOrderId=23-1260-040591" TargetMode="External"/><Relationship Id="rId216" Type="http://schemas.openxmlformats.org/officeDocument/2006/relationships/hyperlink" Target="https://www.xhorsetool.com/wholesale/xhorse-multi-prog.html" TargetMode="External"/><Relationship Id="rId337" Type="http://schemas.openxmlformats.org/officeDocument/2006/relationships/hyperlink" Target="https://www.aliexpress.com/p/tracking/index.html?_addShare=no&amp;_login=yes&amp;tradeOrderId=8189608458495219" TargetMode="External"/><Relationship Id="rId458" Type="http://schemas.openxmlformats.org/officeDocument/2006/relationships/hyperlink" Target="https://waterestore.com/checkouts/cn/4422ab3590235e33998880113d29e5e7/thank_you" TargetMode="External"/><Relationship Id="rId579" Type="http://schemas.openxmlformats.org/officeDocument/2006/relationships/hyperlink" Target="https://www.holley.com/account/orders/1427527/" TargetMode="External"/><Relationship Id="rId215" Type="http://schemas.openxmlformats.org/officeDocument/2006/relationships/hyperlink" Target="https://www.ecstuning.com/MyAccount/Orders/Order-807021963/" TargetMode="External"/><Relationship Id="rId336" Type="http://schemas.openxmlformats.org/officeDocument/2006/relationships/hyperlink" Target="https://www.aliexpress.com/p/order/detail.html?spm=a2g0o.order_list.order_list_main.1.21ef1802j1EGgF&amp;orderId=8189608458495219" TargetMode="External"/><Relationship Id="rId457" Type="http://schemas.openxmlformats.org/officeDocument/2006/relationships/hyperlink" Target="https://www.turnermotorsport.com/Cart/Receipt-546505508/?customerID=4094710" TargetMode="External"/><Relationship Id="rId578" Type="http://schemas.openxmlformats.org/officeDocument/2006/relationships/hyperlink" Target="https://shopify.com/84997472573/account/orders/5571eb1f2bd2b6611a9cebae141c2e69" TargetMode="External"/><Relationship Id="rId214" Type="http://schemas.openxmlformats.org/officeDocument/2006/relationships/hyperlink" Target="https://order.ebay.com/ord/show?itemId=314923546627&amp;transactionId=1376173406021&amp;mkevt=1&amp;mkpid=0&amp;emsid=e11400.m144670.l152615&amp;mkcid=7&amp;ch=osgood&amp;euid=74b6cac795df42a9b82892ea4da11660&amp;bu=43795160990&amp;exe=0&amp;ext=0&amp;osub=-1%7E1&amp;crd=20240131111112&amp;segname=11400" TargetMode="External"/><Relationship Id="rId335" Type="http://schemas.openxmlformats.org/officeDocument/2006/relationships/hyperlink" Target="https://www.ecstuning.com/MyAccount/Orders/Order-667314228/" TargetMode="External"/><Relationship Id="rId456" Type="http://schemas.openxmlformats.org/officeDocument/2006/relationships/hyperlink" Target="https://vod.ebay.com/vod/FetchOrderDetails?/ViewPaymentStatus&amp;purchaseOrderId=27-1256-004706" TargetMode="External"/><Relationship Id="rId577" Type="http://schemas.openxmlformats.org/officeDocument/2006/relationships/hyperlink" Target="https://order.ebay.com/ord/show?itemId=276539110482&amp;transactionId=10076161574612&amp;mkevt=1&amp;mkpid=0&amp;emsid=e11401.m147516.l152615&amp;mkcid=7&amp;ch=osgood&amp;euid=d60190aeb48545aeb4f980da6269e293&amp;bu=43795160990&amp;exe=0&amp;ext=0&amp;osub=-1%7E1&amp;crd=20251008072910&amp;segname=11401" TargetMode="External"/><Relationship Id="rId219" Type="http://schemas.openxmlformats.org/officeDocument/2006/relationships/hyperlink" Target="https://www.raceart.co/commerce/orders/3fd5dd82-43fa-4425-9719-6f261687c161" TargetMode="External"/><Relationship Id="rId218" Type="http://schemas.openxmlformats.org/officeDocument/2006/relationships/hyperlink" Target="https://level7performance.com/checkout/order-received/4790/?key=wc_order_pZm23kLkyDFhI&amp;utm_nooverride=1" TargetMode="External"/><Relationship Id="rId339" Type="http://schemas.openxmlformats.org/officeDocument/2006/relationships/hyperlink" Target="https://www.midatlanticmercedes.com/account/order-details/?token=eyJ0eXAiOiJKV1QiLCJhbGciOiJIUzUxMiJ9.eyJvcmRlcl9udW1iZXIiOiI2MzAxIiwidXNlcl9lbWFpbCI6ImFycmF5ZHVkZUBnbWFpbC5jb20ifQ.V0dRH3CsfFRtYlGQhEtN8lh4LzKVpf-AeNFIcemN4Vu7WD1oey1nPR5Zl18ZsRXeq59Zui24EUKOZjrHfaXhHg" TargetMode="External"/><Relationship Id="rId330" Type="http://schemas.openxmlformats.org/officeDocument/2006/relationships/hyperlink" Target="https://www.autogeek.net/account.php?action=view_order&amp;order_id=2122377" TargetMode="External"/><Relationship Id="rId451" Type="http://schemas.openxmlformats.org/officeDocument/2006/relationships/hyperlink" Target="https://order.ebay.com/ord/show?orderId=27-12526-33437&amp;purchaseOrderId=27-1252-633436" TargetMode="External"/><Relationship Id="rId572" Type="http://schemas.openxmlformats.org/officeDocument/2006/relationships/hyperlink" Target="https://order.ebay.com/ord/show?orderId=27-13619-69384&amp;purchaseOrderId=27-1361-969383" TargetMode="External"/><Relationship Id="rId450" Type="http://schemas.openxmlformats.org/officeDocument/2006/relationships/hyperlink" Target="https://www.megazip.net/order/642336-5" TargetMode="External"/><Relationship Id="rId571" Type="http://schemas.openxmlformats.org/officeDocument/2006/relationships/hyperlink" Target="https://order.ebay.com/ord/show?orderId=20-13624-38968&amp;purchaseOrderId=20-1362-438967" TargetMode="External"/><Relationship Id="rId570" Type="http://schemas.openxmlformats.org/officeDocument/2006/relationships/hyperlink" Target="https://order.ebay.com/ord/show?orderId=20-13624-38788&amp;purchaseOrderId=20-1362-438786" TargetMode="External"/><Relationship Id="rId213" Type="http://schemas.openxmlformats.org/officeDocument/2006/relationships/hyperlink" Target="https://www.blowsion.com/sales/order/view/order_id/78716/" TargetMode="External"/><Relationship Id="rId334" Type="http://schemas.openxmlformats.org/officeDocument/2006/relationships/hyperlink" Target="https://order.ebay.com/ord/show?/ViewPaymentStatus&amp;purchaseOrderId=03-1165-722058" TargetMode="External"/><Relationship Id="rId455" Type="http://schemas.openxmlformats.org/officeDocument/2006/relationships/hyperlink" Target="https://www.getbmwparts.com/account/order?token=eyJ0eXAiOiJKV1QiLCJhbGciOiJIUzUxMiJ9.eyJvcmRlcl9udW1iZXIiOiI0NDE1Nzg0MCIsInVzZXJfZW1haWwiOiJlbWlsaWFub0B0cmliZXNoaXBwaW5nLmNvbSJ9.ZssLC2z58ItM06u_Ds-C39U9_-5sSJENO1wdqo7d-dOLfV5tLmKrCCwsp9mMB9d27ReVRTyzdwZuToiW9zWIaw" TargetMode="External"/><Relationship Id="rId576" Type="http://schemas.openxmlformats.org/officeDocument/2006/relationships/hyperlink" Target="https://r44performance.com/checkouts/do/d6ef67d5ef34e662e4e30bb3a1780c38/en-us/thank-you" TargetMode="External"/><Relationship Id="rId212" Type="http://schemas.openxmlformats.org/officeDocument/2006/relationships/hyperlink" Target="https://order.ebay.com/ord/show?orderId=24-11126-30676&amp;ssPageName=STRK:MESO:VPS&amp;_trksid=p4429486.m2548.l2673" TargetMode="External"/><Relationship Id="rId333" Type="http://schemas.openxmlformats.org/officeDocument/2006/relationships/hyperlink" Target="https://www.amazon.com/gp/product/B000ED0NKU/ref=ppx_yo_dt_b_asin_title_o00_s00?ie=UTF8&amp;psc=1" TargetMode="External"/><Relationship Id="rId454" Type="http://schemas.openxmlformats.org/officeDocument/2006/relationships/hyperlink" Target="https://order.ebay.com/ord/show?orderId=06-12550-33811&amp;purchaseOrderId=06-1255-033810" TargetMode="External"/><Relationship Id="rId575" Type="http://schemas.openxmlformats.org/officeDocument/2006/relationships/hyperlink" Target="https://www.getbmwparts.com/account/order?token=eyJ0eXAiOiJKV1QiLCJhbGciOiJIUzUxMiJ9.eyJvcmRlcl9udW1iZXIiOiI0NDE3MzU0MCIsInVzZXJfZW1haWwiOiJlbWlsaWFub0B0cmliZXNoaXBwaW5nLmNvbSJ9.JpM0Anbp-j3Fy3SFYhEt3S-7BggKiYRdfmABzyuDSOdHjoCNgwmZm0IoSd_7cTPhacI3wTq-W7bmFbKsDFbhVw" TargetMode="External"/><Relationship Id="rId211" Type="http://schemas.openxmlformats.org/officeDocument/2006/relationships/hyperlink" Target="https://www.ecstuning.com/Cart/Receipt-313575918/?customerID=2679329" TargetMode="External"/><Relationship Id="rId332" Type="http://schemas.openxmlformats.org/officeDocument/2006/relationships/hyperlink" Target="https://www.getbmwparts.com/account/order?token=eyJ0eXAiOiJKV1QiLCJhbGciOiJIUzUxMiJ9.eyJvcmRlcl9udW1iZXIiOiI0NDE0NDA2OCIsInVzZXJfZW1haWwiOiJlbWlsaWFub0B0cmliZXNoaXBwaW5nLmNvbSJ9.phNVhM1SAEFVRg1KA9BpF0WsSuZgI-0cE-NqVMQk5pDyVvq_rJ4nLwoD7ZKV-TxIKTNu40Oq2HRkHvGmE2QiJg" TargetMode="External"/><Relationship Id="rId453" Type="http://schemas.openxmlformats.org/officeDocument/2006/relationships/hyperlink" Target="https://order.ebay.com/ord/show?orderId=09-12546-60656&amp;purchaseOrderId=09-1254-660655" TargetMode="External"/><Relationship Id="rId574" Type="http://schemas.openxmlformats.org/officeDocument/2006/relationships/hyperlink" Target="https://www.auto-chips.com/cart/WXY25100122581394/success.html?code=IC8uH1lIAgABH1FaVUZEThk%3D" TargetMode="External"/><Relationship Id="rId210" Type="http://schemas.openxmlformats.org/officeDocument/2006/relationships/hyperlink" Target="https://kraftwerksusa.com/3-id-round-filter.html" TargetMode="External"/><Relationship Id="rId331" Type="http://schemas.openxmlformats.org/officeDocument/2006/relationships/hyperlink" Target="https://order.ebay.com/ord/show?orderId=14-11633-73280" TargetMode="External"/><Relationship Id="rId452" Type="http://schemas.openxmlformats.org/officeDocument/2006/relationships/hyperlink" Target="https://order.ebay.com/ord/show?orderId=27-12526-33437&amp;purchaseOrderId=27-1252-633436" TargetMode="External"/><Relationship Id="rId573" Type="http://schemas.openxmlformats.org/officeDocument/2006/relationships/hyperlink" Target="https://www.tunedbyzfgracing.com/thank-you-page/8f6980c9-c7e7-4e90-9f04-dbfc806fe0c9?appSectionParams=%7B%22objectType%22%3A%22order%22%2C%22origin%22%3A%22checkout%22%7D" TargetMode="External"/><Relationship Id="rId370" Type="http://schemas.openxmlformats.org/officeDocument/2006/relationships/hyperlink" Target="https://titanmotorsports.com/checkouts/do/2700726a34643a04181a6e3f8e151ef0/thank-you" TargetMode="External"/><Relationship Id="rId491" Type="http://schemas.openxmlformats.org/officeDocument/2006/relationships/hyperlink" Target="https://order.ebay.com/ord/show?orderId=09-13057-98188&amp;purchaseOrderId=09-1305-798187" TargetMode="External"/><Relationship Id="rId490" Type="http://schemas.openxmlformats.org/officeDocument/2006/relationships/hyperlink" Target="https://www.amazon.com/gp/your-account/order-details?ie=UTF8&amp;orderID=114-7693019-8773030&amp;ref=ppx_yo2ov_dt_b_fed_order_details" TargetMode="External"/><Relationship Id="rId129" Type="http://schemas.openxmlformats.org/officeDocument/2006/relationships/hyperlink" Target="https://track24.net/service/plpost/tracking/CP272110023PL" TargetMode="External"/><Relationship Id="rId128" Type="http://schemas.openxmlformats.org/officeDocument/2006/relationships/hyperlink" Target="https://www.ecstuning.com/b-continental-parts/map-sensor/13627843531~vdo/" TargetMode="External"/><Relationship Id="rId249" Type="http://schemas.openxmlformats.org/officeDocument/2006/relationships/hyperlink" Target="https://order.store.turbify.net/yhst-76804679891414/ymix/MetaController.html?ysco_key_store_id=yhst-76804679891414&amp;sectionId=ysco.confirm&amp;ysco_key_event_id=1&amp;ysco_key_oidc=2b1818057288197d5d44&amp;ysco_key_order_id=yhst-76804679891414-8012" TargetMode="External"/><Relationship Id="rId127" Type="http://schemas.openxmlformats.org/officeDocument/2006/relationships/hyperlink" Target="https://www.ecstuning.com/b-bosch-parts/oxygen-sensor/11787596924~bos/" TargetMode="External"/><Relationship Id="rId248" Type="http://schemas.openxmlformats.org/officeDocument/2006/relationships/hyperlink" Target="https://secure6.store.apple.com/shop/order/guest/W1352387761/7c744e1194ca9cfebe17e8459073b37c23e370430e3a584ee6e57539ab37b45b81d97181aa775becdab184eb2b3eb6bb69bdf08b96db041a77bb49b3b00f9e2296aa13a7375a0c24af5924aced192d4e?e=true" TargetMode="External"/><Relationship Id="rId369" Type="http://schemas.openxmlformats.org/officeDocument/2006/relationships/hyperlink" Target="https://t.17track.net/en" TargetMode="External"/><Relationship Id="rId126" Type="http://schemas.openxmlformats.org/officeDocument/2006/relationships/hyperlink" Target="https://burgertuning.com/products/replacement-n55-performance-filter-no-hardware" TargetMode="External"/><Relationship Id="rId247" Type="http://schemas.openxmlformats.org/officeDocument/2006/relationships/hyperlink" Target="https://secure6.store.apple.com/shop/order/guest/W1395498802/23b4434310c59cb1b9d96ec8d25b2f4406a3a2d658b0eb290cf247bce0b12cc0080e9bd62e56c1e811b7248c036d4a173c85955d9e6c66de2b35ade045484e3e83e0d1187689d3ecf5f6da673f109e85?e=true" TargetMode="External"/><Relationship Id="rId368" Type="http://schemas.openxmlformats.org/officeDocument/2006/relationships/hyperlink" Target="https://www.xhorsetool.com/members/order_view.asp" TargetMode="External"/><Relationship Id="rId489" Type="http://schemas.openxmlformats.org/officeDocument/2006/relationships/hyperlink" Target="https://www.hardmotorsport.com/login.php?from=account.php%3Faction%3Dorder_status" TargetMode="External"/><Relationship Id="rId121" Type="http://schemas.openxmlformats.org/officeDocument/2006/relationships/hyperlink" Target="https://www.amazon.com/gp/your-account/order-details/ref=ppx_yo_dt_b_order_details_o01?ie=UTF8&amp;orderID=113-3382593-5166664" TargetMode="External"/><Relationship Id="rId242" Type="http://schemas.openxmlformats.org/officeDocument/2006/relationships/hyperlink" Target="https://www.ecstuning.com/MyAccount/Orders/Order-403092070/" TargetMode="External"/><Relationship Id="rId363" Type="http://schemas.openxmlformats.org/officeDocument/2006/relationships/hyperlink" Target="https://www.zealoptics.com/US/en_US/checkout/orderConfirmation/4359a76f-87db-4c3b-bd8a-6f6caed32c73" TargetMode="External"/><Relationship Id="rId484" Type="http://schemas.openxmlformats.org/officeDocument/2006/relationships/hyperlink" Target="https://www.speedfactoryracing.net/40153088154/orders/8424b04398e2ef83dcb221541bed75e6" TargetMode="External"/><Relationship Id="rId120" Type="http://schemas.openxmlformats.org/officeDocument/2006/relationships/hyperlink" Target="https://www.amazon.com/gp/css/summary/print.html/ref=ppx_od_dt_b_invoice?ie=UTF8&amp;orderID=113-0850967-5016249" TargetMode="External"/><Relationship Id="rId241" Type="http://schemas.openxmlformats.org/officeDocument/2006/relationships/hyperlink" Target="https://shopify.com/6603702362/account/orders/5936499261530?locale=en" TargetMode="External"/><Relationship Id="rId362" Type="http://schemas.openxmlformats.org/officeDocument/2006/relationships/hyperlink" Target="https://checkout.dopesnow.com/checkout/success?id=136afe1e-330e-46da-8666-618189c77222&amp;utm_source=vero&amp;utm_medium=email&amp;utm_content=control&amp;utm_campaign=ds_shipping_confirmation&amp;utm_term=Workflow&amp;vero_conv=ww6zByu8bfpQW-4Knu_Iy8q79sSTmnWdfVBebAnZbV4vbKLc48h_8RzMCSThF2mF--uC7MR5ofs8-K3QdeO4Uq5iq6lhQRFa-BxfosVVVNZu" TargetMode="External"/><Relationship Id="rId483" Type="http://schemas.openxmlformats.org/officeDocument/2006/relationships/hyperlink" Target="https://order.ebay.com/ord/show?orderId=13-12943-61357&amp;purchaseOrderId=13-1294-361355" TargetMode="External"/><Relationship Id="rId240" Type="http://schemas.openxmlformats.org/officeDocument/2006/relationships/hyperlink" Target="https://order.ebay.com/ord/show?/ViewPaymentStatus&amp;purchaseOrderId=24-1125-936047" TargetMode="External"/><Relationship Id="rId361" Type="http://schemas.openxmlformats.org/officeDocument/2006/relationships/hyperlink" Target="https://chitchats.com/en/tracking/s3b8p3m6d3" TargetMode="External"/><Relationship Id="rId482" Type="http://schemas.openxmlformats.org/officeDocument/2006/relationships/hyperlink" Target="https://order.ebay.com/ord/show?orderId=13-12937-99563&amp;ssPageName=STRK:MESO:VPS&amp;_trksid=p4429486.m2548.l2673" TargetMode="External"/><Relationship Id="rId360" Type="http://schemas.openxmlformats.org/officeDocument/2006/relationships/hyperlink" Target="https://biz.alibaba.com/ta/detail.htm?spm=a2756.trade-list-buyer.0.0.279776e9khFSzG&amp;orderId=213694655001022057&amp;tracelog=from_orderlist_dropdown" TargetMode="External"/><Relationship Id="rId481" Type="http://schemas.openxmlformats.org/officeDocument/2006/relationships/hyperlink" Target="https://order.ebay.com/ord/show?orderId=25-12913-08961&amp;purchaseOrderId=25-1291-308960" TargetMode="External"/><Relationship Id="rId125" Type="http://schemas.openxmlformats.org/officeDocument/2006/relationships/hyperlink" Target="https://www.ecstuning.com/b-bilstein-parts/b8-performance-plus-front-strut-assembly-pair/35-124115kt/" TargetMode="External"/><Relationship Id="rId246" Type="http://schemas.openxmlformats.org/officeDocument/2006/relationships/hyperlink" Target="https://www.ecstuning.com/Cart/Receipt-633067275/?customerID=10503308" TargetMode="External"/><Relationship Id="rId367" Type="http://schemas.openxmlformats.org/officeDocument/2006/relationships/hyperlink" Target="https://bk-motorsport.com/checkout/order-received/52657/?key=wc_order_wLP4QLcO08feb&amp;utm_nooverride=1" TargetMode="External"/><Relationship Id="rId488" Type="http://schemas.openxmlformats.org/officeDocument/2006/relationships/hyperlink" Target="https://tools.usps.com/go/TrackConfirmAction_input?qtc_tLabels1=420331669334610597204248741230" TargetMode="External"/><Relationship Id="rId124" Type="http://schemas.openxmlformats.org/officeDocument/2006/relationships/hyperlink" Target="https://www.amazon.com/gp/your-account/order-details/ref=ppx_yo_dt_b_order_details_o00?ie=UTF8&amp;orderID=114-8512243-5560202" TargetMode="External"/><Relationship Id="rId245" Type="http://schemas.openxmlformats.org/officeDocument/2006/relationships/hyperlink" Target="https://order.ebay.com/ord/show?/ViewPaymentStatus&amp;purchaseOrderId=11-1129-691630" TargetMode="External"/><Relationship Id="rId366" Type="http://schemas.openxmlformats.org/officeDocument/2006/relationships/hyperlink" Target="https://order.ebay.com/ord/show?orderId=20-11813-17808" TargetMode="External"/><Relationship Id="rId487" Type="http://schemas.openxmlformats.org/officeDocument/2006/relationships/hyperlink" Target="https://www.mk3.com/en/customer/orderdetails/MK250425214369" TargetMode="External"/><Relationship Id="rId123" Type="http://schemas.openxmlformats.org/officeDocument/2006/relationships/hyperlink" Target="https://order.ebay.com/ord/show?orderId=01-10686-99129" TargetMode="External"/><Relationship Id="rId244" Type="http://schemas.openxmlformats.org/officeDocument/2006/relationships/hyperlink" Target="https://shopify.com/27847098505/account/orders/5526575743113?locale=en-DE" TargetMode="External"/><Relationship Id="rId365" Type="http://schemas.openxmlformats.org/officeDocument/2006/relationships/hyperlink" Target="https://order.ebay.com/ord/show?orderId=05-11828-27170" TargetMode="External"/><Relationship Id="rId486" Type="http://schemas.openxmlformats.org/officeDocument/2006/relationships/hyperlink" Target="https://shopify.com/50515378365/account/orders/77e22269bcf68eda45683d3fac5c9b03" TargetMode="External"/><Relationship Id="rId122" Type="http://schemas.openxmlformats.org/officeDocument/2006/relationships/hyperlink" Target="https://order.ebay.com/ord/show?orderId=03-10689-29954" TargetMode="External"/><Relationship Id="rId243" Type="http://schemas.openxmlformats.org/officeDocument/2006/relationships/hyperlink" Target="https://order.ebay.com/ord/show?orderId=19-11287-21897" TargetMode="External"/><Relationship Id="rId364" Type="http://schemas.openxmlformats.org/officeDocument/2006/relationships/hyperlink" Target="https://cloudcitydrones.com/checkouts/co/a478a201035310e57eb22ba31bd0c75e/thank-you" TargetMode="External"/><Relationship Id="rId485" Type="http://schemas.openxmlformats.org/officeDocument/2006/relationships/hyperlink" Target="https://shopify.com/5436693/account/orders/0534d7b49e58c1bb3017bbbb2f66afb4" TargetMode="External"/><Relationship Id="rId95" Type="http://schemas.openxmlformats.org/officeDocument/2006/relationships/hyperlink" Target="https://autotecknic.com/26746278/orders/1874a8849a1a5c89457afe08550bf704" TargetMode="External"/><Relationship Id="rId94" Type="http://schemas.openxmlformats.org/officeDocument/2006/relationships/hyperlink" Target="http://email.ecstuning.com/c/eJwczrGOqzAQheGnGUrkmbGNp6CILqK61WpfAMZ2gpZghB1pH3-VVOdIX_PH0XAgcl0a0Yvz3giG7jG6aGWlYHJWN6j41Q6IliisMSyksdtGMsRGyKF3DkMvXlbiNYpyME4UrEla2-vYjnuv5dnt46O1swLfgGaguZWy1_5Vz_pmoPlegObva9Gff-XI2_W8advK0S-fAZ7bV8rAU37t-7ncE5Bv_xV4wvdLv43CMAzA0weWNe0VeBJrDCIGCQ6DJUeOmam7xpxiujYtvV6pngWs0QWt0LvmLwAA__9cNlGs" TargetMode="External"/><Relationship Id="rId97" Type="http://schemas.openxmlformats.org/officeDocument/2006/relationships/hyperlink" Target="https://order.ebay.com/ord/show?orderId=05-10578-81876" TargetMode="External"/><Relationship Id="rId96" Type="http://schemas.openxmlformats.org/officeDocument/2006/relationships/hyperlink" Target="https://shop.redline360.com/5802524785/orders/880a10ee3bb26a8aad0c53be05c66153" TargetMode="External"/><Relationship Id="rId99" Type="http://schemas.openxmlformats.org/officeDocument/2006/relationships/hyperlink" Target="https://www.amazon.com/gp/your-account/order-details/ref=dp_iou_view_this_order?ie=UTF8&amp;orderID=114-4824695-3921862" TargetMode="External"/><Relationship Id="rId480" Type="http://schemas.openxmlformats.org/officeDocument/2006/relationships/hyperlink" Target="https://order.ebay.com/ord/show?orderId=03-12940-12984&amp;purchaseOrderId=03-1294-012983" TargetMode="External"/><Relationship Id="rId98" Type="http://schemas.openxmlformats.org/officeDocument/2006/relationships/hyperlink" Target="https://www.restotuner.com/thank-you-page/4181423e-a531-482c-a79d-ca61bc034a72?appSectionParams=%7B%22objectType%22%3A%22order%22%2C%22origin%22%3A%22cashier-express-directly-to-typ%22%7D" TargetMode="External"/><Relationship Id="rId91" Type="http://schemas.openxmlformats.org/officeDocument/2006/relationships/hyperlink" Target="https://www.ecstuning.com/b-continental-parts/map-sensor/13627843531~vdo/" TargetMode="External"/><Relationship Id="rId90" Type="http://schemas.openxmlformats.org/officeDocument/2006/relationships/hyperlink" Target="https://www.megazip.net/order/642336-1" TargetMode="External"/><Relationship Id="rId93" Type="http://schemas.openxmlformats.org/officeDocument/2006/relationships/hyperlink" Target="https://www.ecstuning.com/b-continental-parts/map-sensor/13627843531~vdo/" TargetMode="External"/><Relationship Id="rId92" Type="http://schemas.openxmlformats.org/officeDocument/2006/relationships/hyperlink" Target="http://email.ecstuning.com/c/eJwczrGOqzAQheGnGUrkmbGNp6CILqK61WpfAMZ2gpZghB1pH3-VVOdIX_PH0XAgcl0a0Yvz3giG7jG6aGWlYHJWN6j41Q6IliisMSyksdtGMsRGyKF3DkMvXlbiNYpyME4UrEla2-vYjnuv5dnt46O1swLfgGaguZWy1_5Vz_pmoPlegObva9Gff-XI2_W8advK0S-fAZ7bV8rAU37t-7ncE5Bv_xV4wvdLv43CMAzA0weWNe0VeBJrDCIGCQ6DJUeOmam7xpxiujYtvV6pngWs0QWt0LvmLwAA__9cNlGs" TargetMode="External"/><Relationship Id="rId118" Type="http://schemas.openxmlformats.org/officeDocument/2006/relationships/hyperlink" Target="https://www.ecstuning.com/MyAccount/Orders/Order-108994595/" TargetMode="External"/><Relationship Id="rId239" Type="http://schemas.openxmlformats.org/officeDocument/2006/relationships/hyperlink" Target="https://order.ebay.com/ord/show?orderId=05-11248-19573" TargetMode="External"/><Relationship Id="rId117" Type="http://schemas.openxmlformats.org/officeDocument/2006/relationships/hyperlink" Target="https://www.amazon.com/gp/your-account/order-details/ref=ppx_yo_dt_b_veo_o00_s00?ie=UTF8&amp;orderID=113-0399233-0429056" TargetMode="External"/><Relationship Id="rId238" Type="http://schemas.openxmlformats.org/officeDocument/2006/relationships/hyperlink" Target="https://autotecknic.com/26746278/orders/daa254c76f27c88cdb7ce311b0a791e5" TargetMode="External"/><Relationship Id="rId359" Type="http://schemas.openxmlformats.org/officeDocument/2006/relationships/hyperlink" Target="https://www.getbmwparts.com/account/order?token=eyJ0eXAiOiJKV1QiLCJhbGciOiJIUzUxMiJ9.eyJvcmRlcl9udW1iZXIiOiI0NDE0NTcwNCIsInVzZXJfZW1haWwiOiJlbWlsaWFub0B0cmliZXNoaXBwaW5nLmNvbSJ9.buh8pjgS_XPPjm12OcvI0CPWAY_hZ6gIG0n_PbbSZcjyya9cQtCY5qeuyzPkwdpVdcgiIpF_hrB0EzyFKa6Xlw" TargetMode="External"/><Relationship Id="rId116" Type="http://schemas.openxmlformats.org/officeDocument/2006/relationships/hyperlink" Target="https://www.amazon.com/gp/your-account/order-details/ref=ppx_yo_dt_b_order_details_o00?ie=UTF8&amp;orderID=111-2049469-2685066" TargetMode="External"/><Relationship Id="rId237" Type="http://schemas.openxmlformats.org/officeDocument/2006/relationships/hyperlink" Target="https://order.ebay.com/ord/show?orderId=04-11248-49482" TargetMode="External"/><Relationship Id="rId358" Type="http://schemas.openxmlformats.org/officeDocument/2006/relationships/hyperlink" Target="https://docs.google.com/spreadsheets/d/1ErcVi9uOgkcE1O_ZXahn3xqSizjW8nTBs5S1FMxZml8/edit?gid=0" TargetMode="External"/><Relationship Id="rId479" Type="http://schemas.openxmlformats.org/officeDocument/2006/relationships/hyperlink" Target="https://docs.google.com/spreadsheets/d/1UBBClj8sny4R1jxKv5Un9DQwWfh5SWW_Ed6XUqymXXw/edit?pli=1&amp;gid=0" TargetMode="External"/><Relationship Id="rId115" Type="http://schemas.openxmlformats.org/officeDocument/2006/relationships/hyperlink" Target="https://autotecknic.com/checkouts/cn/7126b7934c88e65acfaaa14669c0b5fe/thank_you" TargetMode="External"/><Relationship Id="rId236" Type="http://schemas.openxmlformats.org/officeDocument/2006/relationships/hyperlink" Target="https://order.ebay.com/ord/show?orderId=20-11236-21237" TargetMode="External"/><Relationship Id="rId357" Type="http://schemas.openxmlformats.org/officeDocument/2006/relationships/hyperlink" Target="https://www.speedfactoryracing.net/checkouts/cn/9b23caa182e6ad7f10b29b42fcf0ddea/thank_you" TargetMode="External"/><Relationship Id="rId478" Type="http://schemas.openxmlformats.org/officeDocument/2006/relationships/hyperlink" Target="https://vod.ebay.com/vod/FetchOrderDetails?/ViewPaymentStatus&amp;purchaseOrderId=11-1282-324959" TargetMode="External"/><Relationship Id="rId599" Type="http://schemas.openxmlformats.org/officeDocument/2006/relationships/hyperlink" Target="https://order.ebay.com/ord/show?orderId=08-13734-73784&amp;purchaseOrderId=08-1373-473778" TargetMode="External"/><Relationship Id="rId119" Type="http://schemas.openxmlformats.org/officeDocument/2006/relationships/hyperlink" Target="https://www.amazon.com/gp/css/summary/print.html/ref=ppx_od_dt_b_invoice?ie=UTF8&amp;orderID=113-0749165-6993805" TargetMode="External"/><Relationship Id="rId110" Type="http://schemas.openxmlformats.org/officeDocument/2006/relationships/hyperlink" Target="https://www.hondapartsnow.com/online/order/invoice?invoiceId=983464&amp;orderId=1054651&amp;orderGuid=3a5d4838-6c41-4a9a-aa25-94506aa7dc32" TargetMode="External"/><Relationship Id="rId231" Type="http://schemas.openxmlformats.org/officeDocument/2006/relationships/hyperlink" Target="https://www.bmwpartsdeal.com/online/order/detail?orderId=243648&amp;orderGuid=fe68a369-9160-49f1-b9d1-39f03ba363a9" TargetMode="External"/><Relationship Id="rId352" Type="http://schemas.openxmlformats.org/officeDocument/2006/relationships/hyperlink" Target="https://order.ebay.com/ord/show?/ViewPaymentStatus&amp;purchaseOrderId=26-1167-373889" TargetMode="External"/><Relationship Id="rId473" Type="http://schemas.openxmlformats.org/officeDocument/2006/relationships/hyperlink" Target="https://aquabliss.com/checkouts/cn/c99b75c5b8a55d9fdfc52c4a07ce1c9f/thank_you" TargetMode="External"/><Relationship Id="rId594" Type="http://schemas.openxmlformats.org/officeDocument/2006/relationships/hyperlink" Target="https://www.holley.com/account/orders/1430062/" TargetMode="External"/><Relationship Id="rId230" Type="http://schemas.openxmlformats.org/officeDocument/2006/relationships/hyperlink" Target="https://www.vr-speed.com/checkout/order-received/100355408?key=wc_order_W9Oxp6KxUvLbM&amp;utm_nooverride=1" TargetMode="External"/><Relationship Id="rId351" Type="http://schemas.openxmlformats.org/officeDocument/2006/relationships/hyperlink" Target="https://order.ebay.com/ord/show?orderId=26-11668-75656" TargetMode="External"/><Relationship Id="rId472" Type="http://schemas.openxmlformats.org/officeDocument/2006/relationships/hyperlink" Target="https://www.audiusaparts.com/account/order-details/?token=eyJ0eXAiOiJKV1QiLCJhbGciOiJIUzUxMiJ9.eyJvcmRlcl9udW1iZXIiOiIxNzMyNjYiLCJ1c2VyX2VtYWlsIjoiYWxsQHRyaWJlc2hpcHBpbmcuY29tIn0.5PvE9ZDLWhQru-ujtc7kGIOKVja-VhRwDF-GaJV0ta_6-c_r_JEWLoVUIDo0Xab0_7PSsdUbqJRgVv-hWfYh5Q" TargetMode="External"/><Relationship Id="rId593" Type="http://schemas.openxmlformats.org/officeDocument/2006/relationships/hyperlink" Target="https://account.ind-distribution.com/orders/cedf8432c4ee20697ff13147af7b3757" TargetMode="External"/><Relationship Id="rId350" Type="http://schemas.openxmlformats.org/officeDocument/2006/relationships/hyperlink" Target="https://order.ebay.com/ord/show?/ViewPaymentStatus&amp;purchaseOrderId=25-1166-983144" TargetMode="External"/><Relationship Id="rId471" Type="http://schemas.openxmlformats.org/officeDocument/2006/relationships/hyperlink" Target="https://www.ecstuning.com/MyAccount/Orders/Order-098193040/" TargetMode="External"/><Relationship Id="rId592" Type="http://schemas.openxmlformats.org/officeDocument/2006/relationships/hyperlink" Target="https://shopify.com/67235938493/account/orders/5b5544cd34c8bd2bf96f9624647d3fb0" TargetMode="External"/><Relationship Id="rId470" Type="http://schemas.openxmlformats.org/officeDocument/2006/relationships/hyperlink" Target="https://www.ecstuning.com/MyAccount/Orders/Order-518537162/" TargetMode="External"/><Relationship Id="rId591" Type="http://schemas.openxmlformats.org/officeDocument/2006/relationships/hyperlink" Target="https://shopify.com/51832946875/account/orders/e2bf7e7e31f66c4003d403e0b6df6967" TargetMode="External"/><Relationship Id="rId114" Type="http://schemas.openxmlformats.org/officeDocument/2006/relationships/hyperlink" Target="https://www.roverparts.com/cart/receipt.cfm?id=5204797&amp;uuid=D954EAA1-8C18-4B93-BF37D3A306FD71D2" TargetMode="External"/><Relationship Id="rId235" Type="http://schemas.openxmlformats.org/officeDocument/2006/relationships/hyperlink" Target="https://order.ebay.com/ord/show?orderId=27-11213-14795" TargetMode="External"/><Relationship Id="rId356" Type="http://schemas.openxmlformats.org/officeDocument/2006/relationships/hyperlink" Target="https://www.aliexpress.com/p/tracking/index.html?spm=a2g0o.order_detail.order_detail_item.2.2c6cf19cBB4NQ7&amp;_addShare=no&amp;_login=yes&amp;tradeOrderId=8189573385855219" TargetMode="External"/><Relationship Id="rId477" Type="http://schemas.openxmlformats.org/officeDocument/2006/relationships/hyperlink" Target="https://vod.ebay.com/vod/FetchOrderDetails?/ViewPaymentStatus&amp;purchaseOrderId=25-1280-635109" TargetMode="External"/><Relationship Id="rId598" Type="http://schemas.openxmlformats.org/officeDocument/2006/relationships/hyperlink" Target="https://order.ebay.com/ord/show?orderId=08-13734-73782&amp;purchaseOrderId=08-1373-473778" TargetMode="External"/><Relationship Id="rId113" Type="http://schemas.openxmlformats.org/officeDocument/2006/relationships/hyperlink" Target="https://www.amazon.com/gp/your-account/order-details/ref=ppx_yo_dt_b_order_details_o01?ie=UTF8&amp;orderID=111-0800040-4134643" TargetMode="External"/><Relationship Id="rId234" Type="http://schemas.openxmlformats.org/officeDocument/2006/relationships/hyperlink" Target="https://order.ebay.com/ord/show?orderId=02-11230-83374" TargetMode="External"/><Relationship Id="rId355" Type="http://schemas.openxmlformats.org/officeDocument/2006/relationships/hyperlink" Target="https://www.aliexpress.com/p/order/detail.html?orderId=8189573385855219&amp;edm_log_data=edm-order-details-v2.order-details-v2-log-link&amp;tracelog=rowan&amp;rowan_id1=pay_success_20240613_1_en_US_2024-06-21&amp;rowan_msg_id=5219818957338585$26925076394d442c9a8c69a9bb91dc64&amp;ck=in_edm_other" TargetMode="External"/><Relationship Id="rId476" Type="http://schemas.openxmlformats.org/officeDocument/2006/relationships/hyperlink" Target="https://www.getbmwparts.com/account/order?token=eyJ0eXAiOiJKV1QiLCJhbGciOiJIUzUxMiJ9.eyJvcmRlcl9udW1iZXIiOiI0NDE2MTExNyIsInVzZXJfZW1haWwiOiJlbWlsaWFub0B0cmliZXNoaXBwaW5nLmNvbSJ9.2NsTcHVIsKJw9KNCDz0fOL9QZPzex3TZ5YITIGUf9D7uxCOh5PBdKlbpNykrtB574uCZ6xXFtw9qKRvjqRnEZA" TargetMode="External"/><Relationship Id="rId597" Type="http://schemas.openxmlformats.org/officeDocument/2006/relationships/hyperlink" Target="https://order.ebay.com/ord/show?orderId=08-13734-73780&amp;purchaseOrderId=08-1373-473778" TargetMode="External"/><Relationship Id="rId112" Type="http://schemas.openxmlformats.org/officeDocument/2006/relationships/hyperlink" Target="https://www.amazon.com/gp/your-account/order-details/ref=ppx_yo_dt_b_order_details_o00?ie=UTF8&amp;orderID=111-6690470-3224269" TargetMode="External"/><Relationship Id="rId233" Type="http://schemas.openxmlformats.org/officeDocument/2006/relationships/hyperlink" Target="https://www.speedfactoryracing.net/40153088154/orders/05f9c6d32428cda8d05e8d1c5c3ff239" TargetMode="External"/><Relationship Id="rId354" Type="http://schemas.openxmlformats.org/officeDocument/2006/relationships/hyperlink" Target="https://order.ebay.com/ord/show?/ViewPaymentStatus&amp;purchaseOrderId=07-1171-563592" TargetMode="External"/><Relationship Id="rId475" Type="http://schemas.openxmlformats.org/officeDocument/2006/relationships/hyperlink" Target="https://titanmotorsports.com/checkouts/do/72d1f58db3fe442a4aecf04c70dc3e76/thank-you" TargetMode="External"/><Relationship Id="rId596" Type="http://schemas.openxmlformats.org/officeDocument/2006/relationships/hyperlink" Target="https://shopify.com/6603702362/account/orders/96fe56496efdf4bd059545f00159ed2a" TargetMode="External"/><Relationship Id="rId111" Type="http://schemas.openxmlformats.org/officeDocument/2006/relationships/hyperlink" Target="https://www.restotuner.com//_api/invoice/8aa6be3b-c03c-4d1f-bf47-6a8e328de66a:b3215904-7366-44ba-a78f-8e43bb6ea766/view?token=d303a9f5-5efa-49cd-8302-0925c0b53e70" TargetMode="External"/><Relationship Id="rId232" Type="http://schemas.openxmlformats.org/officeDocument/2006/relationships/hyperlink" Target="https://www.speedfactoryracing.net/40153088154/orders/05f9c6d32428cda8d05e8d1c5c3ff239" TargetMode="External"/><Relationship Id="rId353" Type="http://schemas.openxmlformats.org/officeDocument/2006/relationships/hyperlink" Target="https://www.jeeppartsoverstock.com/orderStatus.aspx?orderGUID=351C6F91-EEAE-4E17-83BC-14FB3B449A76" TargetMode="External"/><Relationship Id="rId474" Type="http://schemas.openxmlformats.org/officeDocument/2006/relationships/hyperlink" Target="https://docs.google.com/spreadsheets/d/1KC8qNeTWAEj3DFA4iQLHT6CJ2t8BsbbzOrzPSoNRJyw/edit?gid=0" TargetMode="External"/><Relationship Id="rId595" Type="http://schemas.openxmlformats.org/officeDocument/2006/relationships/hyperlink" Target="https://order.ebay.com/ord/show?orderId=14-13708-15951&amp;purchaseOrderId=14-1370-815950" TargetMode="External"/><Relationship Id="rId305" Type="http://schemas.openxmlformats.org/officeDocument/2006/relationships/hyperlink" Target="https://order.ebay.com/ord/show?orderId=08-11507-67098&amp;ssPageName=STRK:MESO:VPS&amp;_trksid=p4429486.m2548.l2673" TargetMode="External"/><Relationship Id="rId426" Type="http://schemas.openxmlformats.org/officeDocument/2006/relationships/hyperlink" Target="https://vw.oempartsonline.com/account/order-details/?token=eyJ0eXAiOiJKV1QiLCJhbGciOiJIUzUxMiJ9.eyJvcmRlcl9udW1iZXIiOiIyOTU4MyIsInVzZXJfZW1haWwiOiJhbGxAdHJpYmVzaGlwcGluZy5jb20ifQ.SOl3WZj6Ufb5-EcKWvjrA9o41SkmsanajEt5yB6uU2-Ln-iaZiJweDlYFPm0cBRU4h1RHJx6waSEBJ6KRZRr5w" TargetMode="External"/><Relationship Id="rId547" Type="http://schemas.openxmlformats.org/officeDocument/2006/relationships/hyperlink" Target="https://www.ecstuning.com/Cart/Receipt-676264337/?customerID=2679329" TargetMode="External"/><Relationship Id="rId668" Type="http://schemas.openxmlformats.org/officeDocument/2006/relationships/hyperlink" Target="https://order.ebay.com/ord/show?orderId=13-14257-55695&amp;purchaseOrderId=13-1425-755694" TargetMode="External"/><Relationship Id="rId304" Type="http://schemas.openxmlformats.org/officeDocument/2006/relationships/hyperlink" Target="https://www.ecstuning.com/MyAccount/Orders/Order-146159099/" TargetMode="External"/><Relationship Id="rId425" Type="http://schemas.openxmlformats.org/officeDocument/2006/relationships/hyperlink" Target="https://www.ecstuning.com/MyAccount/Orders/Order-654493446/" TargetMode="External"/><Relationship Id="rId546" Type="http://schemas.openxmlformats.org/officeDocument/2006/relationships/hyperlink" Target="https://connect.intuit.com/t/scs-v1-3d4b44325f1b469aac9859dab5c3a14ae1553bdc38dd4f6b9fab5548b158c75b1e27674347234d57b93710398c96715d?cta=viewinvoicenow&amp;locale=en_US" TargetMode="External"/><Relationship Id="rId667" Type="http://schemas.openxmlformats.org/officeDocument/2006/relationships/hyperlink" Target="https://docs.google.com/spreadsheets/d/1HYRqxr2ozAdI_n_vrDuXNedlqbGYrsUEBuWiBIB789Q/edit?gid=0" TargetMode="External"/><Relationship Id="rId303" Type="http://schemas.openxmlformats.org/officeDocument/2006/relationships/hyperlink" Target="https://rpmsxs.com/26985332807/orders/a28b972feae08c8a61cb87b36a488b2d" TargetMode="External"/><Relationship Id="rId424" Type="http://schemas.openxmlformats.org/officeDocument/2006/relationships/hyperlink" Target="http://email.support.partzilla.com/c/eJwczjFvhSAQAOBfg6Ph7gBlYHhp49ipe3NPQUlRCGCH_vqmb_6Wb3NPb6UevIOJAEiDoeFws97YPn2YIMwrr4HY6Am8YZyJpFdDdChRAUgrjUZFo8EpzLwhW9IeWAkl211Krn0sXPtvTInHNZ9DckfvpQl6CFwELj3n1Ma7lfbPApc9C1w-K6_fb_kKsZ6Ptcd8fcWr3F3QkmvcX_xxn4LerSJlAGZrtQGlrQStEIfqOCWhZK_x6dsRS4nX_gr8OPwLAAD__8HPSzs" TargetMode="External"/><Relationship Id="rId545" Type="http://schemas.openxmlformats.org/officeDocument/2006/relationships/hyperlink" Target="https://www.amazon.com/gp/your-account/order-details?ie=UTF8&amp;orderID=112-9472624-2608201&amp;ref=ppx_yo2ov_dt_b_fed_order_details" TargetMode="External"/><Relationship Id="rId666" Type="http://schemas.openxmlformats.org/officeDocument/2006/relationships/hyperlink" Target="https://docs.google.com/spreadsheets/d/11fa7oGBORkGOnxcMzXv_mtfOtzbJ-WZChUzt5gp5cn4/edit?gid=0" TargetMode="External"/><Relationship Id="rId302" Type="http://schemas.openxmlformats.org/officeDocument/2006/relationships/hyperlink" Target="https://www.ecstuning.com/MyAccount/Orders/Order-930738486/" TargetMode="External"/><Relationship Id="rId423" Type="http://schemas.openxmlformats.org/officeDocument/2006/relationships/hyperlink" Target="https://www.partzilla.com/order/NDcwNDk4OQ/MTEtNzQ4NDM1Mg/MTRhY2NiYjY1MTk4YzIyMQ" TargetMode="External"/><Relationship Id="rId544" Type="http://schemas.openxmlformats.org/officeDocument/2006/relationships/hyperlink" Target="https://ind-distribution.com/checkouts/cn/hWN2myNtEJSvkluVWkDMXh4b/en-us/thank-you" TargetMode="External"/><Relationship Id="rId665" Type="http://schemas.openxmlformats.org/officeDocument/2006/relationships/hyperlink" Target="https://shopify.com/6603702362/account/orders/268e51c640385008f0222ab2c0631733?locale=en-DE" TargetMode="External"/><Relationship Id="rId309" Type="http://schemas.openxmlformats.org/officeDocument/2006/relationships/hyperlink" Target="https://www.511tactical.com/trackorder/?order=20078370227&amp;email=arraydude@gmail.com&amp;utm_source=zeta&amp;utm_medium=email&amp;utm_campaign=Trigger_US_OrderConfirmation-Guest_Touch-NA_V-May2023&amp;bt_ee=eazMa7fR0Yuz7j7ZDFILNqzLjilRjHDeBYnJpelxXrvk2sM7q9sM%2FVTrJ8GjsYbn&amp;bt_ts=1714682644671" TargetMode="External"/><Relationship Id="rId308" Type="http://schemas.openxmlformats.org/officeDocument/2006/relationships/hyperlink" Target="https://www.aliexpress.com/p/tracking/index.html?_addShare=no&amp;_login=yes&amp;tradeOrderId=8188092299415219" TargetMode="External"/><Relationship Id="rId429" Type="http://schemas.openxmlformats.org/officeDocument/2006/relationships/hyperlink" Target="https://www.getbmwparts.com/account/order?token=eyJ0eXAiOiJKV1QiLCJhbGciOiJIUzUxMiJ9.eyJvcmRlcl9udW1iZXIiOiI0NDE1NDMxMiIsInVzZXJfZW1haWwiOiJlbWlsaWFub0B0cmliZXNoaXBwaW5nLmNvbSJ9.kp9gDMINPorjYRm0Eynecgc1OA7KDPg14e9Wij46x73iRmg0G65pzEbFd5m0VdwQBCK1CSeX8w7WXuyYxh3TZQ" TargetMode="External"/><Relationship Id="rId307" Type="http://schemas.openxmlformats.org/officeDocument/2006/relationships/hyperlink" Target="https://www.aliexpress.com/p/order/detail.html?spm=a2g0o.order_list.order_list_main.1.3de61802PdXdCC&amp;orderId=8188092299415219" TargetMode="External"/><Relationship Id="rId428" Type="http://schemas.openxmlformats.org/officeDocument/2006/relationships/hyperlink" Target="https://order.ebay.com/ord/show?orderId=05-12353-86029&amp;purchaseOrderId=05-1235-386028" TargetMode="External"/><Relationship Id="rId549" Type="http://schemas.openxmlformats.org/officeDocument/2006/relationships/hyperlink" Target="https://www.ecstuning.com/Cart/Receipt-459830585/?customerID=2679329" TargetMode="External"/><Relationship Id="rId306" Type="http://schemas.openxmlformats.org/officeDocument/2006/relationships/hyperlink" Target="https://hawkautoessentials.com/checkouts/co/228dbc6bcc2b75d9d07d4fa3212c5cd5/thank-you" TargetMode="External"/><Relationship Id="rId427" Type="http://schemas.openxmlformats.org/officeDocument/2006/relationships/hyperlink" Target="https://order.ebay.com/ord/show?orderId=23-12329-90742&amp;purchaseOrderId=23-1232-990741" TargetMode="External"/><Relationship Id="rId548" Type="http://schemas.openxmlformats.org/officeDocument/2006/relationships/hyperlink" Target="https://www.ecstuning.com/MyAccount/Orders/Order-676264337/" TargetMode="External"/><Relationship Id="rId669" Type="http://schemas.openxmlformats.org/officeDocument/2006/relationships/hyperlink" Target="https://www.mk3.com/en/orderdetails/245562" TargetMode="External"/><Relationship Id="rId660" Type="http://schemas.openxmlformats.org/officeDocument/2006/relationships/hyperlink" Target="https://www.xhorsetool.com/api_pprest/success.php?OrderSN=VH260202112885" TargetMode="External"/><Relationship Id="rId301" Type="http://schemas.openxmlformats.org/officeDocument/2006/relationships/hyperlink" Target="https://order.ebay.com/ord/show?orderId=24-11491-80072" TargetMode="External"/><Relationship Id="rId422" Type="http://schemas.openxmlformats.org/officeDocument/2006/relationships/hyperlink" Target="https://secure.bimmerworld.com/sbe-dev-kilimanjaro/my_account.ssp?_gl=1*1h3bpfj*_gcl_au*MjY3NTAzMDcyLjE3MzA5ODc2ODk.*_ga*NDA4ODkzNDA4LjE3MzA5ODc2ODc.*_ga_55YTMGEYTR*MTczMDk4NzY4Ny4xLjEuMTczMDk4NzkxNi41Mi4wLjA.&amp;sc=6&amp;_ga=2.102641857.1154520928.1730987689-408893408.1730987687" TargetMode="External"/><Relationship Id="rId543" Type="http://schemas.openxmlformats.org/officeDocument/2006/relationships/hyperlink" Target="https://r44performance.com/checkouts/do/2a4b17cd1afbfea21df4a360398f16db/en-us/thank-you" TargetMode="External"/><Relationship Id="rId664" Type="http://schemas.openxmlformats.org/officeDocument/2006/relationships/hyperlink" Target="https://shopify.com/6603702362/account/orders/268e51c640385008f0222ab2c0631733?locale=en-DE" TargetMode="External"/><Relationship Id="rId300" Type="http://schemas.openxmlformats.org/officeDocument/2006/relationships/hyperlink" Target="https://www.blowsion.com/sales/order/view/order_id/80422/" TargetMode="External"/><Relationship Id="rId421" Type="http://schemas.openxmlformats.org/officeDocument/2006/relationships/hyperlink" Target="https://order.ebay.com/ord/show?orderId=25-12271-17653&amp;purchaseOrderId=25-1227-117652" TargetMode="External"/><Relationship Id="rId542" Type="http://schemas.openxmlformats.org/officeDocument/2006/relationships/hyperlink" Target="https://ind-distribution.com/account/orders/a3a720116fc184f3726361f2f84a1fa9" TargetMode="External"/><Relationship Id="rId663" Type="http://schemas.openxmlformats.org/officeDocument/2006/relationships/hyperlink" Target="http://www.yw56.com.cn/" TargetMode="External"/><Relationship Id="rId420" Type="http://schemas.openxmlformats.org/officeDocument/2006/relationships/hyperlink" Target="https://www.hondapartsnow.com/online/order/detail?orderId=1254038&amp;orderGuid=9a3eab8c-1036-419d-8daa-c0d0514cde85" TargetMode="External"/><Relationship Id="rId541" Type="http://schemas.openxmlformats.org/officeDocument/2006/relationships/hyperlink" Target="https://www.msdignition.com/store/receipt/" TargetMode="External"/><Relationship Id="rId662" Type="http://schemas.openxmlformats.org/officeDocument/2006/relationships/hyperlink" Target="https://vod.ebay.com/vod/FetchOrderDetails?/ViewPaymentStatus&amp;purchaseOrderId=24-1418-154973" TargetMode="External"/><Relationship Id="rId540" Type="http://schemas.openxmlformats.org/officeDocument/2006/relationships/hyperlink" Target="https://autotecknic.com/_t/c/v3/AABjF0pJjbiTV8WM7r_vukiu86ArTERR7YrdKrONQv4UbHB3TKcSvj2TLEfz4vcEF1ZYeulRqO03IacATsUNzmk9Zj-ogL-q1oqkX8YW7kdv8meeLt94kPoxHLQVwiFjI_ZEvDsUGlKbEi2tylBYs44p5HOBgN-QlepbxDwEoEnNEcywk9M8XC42jeHeceBnnM60DQWJgudqgYN8NyFIDUzU-OOxDpIGARgzN3iCkoszcS-h9dP1X-3oOehc6atE8J4NgWzR8oMMF-6pyR3JXSwyBi1hIaamcgupnCPBGzrvHCt0sKlfG7-kcamACQ4k9yhgvN28xPGH2ToPJ8ljyKJWZiJrBxKxl0-CWA_-yrwkV31lrqo=" TargetMode="External"/><Relationship Id="rId661" Type="http://schemas.openxmlformats.org/officeDocument/2006/relationships/hyperlink" Target="https://t.17track.net/en" TargetMode="External"/><Relationship Id="rId415" Type="http://schemas.openxmlformats.org/officeDocument/2006/relationships/hyperlink" Target="https://www.xhorsetool.com/members/order_list.asp" TargetMode="External"/><Relationship Id="rId536" Type="http://schemas.openxmlformats.org/officeDocument/2006/relationships/hyperlink" Target="https://www.ecstuning.com/MyAccount/Orders/Order-763802331/" TargetMode="External"/><Relationship Id="rId657" Type="http://schemas.openxmlformats.org/officeDocument/2006/relationships/hyperlink" Target="https://www.uhs-hardware.com/checkouts/cn/hWN8K8gH20hhebwpKrcy9gxO/en/thank-you?_r=AQABob0ebndqvmyKmyg9f8kSP9pLPKMnHG27cWLk0juo5PQ" TargetMode="External"/><Relationship Id="rId414" Type="http://schemas.openxmlformats.org/officeDocument/2006/relationships/hyperlink" Target="https://order.ebay.com/ord/show?orderId=27-12163-44672&amp;purchaseOrderId=27-1216-344671" TargetMode="External"/><Relationship Id="rId535" Type="http://schemas.openxmlformats.org/officeDocument/2006/relationships/hyperlink" Target="https://order.ebay.com/ord/show?orderId=02-13534-35046&amp;purchaseOrderId=02-1353-435045" TargetMode="External"/><Relationship Id="rId656" Type="http://schemas.openxmlformats.org/officeDocument/2006/relationships/hyperlink" Target="https://www.ecstuning.com/Cart/Receipt-974618676/?customerID=2679329" TargetMode="External"/><Relationship Id="rId413" Type="http://schemas.openxmlformats.org/officeDocument/2006/relationships/hyperlink" Target="https://www.aliexpress.com/p/order/detail.html?spm=a2g0o.order_list.order_list_main.1.6aa91802wtr5Rm&amp;orderId=8194351819615219" TargetMode="External"/><Relationship Id="rId534" Type="http://schemas.openxmlformats.org/officeDocument/2006/relationships/hyperlink" Target="https://shopify.com/6762364997/account/orders/cd7441e8828e98df07985b004a0ab7ae" TargetMode="External"/><Relationship Id="rId655" Type="http://schemas.openxmlformats.org/officeDocument/2006/relationships/hyperlink" Target="https://checkout.bootmod3.com/checkouts/cn/hWN7pXZB7SKHJ8pLgCuQuI7k/en-us/thank-you?_r=AQABI4lwGdAaAfqsEzUwMOUpvlyiSvXHWPmLMbqwEra8Vwc" TargetMode="External"/><Relationship Id="rId412" Type="http://schemas.openxmlformats.org/officeDocument/2006/relationships/hyperlink" Target="https://tools.usps.com/go/TrackConfirmAction?qtc_tLabels1=9405536106028138116012" TargetMode="External"/><Relationship Id="rId533" Type="http://schemas.openxmlformats.org/officeDocument/2006/relationships/hyperlink" Target="https://order.ebay.com/ord/show?orderId=23-13481-20923&amp;ssPageName=STRK:MESO:VPS&amp;_trksid=p4429486.m2548.l2673" TargetMode="External"/><Relationship Id="rId654" Type="http://schemas.openxmlformats.org/officeDocument/2006/relationships/hyperlink" Target="https://www.ecstuning.com/Cart/Receipt-957722897/?customerID=2679329" TargetMode="External"/><Relationship Id="rId419" Type="http://schemas.openxmlformats.org/officeDocument/2006/relationships/hyperlink" Target="https://order.ebay.com/ord/show?orderId=27-12243-82769&amp;purchaseOrderId=27-1224-382768" TargetMode="External"/><Relationship Id="rId418" Type="http://schemas.openxmlformats.org/officeDocument/2006/relationships/hyperlink" Target="https://www.hondapartsnow.com/online/order/detail?orderId=1248411&amp;orderGuid=9a3eab8c-1036-419d-8daa-c0d0514cde85" TargetMode="External"/><Relationship Id="rId539" Type="http://schemas.openxmlformats.org/officeDocument/2006/relationships/hyperlink" Target="https://autotecknic.com/account/orders/5d735be923a4be9127c10bddd69622ed" TargetMode="External"/><Relationship Id="rId417" Type="http://schemas.openxmlformats.org/officeDocument/2006/relationships/hyperlink" Target="https://order.ebay.com/ord/show?itemId=186688757682&amp;transactionId=2587878148008&amp;mkevt=1&amp;mkpid=0&amp;emsid=e11400.m144670.l152615&amp;mkcid=7&amp;ch=osgood&amp;euid=e9a0e1d028674be4b8d7ec484b7a8aba&amp;bu=43795160990&amp;exe=0&amp;ext=0&amp;osub=-1%7E1&amp;crd=20241014074123&amp;segname=11400" TargetMode="External"/><Relationship Id="rId538" Type="http://schemas.openxmlformats.org/officeDocument/2006/relationships/hyperlink" Target="https://titanmotorsports.com/checkouts/do/87a60928ac7c8ef120145dab1aed7d8f/en-de/thank-you" TargetMode="External"/><Relationship Id="rId659" Type="http://schemas.openxmlformats.org/officeDocument/2006/relationships/hyperlink" Target="https://t.17track.net/en" TargetMode="External"/><Relationship Id="rId416" Type="http://schemas.openxmlformats.org/officeDocument/2006/relationships/hyperlink" Target="https://t.17track.net/en" TargetMode="External"/><Relationship Id="rId537" Type="http://schemas.openxmlformats.org/officeDocument/2006/relationships/hyperlink" Target="https://blowsion.com/checkouts/do/b693a564b25a6da1914eb5fc68e23dd4/en-us/thank-you" TargetMode="External"/><Relationship Id="rId658" Type="http://schemas.openxmlformats.org/officeDocument/2006/relationships/hyperlink" Target="https://www.cgdishop.com/app/order_tracking.asp" TargetMode="External"/><Relationship Id="rId411" Type="http://schemas.openxmlformats.org/officeDocument/2006/relationships/hyperlink" Target="https://order.ebay.com/ord/show?orderId=05-12187-17512&amp;purchaseOrderId=05-1218-717511" TargetMode="External"/><Relationship Id="rId532" Type="http://schemas.openxmlformats.org/officeDocument/2006/relationships/hyperlink" Target="https://order.ebay.com/ord/show?orderId=25-13425-73362&amp;purchaseOrderId=25-1342-573361" TargetMode="External"/><Relationship Id="rId653" Type="http://schemas.openxmlformats.org/officeDocument/2006/relationships/hyperlink" Target="https://shopify.com/8902048/account/orders/3f8744ed77d6dba63880781f49ec24ab?locale=en-US" TargetMode="External"/><Relationship Id="rId410" Type="http://schemas.openxmlformats.org/officeDocument/2006/relationships/hyperlink" Target="https://order.ebay.com/ord/show?orderId=15-12176-06432&amp;purchaseOrderId=15-1217-606430" TargetMode="External"/><Relationship Id="rId531" Type="http://schemas.openxmlformats.org/officeDocument/2006/relationships/hyperlink" Target="https://www.bmwpartsdeal.com/online/order/summary?orderId=261934&amp;orderGuid=fe68a369-9160-49f1-b9d1-39f03ba363a9" TargetMode="External"/><Relationship Id="rId652" Type="http://schemas.openxmlformats.org/officeDocument/2006/relationships/hyperlink" Target="http://www.auspost.com.au/" TargetMode="External"/><Relationship Id="rId530" Type="http://schemas.openxmlformats.org/officeDocument/2006/relationships/hyperlink" Target="https://order.ebay.com/ord/show?orderId=01-13449-90023&amp;ssPageName=STRK:MESO:VPS&amp;_trksid=p4429486.m2548.l2673" TargetMode="External"/><Relationship Id="rId651" Type="http://schemas.openxmlformats.org/officeDocument/2006/relationships/hyperlink" Target="https://www.moustas4d.com/product/raptorledpanel/SHRLAEM7NSHE5OF745YGLRDB?cs=true&amp;cst=custom" TargetMode="External"/><Relationship Id="rId650" Type="http://schemas.openxmlformats.org/officeDocument/2006/relationships/hyperlink" Target="https://www.summitracing.com/account/orders/5035887/eeeebafa-d1c8-4758-9059-63af6b20111e" TargetMode="External"/><Relationship Id="rId206" Type="http://schemas.openxmlformats.org/officeDocument/2006/relationships/hyperlink" Target="https://order.ebay.com/ord/show?orderId=14-11066-34260" TargetMode="External"/><Relationship Id="rId327" Type="http://schemas.openxmlformats.org/officeDocument/2006/relationships/hyperlink" Target="https://order.ebay.com/ord/show?orderId=12-11600-09278" TargetMode="External"/><Relationship Id="rId448" Type="http://schemas.openxmlformats.org/officeDocument/2006/relationships/hyperlink" Target="https://order.ebay.com/ord/show?orderId=06-12482-51284&amp;purchaseOrderId=06-1248-251283" TargetMode="External"/><Relationship Id="rId569" Type="http://schemas.openxmlformats.org/officeDocument/2006/relationships/hyperlink" Target="https://ind-distribution.com/checkouts/cn/hWN3O9k1C1ipy8WxIONm7Af3/en-us/thank-you" TargetMode="External"/><Relationship Id="rId205" Type="http://schemas.openxmlformats.org/officeDocument/2006/relationships/hyperlink" Target="https://order.ebay.com/ord/show?orderId=01-11054-01125" TargetMode="External"/><Relationship Id="rId326" Type="http://schemas.openxmlformats.org/officeDocument/2006/relationships/hyperlink" Target="https://trello.com/c/O7c6Pxn3" TargetMode="External"/><Relationship Id="rId447" Type="http://schemas.openxmlformats.org/officeDocument/2006/relationships/hyperlink" Target="https://order.ebay.com/ord/show?orderId=14-12473-13762&amp;purchaseOrderId=14-1247-313761" TargetMode="External"/><Relationship Id="rId568" Type="http://schemas.openxmlformats.org/officeDocument/2006/relationships/hyperlink" Target="https://vod.ebay.com/vod/FetchOrderDetails?/ViewPaymentStatus&amp;purchaseOrderId=14-1361-712111" TargetMode="External"/><Relationship Id="rId204" Type="http://schemas.openxmlformats.org/officeDocument/2006/relationships/hyperlink" Target="https://www.ecstuning.com/MyAccount/Orders/Order-469303618/" TargetMode="External"/><Relationship Id="rId325" Type="http://schemas.openxmlformats.org/officeDocument/2006/relationships/hyperlink" Target="https://www.turnermotorsport.com/Cart/Receipt-903225857/?customerID=4094710" TargetMode="External"/><Relationship Id="rId446" Type="http://schemas.openxmlformats.org/officeDocument/2006/relationships/hyperlink" Target="https://order.ebay.com/ord/show?orderId=11-12474-25453&amp;purchaseOrderId=11-1247-425452" TargetMode="External"/><Relationship Id="rId567" Type="http://schemas.openxmlformats.org/officeDocument/2006/relationships/hyperlink" Target="https://vod.ebay.com/vod/FetchOrderDetails?/ViewPaymentStatus&amp;purchaseOrderId=22-1360-617527" TargetMode="External"/><Relationship Id="rId203" Type="http://schemas.openxmlformats.org/officeDocument/2006/relationships/hyperlink" Target="https://order.ebay.com/ord/show?orderId=18-11016-18773" TargetMode="External"/><Relationship Id="rId324" Type="http://schemas.openxmlformats.org/officeDocument/2006/relationships/hyperlink" Target="https://order.ebay.com/ord/show?/ViewPaymentStatus&amp;purchaseOrderId=05-1160-759867" TargetMode="External"/><Relationship Id="rId445" Type="http://schemas.openxmlformats.org/officeDocument/2006/relationships/hyperlink" Target="https://www.yuntrack.com/parcelTracking?id=YT2435821266013293" TargetMode="External"/><Relationship Id="rId566" Type="http://schemas.openxmlformats.org/officeDocument/2006/relationships/hyperlink" Target="https://docs.google.com/spreadsheets/d/1h8-_NBg-14VEosYJ5IS1ZbS7bD5l5fvkOygAMk_zuDY/edit?gid=0" TargetMode="External"/><Relationship Id="rId209" Type="http://schemas.openxmlformats.org/officeDocument/2006/relationships/hyperlink" Target="https://biz.alibaba.com/ta/detail.htm?spm=a2756.trade-list-buyer.0.0.a15076e9BDSNfQ&amp;&amp;orderId=198914907501022057&amp;aru=9e49f53b1f101f5e1e008200b600570064656661756c74&amp;tracelog=from_orderlist_dropdown&amp;from=timeline" TargetMode="External"/><Relationship Id="rId208" Type="http://schemas.openxmlformats.org/officeDocument/2006/relationships/hyperlink" Target="https://www.getbmwparts.com/account/order?token=eyJ0eXAiOiJKV1QiLCJhbGciOiJIUzUxMiJ9.eyJvcmRlcl9udW1iZXIiOiI0NDEzNjczNyIsInVzZXJfZW1haWwiOiJlbWlsaWFub0B0cmliZXNoaXBwaW5nLmNvbSJ9.Q6PCdlBB56RAQvdKvyG66Fqhqpp1LvJ49JVGrm96bIASkb7T5A-6xYOphfGmeX2CpalRXyBXSq51sewb5EvBGA" TargetMode="External"/><Relationship Id="rId329" Type="http://schemas.openxmlformats.org/officeDocument/2006/relationships/hyperlink" Target="https://www.aliexpress.com/p/order/detail.html?spm=a2g0o.order_list.order_list_main.1.6bfa1802SDUdjo&amp;orderId=8188840622525219" TargetMode="External"/><Relationship Id="rId207" Type="http://schemas.openxmlformats.org/officeDocument/2006/relationships/hyperlink" Target="https://www.ecstuning.com/Cart/Receipt-383384670/?customerID=2679329" TargetMode="External"/><Relationship Id="rId328" Type="http://schemas.openxmlformats.org/officeDocument/2006/relationships/hyperlink" Target="https://shopify.com/50515378365/account/orders/5701478940921" TargetMode="External"/><Relationship Id="rId449" Type="http://schemas.openxmlformats.org/officeDocument/2006/relationships/hyperlink" Target="https://www.amazon.com/gp/your-account/order-details/ref=ppx_yo_dt_b_order_details_o00?ie=UTF8&amp;orderID=112-2817091-6854610" TargetMode="External"/><Relationship Id="rId440" Type="http://schemas.openxmlformats.org/officeDocument/2006/relationships/hyperlink" Target="https://tools.usps.com/go/TrackConfirmAction?qtc_tLabels1=9400111105502558820261" TargetMode="External"/><Relationship Id="rId561" Type="http://schemas.openxmlformats.org/officeDocument/2006/relationships/hyperlink" Target="https://account.r44performance.com/orders/e7a4770522044b6e4dff70ec89990992" TargetMode="External"/><Relationship Id="rId560" Type="http://schemas.openxmlformats.org/officeDocument/2006/relationships/hyperlink" Target="https://mercteil.com/account/orders" TargetMode="External"/><Relationship Id="rId202" Type="http://schemas.openxmlformats.org/officeDocument/2006/relationships/hyperlink" Target="https://order.ebay.com/ord/show?orderId=22-11011-71367" TargetMode="External"/><Relationship Id="rId323" Type="http://schemas.openxmlformats.org/officeDocument/2006/relationships/hyperlink" Target="https://order.ebay.com/ord/show?orderId=19-11590-29988" TargetMode="External"/><Relationship Id="rId444" Type="http://schemas.openxmlformats.org/officeDocument/2006/relationships/hyperlink" Target="https://order.ebay.com/ord/show?orderId=12-12471-28290&amp;purchaseOrderId=12-1247-128289" TargetMode="External"/><Relationship Id="rId565" Type="http://schemas.openxmlformats.org/officeDocument/2006/relationships/hyperlink" Target="https://docs.google.com/spreadsheets/d/1h8-_NBg-14VEosYJ5IS1ZbS7bD5l5fvkOygAMk_zuDY/edit?gid=0" TargetMode="External"/><Relationship Id="rId201" Type="http://schemas.openxmlformats.org/officeDocument/2006/relationships/hyperlink" Target="https://4pistonracing.com/34348007561/orders/454d3781f9ec025b4a9e0eff7e8c337f" TargetMode="External"/><Relationship Id="rId322" Type="http://schemas.openxmlformats.org/officeDocument/2006/relationships/hyperlink" Target="https://order.ebay.com/ord/show?/ViewPaymentStatus&amp;purchaseOrderId=07-1158-413683" TargetMode="External"/><Relationship Id="rId443" Type="http://schemas.openxmlformats.org/officeDocument/2006/relationships/hyperlink" Target="https://order.ebay.com/ord/show?orderId=10-12473-19539&amp;purchaseOrderId=10-1247-319538" TargetMode="External"/><Relationship Id="rId564" Type="http://schemas.openxmlformats.org/officeDocument/2006/relationships/hyperlink" Target="https://docs.google.com/spreadsheets/d/1_3vbL_Qaktba6iD6f1yY6HDH3jGnok6miN0q6kp8tu0/edit?gid=0" TargetMode="External"/><Relationship Id="rId200" Type="http://schemas.openxmlformats.org/officeDocument/2006/relationships/hyperlink" Target="https://www.dhl.de/en/privatkunden/pakete-empfangen/verfolgen.html?lang=de&amp;idc=CD252304630DE&amp;rfn=&amp;extendedSearch=true" TargetMode="External"/><Relationship Id="rId321" Type="http://schemas.openxmlformats.org/officeDocument/2006/relationships/hyperlink" Target="https://www.hondapartsnow.com/online/order/summary?orderId=1159568&amp;orderGuid=9a3eab8c-1036-419d-8daa-c0d0514cde85" TargetMode="External"/><Relationship Id="rId442" Type="http://schemas.openxmlformats.org/officeDocument/2006/relationships/hyperlink" Target="https://thenorthface.narvar.com/thenorthfacenora/tracking/fedex?tracking_numbers=431389395343&amp;order_number=A7228589&amp;service=FG&amp;ozip=93291&amp;dzip=33166&amp;order_date=20241202T17:12-0500&amp;ship_date=20241203&amp;utm_source=sfmc&amp;utm_medium=email&amp;utm_campaign=PROD_TNF_1.0_1.5_Order_Shipment_US_CA+_V2.0&amp;utm_content=%%%3dRedirectTo(%40tracking_URL)%3d%%&amp;sid=226379468&amp;email=YWxsQHRyaWJlc2hpcHBpbmcuY29t&amp;j=163107&amp;sfmc_sub=226379468&amp;l=16_HTML&amp;u=6477910&amp;mid=514007132&amp;jb=63373" TargetMode="External"/><Relationship Id="rId563" Type="http://schemas.openxmlformats.org/officeDocument/2006/relationships/hyperlink" Target="https://docs.google.com/spreadsheets/d/1_3vbL_Qaktba6iD6f1yY6HDH3jGnok6miN0q6kp8tu0/edit?gid=0" TargetMode="External"/><Relationship Id="rId320" Type="http://schemas.openxmlformats.org/officeDocument/2006/relationships/hyperlink" Target="https://order.ebay.com/ord/show?orderId=22-11563-51684" TargetMode="External"/><Relationship Id="rId441" Type="http://schemas.openxmlformats.org/officeDocument/2006/relationships/hyperlink" Target="https://order.ebay.com/ord/show?itemId=405146083829&amp;transactionId=1282043001027&amp;mkevt=1&amp;mkpid=0&amp;emsid=e11400.m144671.l152967&amp;mkcid=7&amp;ch=osgood&amp;euid=7eff1eecc3e548d3a0cece175df5a109&amp;bu=43795160990&amp;exe=0&amp;ext=0&amp;osub=-1%7E1&amp;crd=20241202151813&amp;segname=11400" TargetMode="External"/><Relationship Id="rId562" Type="http://schemas.openxmlformats.org/officeDocument/2006/relationships/hyperlink" Target="https://shopify.com/6603702362/account/orders/9b1502894141b0c2392eb235e66a8547" TargetMode="External"/><Relationship Id="rId316" Type="http://schemas.openxmlformats.org/officeDocument/2006/relationships/hyperlink" Target="https://order.ebay.com/ord/show?orderId=21-11555-20891" TargetMode="External"/><Relationship Id="rId437" Type="http://schemas.openxmlformats.org/officeDocument/2006/relationships/hyperlink" Target="https://vod.ebay.com/vod/FetchOrderDetails?/ViewPaymentStatus&amp;purchaseOrderId=19-1237-632446" TargetMode="External"/><Relationship Id="rId558" Type="http://schemas.openxmlformats.org/officeDocument/2006/relationships/hyperlink" Target="https://www.megazip.net/order/642336-7" TargetMode="External"/><Relationship Id="rId315" Type="http://schemas.openxmlformats.org/officeDocument/2006/relationships/hyperlink" Target="https://order.ebay.com/ord/show?orderId=18-11558-19019" TargetMode="External"/><Relationship Id="rId436" Type="http://schemas.openxmlformats.org/officeDocument/2006/relationships/hyperlink" Target="https://vod.ebay.com/vod/FetchOrderDetails?/ViewPaymentStatus&amp;purchaseOrderId=12-1238-416713" TargetMode="External"/><Relationship Id="rId557" Type="http://schemas.openxmlformats.org/officeDocument/2006/relationships/hyperlink" Target="https://ind-distribution.com/checkouts/cn/hWN35fMaZwxvjQwsFRRcRyyX/en-us/thank-you" TargetMode="External"/><Relationship Id="rId314" Type="http://schemas.openxmlformats.org/officeDocument/2006/relationships/hyperlink" Target="https://order.ebay.com/ord/show?orderId=14-11561-75709" TargetMode="External"/><Relationship Id="rId435" Type="http://schemas.openxmlformats.org/officeDocument/2006/relationships/hyperlink" Target="https://www.hondapartsnow.com/online/order/detail?orderId=1266867&amp;orderGuid=9a3eab8c-1036-419d-8daa-c0d0514cde85" TargetMode="External"/><Relationship Id="rId556" Type="http://schemas.openxmlformats.org/officeDocument/2006/relationships/hyperlink" Target="https://docs.google.com/spreadsheets/d/1FYlDFz8zq6Z8KJ-xUejX-QnkWur8pDi0O7IK-87CiKc/edit?gid=0" TargetMode="External"/><Relationship Id="rId313" Type="http://schemas.openxmlformats.org/officeDocument/2006/relationships/hyperlink" Target="https://www.amazon.com/gp/your-account/order-details/ref=ppx_yo_dt_b_order_details_o00?ie=UTF8&amp;orderID=112-5995184-7122661" TargetMode="External"/><Relationship Id="rId434" Type="http://schemas.openxmlformats.org/officeDocument/2006/relationships/hyperlink" Target="https://www.megazip.net/order/642336-2" TargetMode="External"/><Relationship Id="rId555" Type="http://schemas.openxmlformats.org/officeDocument/2006/relationships/hyperlink" Target="https://docs.google.com/spreadsheets/d/1Lgz-QSVVxHo05Suf62ypOI83DkZ654fKN8YMIQkWqbg/edit?gid=0" TargetMode="External"/><Relationship Id="rId319" Type="http://schemas.openxmlformats.org/officeDocument/2006/relationships/hyperlink" Target="https://order.ebay.com/ord/show?/ViewPaymentStatus&amp;purchaseOrderId=10-1157-691827" TargetMode="External"/><Relationship Id="rId318" Type="http://schemas.openxmlformats.org/officeDocument/2006/relationships/hyperlink" Target="https://order.ebay.com/ord/show?/ViewPaymentStatus&amp;purchaseOrderId=08-1157-470425" TargetMode="External"/><Relationship Id="rId439" Type="http://schemas.openxmlformats.org/officeDocument/2006/relationships/hyperlink" Target="https://order.ebay.com/ord/show?itemId=202558466029&amp;transactionId=2332486540010&amp;mkevt=1&amp;mkpid=0&amp;emsid=e11400.m144670.l152615&amp;mkcid=7&amp;ch=osgood&amp;euid=a7b1d17a1a254c098ec2bdc254f20c97&amp;bu=43795160990&amp;exe=0&amp;ext=0&amp;osub=-1%7E1&amp;crd=20241202151624&amp;segname=11400" TargetMode="External"/><Relationship Id="rId317" Type="http://schemas.openxmlformats.org/officeDocument/2006/relationships/hyperlink" Target="https://order.ebay.com/ord/show?orderId=11-11567-78254" TargetMode="External"/><Relationship Id="rId438" Type="http://schemas.openxmlformats.org/officeDocument/2006/relationships/hyperlink" Target="https://www.amazon.com/gp/your-account/order-details/ref=ppx_yo_dt_b_order_details_o00?ie=UTF8&amp;orderID=111-1625433-3169027" TargetMode="External"/><Relationship Id="rId559" Type="http://schemas.openxmlformats.org/officeDocument/2006/relationships/hyperlink" Target="https://www.ecstuning.com/Cart/Receipt-005233095/?customerID=2679329" TargetMode="External"/><Relationship Id="rId550" Type="http://schemas.openxmlformats.org/officeDocument/2006/relationships/hyperlink" Target="https://order.ebay.com/ord/show?itemId=166516555748&amp;transactionId=10075630545714&amp;mkevt=1&amp;mkpid=0&amp;emsid=e11400.m144670.l152615&amp;mkcid=7&amp;ch=osgood&amp;euid=84f5b0023c4c475498230da713394086&amp;bu=43795160990&amp;osub=-1%7E1&amp;crd=20250918151153&amp;segname=11400" TargetMode="External"/><Relationship Id="rId671" Type="http://schemas.openxmlformats.org/officeDocument/2006/relationships/vmlDrawing" Target="../drawings/vmlDrawing1.vml"/><Relationship Id="rId670" Type="http://schemas.openxmlformats.org/officeDocument/2006/relationships/drawing" Target="../drawings/drawing1.xml"/><Relationship Id="rId312" Type="http://schemas.openxmlformats.org/officeDocument/2006/relationships/hyperlink" Target="https://www.amazon.com/gp/your-account/order-details/ref=ppx_yo_dt_b_order_details_o01?ie=UTF8&amp;orderID=112-5708244-4420212" TargetMode="External"/><Relationship Id="rId433" Type="http://schemas.openxmlformats.org/officeDocument/2006/relationships/hyperlink" Target="https://vod.ebay.com/vod/FetchOrderDetails?/ViewPaymentStatus&amp;purchaseOrderId=27-1236-371688" TargetMode="External"/><Relationship Id="rId554" Type="http://schemas.openxmlformats.org/officeDocument/2006/relationships/hyperlink" Target="https://docs.google.com/spreadsheets/d/1XCzQW8-SXuJ6LZH7LCyygC3ipUYy5NoQKztIrDgl-GU/edit?gid=0" TargetMode="External"/><Relationship Id="rId311" Type="http://schemas.openxmlformats.org/officeDocument/2006/relationships/hyperlink" Target="https://order.ebay.com/ord/show?orderId=21-11525-16699" TargetMode="External"/><Relationship Id="rId432" Type="http://schemas.openxmlformats.org/officeDocument/2006/relationships/hyperlink" Target="https://www.partzilla.com/order/NDc0MDMxNw/MTEtNzUzNzAzMg/YzZlZjdjZjQwZTUyZGEwNA" TargetMode="External"/><Relationship Id="rId553" Type="http://schemas.openxmlformats.org/officeDocument/2006/relationships/hyperlink" Target="https://order.ebay.com/ord/show?orderId=09-13597-92697&amp;purchaseOrderId=09-1359-792696" TargetMode="External"/><Relationship Id="rId310" Type="http://schemas.openxmlformats.org/officeDocument/2006/relationships/hyperlink" Target="https://www.ecstuning.com/MyAccount/Orders/Order-723121832/" TargetMode="External"/><Relationship Id="rId431" Type="http://schemas.openxmlformats.org/officeDocument/2006/relationships/hyperlink" Target="https://order.ebay.com/ord/show?orderId=20-12371-56004&amp;purchaseOrderId=20-1237-156003" TargetMode="External"/><Relationship Id="rId552" Type="http://schemas.openxmlformats.org/officeDocument/2006/relationships/hyperlink" Target="https://order.ebay.com/ord/show?orderId=02-13607-75648&amp;purchaseOrderId=02-1360-775647" TargetMode="External"/><Relationship Id="rId430" Type="http://schemas.openxmlformats.org/officeDocument/2006/relationships/hyperlink" Target="https://www.mk3.com/en/customer/orderdetails/MK241125196799" TargetMode="External"/><Relationship Id="rId551" Type="http://schemas.openxmlformats.org/officeDocument/2006/relationships/hyperlink" Target="https://order.ebay.com/ord/show?orderId=27-13573-49881&amp;purchaseOrderId=27-1357-34988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UBBClj8sny4R1jxKv5Un9DQwWfh5SWW_Ed6XUqymXXw/edit?gid=0" TargetMode="External"/><Relationship Id="rId3" Type="http://schemas.openxmlformats.org/officeDocument/2006/relationships/hyperlink" Target="https://docs.google.com/spreadsheets/d/1E9Nkmxld7JsGPDnVueJ3AtuUA3x-UkkhJvtgKDSgcPk/edit?gid=0" TargetMode="External"/><Relationship Id="rId4" Type="http://schemas.openxmlformats.org/officeDocument/2006/relationships/hyperlink" Target="https://docs.google.com/spreadsheets/u/1/d/1XCzQW8-SXuJ6LZH7LCyygC3ipUYy5NoQKztIrDgl-GU/edit" TargetMode="External"/><Relationship Id="rId9" Type="http://schemas.openxmlformats.org/officeDocument/2006/relationships/hyperlink" Target="https://docs.google.com/spreadsheets/d/1aZIKxI5qp7zKvSM2fSnhph6aKsxJz8o_kpXyIFS6JA4/edit?gid=0" TargetMode="External"/><Relationship Id="rId5" Type="http://schemas.openxmlformats.org/officeDocument/2006/relationships/hyperlink" Target="https://docs.google.com/spreadsheets/d/1Lgz-QSVVxHo05Suf62ypOI83DkZ654fKN8YMIQkWqbg/edit?gid=0" TargetMode="External"/><Relationship Id="rId6" Type="http://schemas.openxmlformats.org/officeDocument/2006/relationships/hyperlink" Target="https://docs.google.com/spreadsheets/d/1FYlDFz8zq6Z8KJ-xUejX-QnkWur8pDi0O7IK-87CiKc/edit?gid=0" TargetMode="External"/><Relationship Id="rId7" Type="http://schemas.openxmlformats.org/officeDocument/2006/relationships/hyperlink" Target="https://docs.google.com/spreadsheets/d/1_3vbL_Qaktba6iD6f1yY6HDH3jGnok6miN0q6kp8tu0/edit?gid=0" TargetMode="External"/><Relationship Id="rId8" Type="http://schemas.openxmlformats.org/officeDocument/2006/relationships/hyperlink" Target="https://docs.google.com/spreadsheets/d/1h8-_NBg-14VEosYJ5IS1ZbS7bD5l5fvkOygAMk_zuDY/edit?gid=0" TargetMode="External"/><Relationship Id="rId20" Type="http://schemas.openxmlformats.org/officeDocument/2006/relationships/drawing" Target="../drawings/drawing3.xml"/><Relationship Id="rId21" Type="http://schemas.openxmlformats.org/officeDocument/2006/relationships/vmlDrawing" Target="../drawings/vmlDrawing2.vml"/><Relationship Id="rId11" Type="http://schemas.openxmlformats.org/officeDocument/2006/relationships/hyperlink" Target="https://docs.google.com/spreadsheets/d/1BjG3PyAeyMXhGp3OFMBZBHFt6xHkb9W9QWRq1eRHyd4/edit?gid=0" TargetMode="External"/><Relationship Id="rId10" Type="http://schemas.openxmlformats.org/officeDocument/2006/relationships/hyperlink" Target="https://docs.google.com/spreadsheets/d/1Ucmuy1jQIMd_wrjEm5J5gSY0ojGPXkH5e4zWrmlvcN8/edit?usp=sharing" TargetMode="External"/><Relationship Id="rId13" Type="http://schemas.openxmlformats.org/officeDocument/2006/relationships/hyperlink" Target="https://docs.google.com/spreadsheets/d/1FiCeQ5LdKcI8ErGWodqMxjfzKk9Gt7GJi5GG4SoqJck/edit?gid=0" TargetMode="External"/><Relationship Id="rId12" Type="http://schemas.openxmlformats.org/officeDocument/2006/relationships/hyperlink" Target="https://docs.google.com/spreadsheets/d/1U5xJBYZSg3wTG4m4jc-vxp4pdf9GP_SlETohhbddzmE/edit?gid=0" TargetMode="External"/><Relationship Id="rId15" Type="http://schemas.openxmlformats.org/officeDocument/2006/relationships/hyperlink" Target="https://docs.google.com/spreadsheets/d/15sgty8cs9zgThz3FhToWRbeA2dIDo5motI9FD7RJJR8/edit?gid=0" TargetMode="External"/><Relationship Id="rId14" Type="http://schemas.openxmlformats.org/officeDocument/2006/relationships/hyperlink" Target="https://docs.google.com/spreadsheets/d/1U44xX50jcGTIHkpNg1UDoDdwzZXU0EJl2TDlUN2P7Co/edit?gid=0" TargetMode="External"/><Relationship Id="rId17" Type="http://schemas.openxmlformats.org/officeDocument/2006/relationships/hyperlink" Target="https://docs.google.com/spreadsheets/d/1OPcnErykApJPlwVqR_9yx3CGck9qJLKylx5QiGNgCZA/edit?gid=0" TargetMode="External"/><Relationship Id="rId16" Type="http://schemas.openxmlformats.org/officeDocument/2006/relationships/hyperlink" Target="https://docs.google.com/spreadsheets/d/1j0fH7T7J5TzYZ5J5v_bnwoMz7hcqc1wvbViXgi1IKN8/edit?gid=0" TargetMode="External"/><Relationship Id="rId19" Type="http://schemas.openxmlformats.org/officeDocument/2006/relationships/hyperlink" Target="https://docs.google.com/spreadsheets/d/11fa7oGBORkGOnxcMzXv_mtfOtzbJ-WZChUzt5gp5cn4/edit?gid=0" TargetMode="External"/><Relationship Id="rId18" Type="http://schemas.openxmlformats.org/officeDocument/2006/relationships/hyperlink" Target="https://docs.google.com/spreadsheets/d/1HYRqxr2ozAdI_n_vrDuXNedlqbGYrsUEBuWiBIB789Q/edit?gid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2kcmSxjE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Col="1"/>
  <cols>
    <col customWidth="1" min="1" max="1" width="9.57"/>
    <col customWidth="1" min="2" max="2" width="25.86"/>
    <col customWidth="1" min="3" max="3" width="42.14"/>
    <col customWidth="1" hidden="1" min="4" max="4" width="20.57" outlineLevel="1"/>
    <col customWidth="1" hidden="1" min="5" max="5" width="54.43" outlineLevel="1"/>
    <col collapsed="1" customWidth="1" min="6" max="6" width="28.86"/>
    <col customWidth="1" min="7" max="7" width="20.86"/>
    <col customWidth="1" hidden="1" min="8" max="8" width="21.57" outlineLevel="1"/>
    <col customWidth="1" hidden="1" min="9" max="9" width="19.71" outlineLevel="1"/>
    <col collapsed="1" customWidth="1" min="10" max="10" width="15.14"/>
    <col customWidth="1" min="11" max="12" width="16.0"/>
    <col customWidth="1" min="13" max="13" width="22.0" outlineLevel="1"/>
    <col customWidth="1" min="14" max="14" width="12.43" outlineLevel="1"/>
    <col customWidth="1" min="15" max="15" width="18.0" outlineLevel="1"/>
    <col collapsed="1" customWidth="1" min="16" max="16" width="13.57"/>
    <col customWidth="1" min="17" max="17" width="18.0" outlineLevel="1"/>
    <col customWidth="1" min="18" max="18" width="12.43"/>
    <col customWidth="1" min="19" max="19" width="194.71"/>
    <col customWidth="1" min="20" max="20" width="64.57"/>
    <col customWidth="1" min="21" max="33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3" t="s">
        <v>15</v>
      </c>
      <c r="Q1" s="7" t="s">
        <v>16</v>
      </c>
      <c r="R1" s="2" t="s">
        <v>17</v>
      </c>
      <c r="S1" s="2" t="s">
        <v>18</v>
      </c>
      <c r="T1" s="3" t="s">
        <v>19</v>
      </c>
    </row>
    <row r="2">
      <c r="A2" s="8" t="s">
        <v>20</v>
      </c>
      <c r="B2" s="9" t="s">
        <v>21</v>
      </c>
      <c r="C2" s="10" t="s">
        <v>22</v>
      </c>
      <c r="D2" s="8">
        <v>1.0</v>
      </c>
      <c r="E2" s="11" t="s">
        <v>23</v>
      </c>
      <c r="F2" s="12">
        <v>600.0</v>
      </c>
      <c r="G2" s="13">
        <v>45009.0</v>
      </c>
      <c r="H2" s="14">
        <v>183.51</v>
      </c>
      <c r="I2" s="15">
        <v>185.35</v>
      </c>
      <c r="J2" s="12">
        <f t="shared" ref="J2:J4" si="1">I2+(I2*0.04)</f>
        <v>192.764</v>
      </c>
      <c r="K2" s="15">
        <v>160.0</v>
      </c>
      <c r="L2" s="16"/>
      <c r="M2" s="8" t="s">
        <v>24</v>
      </c>
      <c r="N2" s="8" t="s">
        <v>25</v>
      </c>
      <c r="O2" s="8"/>
      <c r="P2" s="12">
        <f t="shared" ref="P2:P70" si="2">F2-(J2+K2)</f>
        <v>247.236</v>
      </c>
      <c r="Q2" s="8"/>
      <c r="R2" s="8" t="s">
        <v>25</v>
      </c>
      <c r="S2" s="8" t="s">
        <v>26</v>
      </c>
      <c r="T2" s="8" t="s">
        <v>27</v>
      </c>
    </row>
    <row r="3">
      <c r="A3" s="8" t="s">
        <v>20</v>
      </c>
      <c r="B3" s="9" t="s">
        <v>21</v>
      </c>
      <c r="C3" s="10" t="s">
        <v>28</v>
      </c>
      <c r="D3" s="17">
        <v>1.0</v>
      </c>
      <c r="E3" s="18" t="s">
        <v>29</v>
      </c>
      <c r="F3" s="12">
        <v>210.0</v>
      </c>
      <c r="G3" s="13">
        <v>45014.0</v>
      </c>
      <c r="H3" s="15">
        <v>32.2</v>
      </c>
      <c r="I3" s="15">
        <v>32.52</v>
      </c>
      <c r="J3" s="12">
        <f t="shared" si="1"/>
        <v>33.8208</v>
      </c>
      <c r="K3" s="15">
        <v>40.0</v>
      </c>
      <c r="L3" s="16"/>
      <c r="M3" s="8" t="s">
        <v>24</v>
      </c>
      <c r="N3" s="8" t="s">
        <v>25</v>
      </c>
      <c r="O3" s="8"/>
      <c r="P3" s="12">
        <f t="shared" si="2"/>
        <v>136.1792</v>
      </c>
      <c r="Q3" s="8"/>
      <c r="R3" s="8" t="s">
        <v>25</v>
      </c>
      <c r="S3" s="8" t="s">
        <v>30</v>
      </c>
      <c r="T3" s="8" t="s">
        <v>27</v>
      </c>
    </row>
    <row r="4">
      <c r="A4" s="8" t="s">
        <v>20</v>
      </c>
      <c r="B4" s="9" t="s">
        <v>31</v>
      </c>
      <c r="C4" s="10" t="s">
        <v>32</v>
      </c>
      <c r="D4" s="8">
        <v>1.0</v>
      </c>
      <c r="E4" s="19"/>
      <c r="F4" s="12">
        <v>265.0</v>
      </c>
      <c r="G4" s="20"/>
      <c r="H4" s="15">
        <v>158.9</v>
      </c>
      <c r="I4" s="15">
        <v>160.49</v>
      </c>
      <c r="J4" s="12">
        <f t="shared" si="1"/>
        <v>166.9096</v>
      </c>
      <c r="K4" s="15">
        <v>40.0</v>
      </c>
      <c r="L4" s="16"/>
      <c r="M4" s="8" t="s">
        <v>24</v>
      </c>
      <c r="N4" s="8" t="s">
        <v>25</v>
      </c>
      <c r="O4" s="8"/>
      <c r="P4" s="12">
        <f t="shared" si="2"/>
        <v>58.0904</v>
      </c>
      <c r="Q4" s="8"/>
      <c r="R4" s="8" t="s">
        <v>25</v>
      </c>
      <c r="S4" s="8" t="s">
        <v>33</v>
      </c>
      <c r="T4" s="8" t="s">
        <v>27</v>
      </c>
    </row>
    <row r="5">
      <c r="A5" s="8" t="s">
        <v>20</v>
      </c>
      <c r="B5" s="9" t="s">
        <v>34</v>
      </c>
      <c r="C5" s="10" t="s">
        <v>35</v>
      </c>
      <c r="D5" s="8">
        <v>1.0</v>
      </c>
      <c r="E5" s="19"/>
      <c r="F5" s="21">
        <v>55.0</v>
      </c>
      <c r="G5" s="22"/>
      <c r="H5" s="23"/>
      <c r="I5" s="15">
        <v>0.0</v>
      </c>
      <c r="J5" s="15">
        <v>0.0</v>
      </c>
      <c r="K5" s="15">
        <v>40.0</v>
      </c>
      <c r="L5" s="16"/>
      <c r="M5" s="8" t="s">
        <v>24</v>
      </c>
      <c r="N5" s="8" t="s">
        <v>25</v>
      </c>
      <c r="O5" s="8"/>
      <c r="P5" s="12">
        <f t="shared" si="2"/>
        <v>15</v>
      </c>
      <c r="Q5" s="8"/>
      <c r="R5" s="8" t="s">
        <v>25</v>
      </c>
      <c r="S5" s="8" t="s">
        <v>36</v>
      </c>
      <c r="T5" s="8" t="s">
        <v>27</v>
      </c>
    </row>
    <row r="6">
      <c r="A6" s="8" t="s">
        <v>20</v>
      </c>
      <c r="B6" s="9" t="s">
        <v>37</v>
      </c>
      <c r="C6" s="10" t="s">
        <v>38</v>
      </c>
      <c r="D6" s="8">
        <v>1.0</v>
      </c>
      <c r="E6" s="19"/>
      <c r="F6" s="15">
        <v>0.0</v>
      </c>
      <c r="G6" s="20"/>
      <c r="H6" s="12"/>
      <c r="I6" s="12"/>
      <c r="J6" s="12">
        <f t="shared" ref="J6:J25" si="3">I6+(I6*0.04)</f>
        <v>0</v>
      </c>
      <c r="K6" s="15">
        <v>0.0</v>
      </c>
      <c r="L6" s="16"/>
      <c r="M6" s="8" t="s">
        <v>24</v>
      </c>
      <c r="N6" s="8" t="s">
        <v>25</v>
      </c>
      <c r="O6" s="8"/>
      <c r="P6" s="12">
        <f t="shared" si="2"/>
        <v>0</v>
      </c>
      <c r="Q6" s="8"/>
      <c r="R6" s="8" t="s">
        <v>25</v>
      </c>
      <c r="S6" s="8" t="s">
        <v>39</v>
      </c>
      <c r="T6" s="8" t="s">
        <v>27</v>
      </c>
    </row>
    <row r="7">
      <c r="A7" s="8" t="s">
        <v>20</v>
      </c>
      <c r="B7" s="9" t="s">
        <v>21</v>
      </c>
      <c r="C7" s="10" t="s">
        <v>40</v>
      </c>
      <c r="D7" s="8">
        <v>1.0</v>
      </c>
      <c r="E7" s="11" t="s">
        <v>41</v>
      </c>
      <c r="F7" s="12">
        <v>90.0</v>
      </c>
      <c r="G7" s="13">
        <v>45009.0</v>
      </c>
      <c r="H7" s="15">
        <v>42.75</v>
      </c>
      <c r="I7" s="15">
        <v>43.18</v>
      </c>
      <c r="J7" s="12">
        <f t="shared" si="3"/>
        <v>44.9072</v>
      </c>
      <c r="K7" s="15">
        <v>40.0</v>
      </c>
      <c r="L7" s="16"/>
      <c r="M7" s="8" t="s">
        <v>24</v>
      </c>
      <c r="N7" s="8" t="s">
        <v>25</v>
      </c>
      <c r="O7" s="8"/>
      <c r="P7" s="12">
        <f t="shared" si="2"/>
        <v>5.0928</v>
      </c>
      <c r="Q7" s="8"/>
      <c r="R7" s="8" t="s">
        <v>25</v>
      </c>
      <c r="S7" s="8" t="s">
        <v>42</v>
      </c>
      <c r="T7" s="8" t="s">
        <v>27</v>
      </c>
    </row>
    <row r="8">
      <c r="A8" s="8" t="s">
        <v>20</v>
      </c>
      <c r="B8" s="9" t="s">
        <v>43</v>
      </c>
      <c r="C8" s="10" t="s">
        <v>44</v>
      </c>
      <c r="D8" s="24">
        <v>1.0</v>
      </c>
      <c r="E8" s="11" t="s">
        <v>45</v>
      </c>
      <c r="F8" s="12">
        <v>900.0</v>
      </c>
      <c r="G8" s="13"/>
      <c r="H8" s="15">
        <v>426.91</v>
      </c>
      <c r="I8" s="15">
        <v>431.18</v>
      </c>
      <c r="J8" s="12">
        <f t="shared" si="3"/>
        <v>448.4272</v>
      </c>
      <c r="K8" s="15">
        <v>225.0</v>
      </c>
      <c r="L8" s="16"/>
      <c r="M8" s="8" t="s">
        <v>24</v>
      </c>
      <c r="N8" s="8" t="s">
        <v>25</v>
      </c>
      <c r="O8" s="8"/>
      <c r="P8" s="12">
        <f t="shared" si="2"/>
        <v>226.5728</v>
      </c>
      <c r="Q8" s="8"/>
      <c r="R8" s="8" t="s">
        <v>25</v>
      </c>
      <c r="S8" s="8" t="s">
        <v>46</v>
      </c>
      <c r="T8" s="8" t="s">
        <v>27</v>
      </c>
    </row>
    <row r="9">
      <c r="A9" s="8" t="s">
        <v>20</v>
      </c>
      <c r="B9" s="9" t="s">
        <v>43</v>
      </c>
      <c r="C9" s="10" t="s">
        <v>47</v>
      </c>
      <c r="D9" s="24">
        <v>1.0</v>
      </c>
      <c r="E9" s="25" t="s">
        <v>48</v>
      </c>
      <c r="F9" s="12">
        <v>720.0</v>
      </c>
      <c r="G9" s="13"/>
      <c r="H9" s="15">
        <v>293.08</v>
      </c>
      <c r="I9" s="15">
        <v>296.01</v>
      </c>
      <c r="J9" s="12">
        <f t="shared" si="3"/>
        <v>307.8504</v>
      </c>
      <c r="K9" s="15">
        <v>225.0</v>
      </c>
      <c r="L9" s="16"/>
      <c r="M9" s="8" t="s">
        <v>24</v>
      </c>
      <c r="N9" s="8" t="s">
        <v>25</v>
      </c>
      <c r="O9" s="8"/>
      <c r="P9" s="12">
        <f t="shared" si="2"/>
        <v>187.1496</v>
      </c>
      <c r="Q9" s="8"/>
      <c r="R9" s="8" t="s">
        <v>25</v>
      </c>
      <c r="S9" s="8" t="s">
        <v>49</v>
      </c>
      <c r="T9" s="8" t="s">
        <v>27</v>
      </c>
    </row>
    <row r="10">
      <c r="A10" s="8" t="s">
        <v>20</v>
      </c>
      <c r="B10" s="9" t="s">
        <v>43</v>
      </c>
      <c r="C10" s="10" t="s">
        <v>50</v>
      </c>
      <c r="D10" s="24">
        <v>1.0</v>
      </c>
      <c r="E10" s="11" t="s">
        <v>51</v>
      </c>
      <c r="F10" s="15">
        <v>260.0</v>
      </c>
      <c r="G10" s="13">
        <v>45016.0</v>
      </c>
      <c r="H10" s="15">
        <v>87.12</v>
      </c>
      <c r="I10" s="15">
        <v>87.99</v>
      </c>
      <c r="J10" s="12">
        <f t="shared" si="3"/>
        <v>91.5096</v>
      </c>
      <c r="K10" s="15">
        <v>80.0</v>
      </c>
      <c r="L10" s="16"/>
      <c r="M10" s="8" t="s">
        <v>24</v>
      </c>
      <c r="N10" s="8" t="s">
        <v>25</v>
      </c>
      <c r="O10" s="8"/>
      <c r="P10" s="12">
        <f t="shared" si="2"/>
        <v>88.4904</v>
      </c>
      <c r="Q10" s="8"/>
      <c r="R10" s="8" t="s">
        <v>25</v>
      </c>
      <c r="S10" s="8" t="s">
        <v>52</v>
      </c>
      <c r="T10" s="8" t="s">
        <v>27</v>
      </c>
    </row>
    <row r="11">
      <c r="A11" s="8" t="s">
        <v>20</v>
      </c>
      <c r="B11" s="9" t="s">
        <v>43</v>
      </c>
      <c r="C11" s="10" t="s">
        <v>53</v>
      </c>
      <c r="D11" s="24">
        <v>1.0</v>
      </c>
      <c r="E11" s="11" t="s">
        <v>54</v>
      </c>
      <c r="F11" s="12">
        <v>2270.0</v>
      </c>
      <c r="G11" s="26"/>
      <c r="H11" s="15">
        <v>1064.31</v>
      </c>
      <c r="I11" s="15">
        <v>1064.31</v>
      </c>
      <c r="J11" s="12">
        <f t="shared" si="3"/>
        <v>1106.8824</v>
      </c>
      <c r="K11" s="15">
        <v>525.0</v>
      </c>
      <c r="L11" s="16"/>
      <c r="M11" s="8" t="s">
        <v>24</v>
      </c>
      <c r="N11" s="8" t="s">
        <v>25</v>
      </c>
      <c r="O11" s="8"/>
      <c r="P11" s="12">
        <f t="shared" si="2"/>
        <v>638.1176</v>
      </c>
      <c r="Q11" s="8"/>
      <c r="R11" s="8" t="s">
        <v>25</v>
      </c>
      <c r="S11" s="8" t="s">
        <v>55</v>
      </c>
      <c r="T11" s="8" t="s">
        <v>27</v>
      </c>
    </row>
    <row r="12">
      <c r="A12" s="8" t="s">
        <v>20</v>
      </c>
      <c r="B12" s="9" t="s">
        <v>43</v>
      </c>
      <c r="C12" s="10" t="s">
        <v>56</v>
      </c>
      <c r="D12" s="24">
        <v>1.0</v>
      </c>
      <c r="E12" s="11" t="s">
        <v>57</v>
      </c>
      <c r="F12" s="12">
        <v>150.0</v>
      </c>
      <c r="G12" s="13"/>
      <c r="H12" s="15">
        <v>110.01</v>
      </c>
      <c r="I12" s="15">
        <v>111.11</v>
      </c>
      <c r="J12" s="12">
        <f t="shared" si="3"/>
        <v>115.5544</v>
      </c>
      <c r="K12" s="15">
        <v>13.0</v>
      </c>
      <c r="L12" s="16"/>
      <c r="M12" s="8" t="s">
        <v>24</v>
      </c>
      <c r="N12" s="8" t="s">
        <v>25</v>
      </c>
      <c r="O12" s="8"/>
      <c r="P12" s="12">
        <f t="shared" si="2"/>
        <v>21.4456</v>
      </c>
      <c r="Q12" s="8"/>
      <c r="R12" s="8" t="s">
        <v>25</v>
      </c>
      <c r="S12" s="8" t="s">
        <v>58</v>
      </c>
      <c r="T12" s="8" t="s">
        <v>27</v>
      </c>
    </row>
    <row r="13">
      <c r="A13" s="8" t="s">
        <v>20</v>
      </c>
      <c r="B13" s="8" t="s">
        <v>59</v>
      </c>
      <c r="C13" s="9" t="s">
        <v>60</v>
      </c>
      <c r="D13" s="8">
        <v>1.0</v>
      </c>
      <c r="E13" s="11" t="s">
        <v>61</v>
      </c>
      <c r="F13" s="15">
        <v>0.0</v>
      </c>
      <c r="G13" s="20"/>
      <c r="H13" s="12"/>
      <c r="I13" s="15">
        <v>0.0</v>
      </c>
      <c r="J13" s="12">
        <f t="shared" si="3"/>
        <v>0</v>
      </c>
      <c r="K13" s="15">
        <v>120.0</v>
      </c>
      <c r="L13" s="16"/>
      <c r="M13" s="8" t="s">
        <v>24</v>
      </c>
      <c r="N13" s="8" t="s">
        <v>25</v>
      </c>
      <c r="O13" s="8"/>
      <c r="P13" s="12">
        <f t="shared" si="2"/>
        <v>-120</v>
      </c>
      <c r="Q13" s="8"/>
      <c r="R13" s="8" t="s">
        <v>25</v>
      </c>
      <c r="S13" s="8" t="s">
        <v>62</v>
      </c>
      <c r="T13" s="8" t="s">
        <v>27</v>
      </c>
    </row>
    <row r="14">
      <c r="A14" s="8" t="s">
        <v>20</v>
      </c>
      <c r="B14" s="8" t="s">
        <v>63</v>
      </c>
      <c r="C14" s="9" t="s">
        <v>64</v>
      </c>
      <c r="D14" s="8">
        <v>1.0</v>
      </c>
      <c r="E14" s="8" t="s">
        <v>65</v>
      </c>
      <c r="F14" s="15">
        <v>220.0</v>
      </c>
      <c r="G14" s="20"/>
      <c r="H14" s="15">
        <v>0.0</v>
      </c>
      <c r="I14" s="15">
        <v>0.0</v>
      </c>
      <c r="J14" s="12">
        <f t="shared" si="3"/>
        <v>0</v>
      </c>
      <c r="K14" s="15">
        <v>180.0</v>
      </c>
      <c r="L14" s="16"/>
      <c r="M14" s="8" t="s">
        <v>24</v>
      </c>
      <c r="N14" s="8" t="s">
        <v>25</v>
      </c>
      <c r="O14" s="8"/>
      <c r="P14" s="12">
        <f t="shared" si="2"/>
        <v>40</v>
      </c>
      <c r="Q14" s="8"/>
      <c r="R14" s="8" t="s">
        <v>25</v>
      </c>
      <c r="S14" s="8" t="s">
        <v>66</v>
      </c>
      <c r="T14" s="8" t="s">
        <v>27</v>
      </c>
    </row>
    <row r="15">
      <c r="A15" s="8" t="s">
        <v>20</v>
      </c>
      <c r="B15" s="8" t="s">
        <v>67</v>
      </c>
      <c r="C15" s="27" t="s">
        <v>68</v>
      </c>
      <c r="D15" s="8">
        <v>1.0</v>
      </c>
      <c r="E15" s="28" t="s">
        <v>69</v>
      </c>
      <c r="F15" s="15">
        <v>1100.0</v>
      </c>
      <c r="G15" s="13">
        <v>45026.0</v>
      </c>
      <c r="H15" s="15">
        <v>368.98</v>
      </c>
      <c r="I15" s="15">
        <v>372.67</v>
      </c>
      <c r="J15" s="12">
        <f t="shared" si="3"/>
        <v>387.5768</v>
      </c>
      <c r="K15" s="15">
        <v>480.0</v>
      </c>
      <c r="L15" s="16"/>
      <c r="M15" s="8" t="s">
        <v>24</v>
      </c>
      <c r="N15" s="8" t="s">
        <v>25</v>
      </c>
      <c r="O15" s="8"/>
      <c r="P15" s="12">
        <f t="shared" si="2"/>
        <v>232.4232</v>
      </c>
      <c r="Q15" s="8"/>
      <c r="R15" s="8" t="s">
        <v>25</v>
      </c>
      <c r="S15" s="8" t="s">
        <v>70</v>
      </c>
      <c r="T15" s="8" t="s">
        <v>27</v>
      </c>
    </row>
    <row r="16">
      <c r="A16" s="8" t="s">
        <v>20</v>
      </c>
      <c r="B16" s="8" t="s">
        <v>71</v>
      </c>
      <c r="C16" s="9" t="s">
        <v>72</v>
      </c>
      <c r="D16" s="8">
        <v>1.0</v>
      </c>
      <c r="E16" s="8" t="s">
        <v>73</v>
      </c>
      <c r="F16" s="15">
        <v>295.0</v>
      </c>
      <c r="G16" s="20"/>
      <c r="H16" s="15">
        <v>117.7</v>
      </c>
      <c r="I16" s="15">
        <v>118.88</v>
      </c>
      <c r="J16" s="12">
        <f t="shared" si="3"/>
        <v>123.6352</v>
      </c>
      <c r="K16" s="15">
        <v>30.0</v>
      </c>
      <c r="L16" s="16"/>
      <c r="M16" s="8" t="s">
        <v>24</v>
      </c>
      <c r="N16" s="8" t="s">
        <v>25</v>
      </c>
      <c r="O16" s="8"/>
      <c r="P16" s="12">
        <f t="shared" si="2"/>
        <v>141.3648</v>
      </c>
      <c r="Q16" s="8"/>
      <c r="R16" s="8" t="s">
        <v>25</v>
      </c>
      <c r="S16" s="8" t="s">
        <v>74</v>
      </c>
      <c r="T16" s="8" t="s">
        <v>27</v>
      </c>
    </row>
    <row r="17">
      <c r="A17" s="8" t="s">
        <v>20</v>
      </c>
      <c r="B17" s="8" t="s">
        <v>71</v>
      </c>
      <c r="C17" s="9" t="s">
        <v>75</v>
      </c>
      <c r="D17" s="8">
        <v>1.0</v>
      </c>
      <c r="E17" s="29" t="s">
        <v>76</v>
      </c>
      <c r="F17" s="15">
        <v>225.0</v>
      </c>
      <c r="G17" s="20"/>
      <c r="H17" s="15">
        <v>105.41</v>
      </c>
      <c r="I17" s="15">
        <v>106.46</v>
      </c>
      <c r="J17" s="12">
        <f t="shared" si="3"/>
        <v>110.7184</v>
      </c>
      <c r="K17" s="15">
        <v>40.0</v>
      </c>
      <c r="L17" s="16"/>
      <c r="M17" s="8" t="s">
        <v>24</v>
      </c>
      <c r="N17" s="8" t="s">
        <v>25</v>
      </c>
      <c r="O17" s="8"/>
      <c r="P17" s="12">
        <f t="shared" si="2"/>
        <v>74.2816</v>
      </c>
      <c r="Q17" s="8"/>
      <c r="R17" s="8" t="s">
        <v>25</v>
      </c>
      <c r="S17" s="8" t="s">
        <v>77</v>
      </c>
      <c r="T17" s="8" t="s">
        <v>27</v>
      </c>
    </row>
    <row r="18">
      <c r="A18" s="8" t="s">
        <v>20</v>
      </c>
      <c r="B18" s="8" t="s">
        <v>71</v>
      </c>
      <c r="C18" s="9" t="s">
        <v>78</v>
      </c>
      <c r="D18" s="8">
        <v>1.0</v>
      </c>
      <c r="E18" s="29" t="s">
        <v>79</v>
      </c>
      <c r="F18" s="15">
        <v>5924.0</v>
      </c>
      <c r="G18" s="20"/>
      <c r="H18" s="15">
        <v>3560.0</v>
      </c>
      <c r="I18" s="15">
        <v>3595.6</v>
      </c>
      <c r="J18" s="12">
        <f t="shared" si="3"/>
        <v>3739.424</v>
      </c>
      <c r="K18" s="15">
        <v>640.0</v>
      </c>
      <c r="L18" s="16"/>
      <c r="M18" s="8" t="s">
        <v>24</v>
      </c>
      <c r="N18" s="8" t="s">
        <v>25</v>
      </c>
      <c r="O18" s="8"/>
      <c r="P18" s="12">
        <f t="shared" si="2"/>
        <v>1544.576</v>
      </c>
      <c r="Q18" s="8"/>
      <c r="R18" s="8" t="s">
        <v>25</v>
      </c>
      <c r="S18" s="30" t="s">
        <v>80</v>
      </c>
      <c r="T18" s="8" t="s">
        <v>27</v>
      </c>
    </row>
    <row r="19">
      <c r="A19" s="8" t="s">
        <v>20</v>
      </c>
      <c r="B19" s="8" t="s">
        <v>71</v>
      </c>
      <c r="C19" s="9" t="s">
        <v>81</v>
      </c>
      <c r="D19" s="8">
        <v>1.0</v>
      </c>
      <c r="E19" s="29" t="s">
        <v>82</v>
      </c>
      <c r="F19" s="15">
        <v>2375.0</v>
      </c>
      <c r="G19" s="13">
        <v>45028.0</v>
      </c>
      <c r="H19" s="15">
        <v>778.97</v>
      </c>
      <c r="I19" s="15">
        <v>780.0</v>
      </c>
      <c r="J19" s="12">
        <f t="shared" si="3"/>
        <v>811.2</v>
      </c>
      <c r="K19" s="15">
        <v>745.0</v>
      </c>
      <c r="L19" s="16"/>
      <c r="M19" s="8" t="s">
        <v>24</v>
      </c>
      <c r="N19" s="8" t="s">
        <v>25</v>
      </c>
      <c r="O19" s="8"/>
      <c r="P19" s="12">
        <f t="shared" si="2"/>
        <v>818.8</v>
      </c>
      <c r="Q19" s="8"/>
      <c r="R19" s="8" t="s">
        <v>25</v>
      </c>
      <c r="S19" s="8" t="s">
        <v>83</v>
      </c>
      <c r="T19" s="8" t="s">
        <v>27</v>
      </c>
    </row>
    <row r="20">
      <c r="A20" s="8" t="s">
        <v>20</v>
      </c>
      <c r="B20" s="8" t="s">
        <v>84</v>
      </c>
      <c r="C20" s="9" t="s">
        <v>85</v>
      </c>
      <c r="D20" s="8">
        <v>1.0</v>
      </c>
      <c r="E20" s="29" t="s">
        <v>86</v>
      </c>
      <c r="F20" s="15">
        <v>160.0</v>
      </c>
      <c r="G20" s="13">
        <v>45030.0</v>
      </c>
      <c r="H20" s="15">
        <v>107.0</v>
      </c>
      <c r="I20" s="15">
        <v>108.07</v>
      </c>
      <c r="J20" s="12">
        <f t="shared" si="3"/>
        <v>112.3928</v>
      </c>
      <c r="K20" s="15">
        <v>13.0</v>
      </c>
      <c r="L20" s="16"/>
      <c r="M20" s="8" t="s">
        <v>24</v>
      </c>
      <c r="N20" s="8" t="s">
        <v>25</v>
      </c>
      <c r="O20" s="8"/>
      <c r="P20" s="12">
        <f t="shared" si="2"/>
        <v>34.6072</v>
      </c>
      <c r="Q20" s="8"/>
      <c r="R20" s="8" t="s">
        <v>25</v>
      </c>
      <c r="S20" s="8" t="s">
        <v>87</v>
      </c>
      <c r="T20" s="8" t="s">
        <v>27</v>
      </c>
    </row>
    <row r="21" ht="15.75" customHeight="1">
      <c r="A21" s="8" t="s">
        <v>20</v>
      </c>
      <c r="B21" s="8" t="s">
        <v>71</v>
      </c>
      <c r="C21" s="9" t="s">
        <v>88</v>
      </c>
      <c r="D21" s="8" t="s">
        <v>89</v>
      </c>
      <c r="E21" s="29" t="s">
        <v>90</v>
      </c>
      <c r="F21" s="15">
        <v>10120.0</v>
      </c>
      <c r="G21" s="13">
        <v>45029.0</v>
      </c>
      <c r="H21" s="15">
        <v>5103.0</v>
      </c>
      <c r="I21" s="15">
        <v>5154.68</v>
      </c>
      <c r="J21" s="12">
        <f t="shared" si="3"/>
        <v>5360.8672</v>
      </c>
      <c r="K21" s="15">
        <v>2200.0</v>
      </c>
      <c r="L21" s="16"/>
      <c r="M21" s="8" t="s">
        <v>24</v>
      </c>
      <c r="N21" s="8" t="s">
        <v>25</v>
      </c>
      <c r="O21" s="8"/>
      <c r="P21" s="12">
        <f t="shared" si="2"/>
        <v>2559.1328</v>
      </c>
      <c r="Q21" s="8"/>
      <c r="R21" s="8" t="s">
        <v>25</v>
      </c>
      <c r="S21" s="8" t="s">
        <v>91</v>
      </c>
      <c r="T21" s="8" t="s">
        <v>27</v>
      </c>
    </row>
    <row r="22" ht="15.75" customHeight="1">
      <c r="A22" s="8" t="s">
        <v>20</v>
      </c>
      <c r="B22" s="8" t="s">
        <v>71</v>
      </c>
      <c r="C22" s="9" t="s">
        <v>92</v>
      </c>
      <c r="D22" s="8">
        <v>1.0</v>
      </c>
      <c r="E22" s="29" t="s">
        <v>93</v>
      </c>
      <c r="F22" s="15">
        <v>2600.0</v>
      </c>
      <c r="G22" s="13">
        <v>45034.0</v>
      </c>
      <c r="H22" s="15">
        <v>1710.93</v>
      </c>
      <c r="I22" s="15">
        <v>1728.04</v>
      </c>
      <c r="J22" s="12">
        <f t="shared" si="3"/>
        <v>1797.1616</v>
      </c>
      <c r="K22" s="15">
        <v>120.0</v>
      </c>
      <c r="L22" s="16"/>
      <c r="M22" s="8" t="s">
        <v>24</v>
      </c>
      <c r="N22" s="8" t="s">
        <v>25</v>
      </c>
      <c r="O22" s="8"/>
      <c r="P22" s="12">
        <f t="shared" si="2"/>
        <v>682.8384</v>
      </c>
      <c r="Q22" s="8"/>
      <c r="R22" s="8" t="s">
        <v>25</v>
      </c>
      <c r="S22" s="11" t="s">
        <v>94</v>
      </c>
      <c r="T22" s="8" t="s">
        <v>27</v>
      </c>
    </row>
    <row r="23" ht="15.75" customHeight="1">
      <c r="A23" s="8" t="s">
        <v>20</v>
      </c>
      <c r="B23" s="8" t="s">
        <v>95</v>
      </c>
      <c r="C23" s="9" t="s">
        <v>96</v>
      </c>
      <c r="D23" s="8">
        <v>1.0</v>
      </c>
      <c r="E23" s="29" t="s">
        <v>97</v>
      </c>
      <c r="F23" s="15">
        <v>418.0</v>
      </c>
      <c r="G23" s="13">
        <v>45035.0</v>
      </c>
      <c r="H23" s="15">
        <v>261.62</v>
      </c>
      <c r="I23" s="15">
        <v>264.24</v>
      </c>
      <c r="J23" s="12">
        <f t="shared" si="3"/>
        <v>274.8096</v>
      </c>
      <c r="K23" s="15">
        <v>100.0</v>
      </c>
      <c r="L23" s="16"/>
      <c r="M23" s="8" t="s">
        <v>24</v>
      </c>
      <c r="N23" s="8" t="s">
        <v>25</v>
      </c>
      <c r="O23" s="8"/>
      <c r="P23" s="12">
        <f t="shared" si="2"/>
        <v>43.1904</v>
      </c>
      <c r="Q23" s="8"/>
      <c r="R23" s="8" t="s">
        <v>25</v>
      </c>
      <c r="S23" s="25" t="s">
        <v>98</v>
      </c>
      <c r="T23" s="8" t="s">
        <v>27</v>
      </c>
    </row>
    <row r="24" ht="15.75" customHeight="1">
      <c r="A24" s="8" t="s">
        <v>20</v>
      </c>
      <c r="B24" s="8" t="s">
        <v>71</v>
      </c>
      <c r="C24" s="9" t="s">
        <v>99</v>
      </c>
      <c r="D24" s="8">
        <v>1.0</v>
      </c>
      <c r="E24" s="28" t="s">
        <v>100</v>
      </c>
      <c r="F24" s="15">
        <v>422.0</v>
      </c>
      <c r="G24" s="13">
        <v>45036.0</v>
      </c>
      <c r="H24" s="15">
        <v>107.0</v>
      </c>
      <c r="I24" s="15">
        <v>108.07</v>
      </c>
      <c r="J24" s="12">
        <f t="shared" si="3"/>
        <v>112.3928</v>
      </c>
      <c r="K24" s="15">
        <v>10.0</v>
      </c>
      <c r="L24" s="16"/>
      <c r="M24" s="8" t="s">
        <v>24</v>
      </c>
      <c r="N24" s="8" t="s">
        <v>25</v>
      </c>
      <c r="O24" s="8"/>
      <c r="P24" s="12">
        <f t="shared" si="2"/>
        <v>299.6072</v>
      </c>
      <c r="Q24" s="8"/>
      <c r="R24" s="8" t="s">
        <v>25</v>
      </c>
      <c r="S24" s="24" t="s">
        <v>101</v>
      </c>
      <c r="T24" s="8" t="s">
        <v>27</v>
      </c>
    </row>
    <row r="25" ht="15.75" customHeight="1">
      <c r="A25" s="8" t="s">
        <v>20</v>
      </c>
      <c r="B25" s="8" t="s">
        <v>102</v>
      </c>
      <c r="C25" s="9" t="s">
        <v>103</v>
      </c>
      <c r="D25" s="8">
        <v>1.0</v>
      </c>
      <c r="E25" s="8"/>
      <c r="F25" s="15">
        <v>0.0</v>
      </c>
      <c r="G25" s="13">
        <v>45036.0</v>
      </c>
      <c r="H25" s="15">
        <v>390.99</v>
      </c>
      <c r="I25" s="15">
        <v>398.03</v>
      </c>
      <c r="J25" s="12">
        <f t="shared" si="3"/>
        <v>413.9512</v>
      </c>
      <c r="K25" s="15">
        <v>0.0</v>
      </c>
      <c r="L25" s="16"/>
      <c r="M25" s="8" t="s">
        <v>24</v>
      </c>
      <c r="N25" s="8" t="s">
        <v>25</v>
      </c>
      <c r="O25" s="8"/>
      <c r="P25" s="12">
        <f t="shared" si="2"/>
        <v>-413.9512</v>
      </c>
      <c r="Q25" s="8"/>
      <c r="R25" s="8" t="s">
        <v>25</v>
      </c>
      <c r="S25" s="25" t="s">
        <v>104</v>
      </c>
      <c r="T25" s="8" t="s">
        <v>27</v>
      </c>
    </row>
    <row r="26" ht="15.75" customHeight="1">
      <c r="A26" s="8" t="s">
        <v>20</v>
      </c>
      <c r="B26" s="8" t="s">
        <v>105</v>
      </c>
      <c r="C26" s="9" t="s">
        <v>106</v>
      </c>
      <c r="D26" s="8">
        <v>5.0</v>
      </c>
      <c r="E26" s="11" t="s">
        <v>107</v>
      </c>
      <c r="F26" s="15">
        <v>605.0</v>
      </c>
      <c r="G26" s="13">
        <v>45040.0</v>
      </c>
      <c r="H26" s="15">
        <v>202.05</v>
      </c>
      <c r="I26" s="15">
        <v>218.35</v>
      </c>
      <c r="J26" s="15">
        <v>0.0</v>
      </c>
      <c r="K26" s="15">
        <v>40.0</v>
      </c>
      <c r="L26" s="16"/>
      <c r="M26" s="8" t="s">
        <v>24</v>
      </c>
      <c r="N26" s="8" t="s">
        <v>25</v>
      </c>
      <c r="O26" s="8"/>
      <c r="P26" s="12">
        <f t="shared" si="2"/>
        <v>565</v>
      </c>
      <c r="Q26" s="8"/>
      <c r="R26" s="8" t="s">
        <v>25</v>
      </c>
      <c r="S26" s="24" t="s">
        <v>108</v>
      </c>
      <c r="T26" s="8" t="s">
        <v>27</v>
      </c>
    </row>
    <row r="27" ht="15.75" customHeight="1">
      <c r="A27" s="8" t="s">
        <v>20</v>
      </c>
      <c r="B27" s="8" t="s">
        <v>105</v>
      </c>
      <c r="C27" s="9" t="s">
        <v>109</v>
      </c>
      <c r="D27" s="8">
        <v>5.0</v>
      </c>
      <c r="E27" s="11" t="s">
        <v>110</v>
      </c>
      <c r="F27" s="15"/>
      <c r="G27" s="13">
        <v>45040.0</v>
      </c>
      <c r="H27" s="15">
        <v>107.45</v>
      </c>
      <c r="I27" s="15">
        <v>118.48</v>
      </c>
      <c r="J27" s="15">
        <v>0.0</v>
      </c>
      <c r="K27" s="15">
        <v>20.0</v>
      </c>
      <c r="L27" s="16"/>
      <c r="M27" s="8" t="s">
        <v>24</v>
      </c>
      <c r="N27" s="8" t="s">
        <v>25</v>
      </c>
      <c r="O27" s="8"/>
      <c r="P27" s="12">
        <f t="shared" si="2"/>
        <v>-20</v>
      </c>
      <c r="Q27" s="8"/>
      <c r="R27" s="8" t="s">
        <v>25</v>
      </c>
      <c r="S27" s="24" t="s">
        <v>111</v>
      </c>
      <c r="T27" s="8" t="s">
        <v>27</v>
      </c>
    </row>
    <row r="28" ht="15.75" customHeight="1">
      <c r="A28" s="8" t="s">
        <v>20</v>
      </c>
      <c r="B28" s="8" t="s">
        <v>105</v>
      </c>
      <c r="C28" s="9" t="s">
        <v>112</v>
      </c>
      <c r="D28" s="8">
        <v>5.0</v>
      </c>
      <c r="E28" s="11" t="s">
        <v>113</v>
      </c>
      <c r="F28" s="15"/>
      <c r="G28" s="13">
        <v>45040.0</v>
      </c>
      <c r="H28" s="15">
        <v>74.6</v>
      </c>
      <c r="I28" s="15">
        <v>68.52</v>
      </c>
      <c r="J28" s="15">
        <v>0.0</v>
      </c>
      <c r="K28" s="15">
        <v>13.0</v>
      </c>
      <c r="L28" s="16"/>
      <c r="M28" s="8" t="s">
        <v>24</v>
      </c>
      <c r="N28" s="8" t="s">
        <v>25</v>
      </c>
      <c r="O28" s="8"/>
      <c r="P28" s="12">
        <f t="shared" si="2"/>
        <v>-13</v>
      </c>
      <c r="Q28" s="8"/>
      <c r="R28" s="8" t="s">
        <v>25</v>
      </c>
      <c r="S28" s="24" t="s">
        <v>114</v>
      </c>
      <c r="T28" s="8" t="s">
        <v>27</v>
      </c>
    </row>
    <row r="29" ht="15.75" customHeight="1">
      <c r="A29" s="8" t="s">
        <v>20</v>
      </c>
      <c r="B29" s="8" t="s">
        <v>71</v>
      </c>
      <c r="C29" s="9" t="s">
        <v>115</v>
      </c>
      <c r="D29" s="8">
        <v>1.0</v>
      </c>
      <c r="E29" s="11" t="s">
        <v>116</v>
      </c>
      <c r="F29" s="15">
        <v>0.0</v>
      </c>
      <c r="G29" s="13"/>
      <c r="H29" s="15">
        <v>172.37</v>
      </c>
      <c r="I29" s="15">
        <v>174.09</v>
      </c>
      <c r="J29" s="12">
        <f t="shared" ref="J29:J70" si="4">I29+(I29*0.04)</f>
        <v>181.0536</v>
      </c>
      <c r="K29" s="15">
        <v>100.0</v>
      </c>
      <c r="L29" s="16"/>
      <c r="M29" s="8" t="s">
        <v>24</v>
      </c>
      <c r="N29" s="8" t="s">
        <v>25</v>
      </c>
      <c r="O29" s="8"/>
      <c r="P29" s="12">
        <f t="shared" si="2"/>
        <v>-281.0536</v>
      </c>
      <c r="Q29" s="8"/>
      <c r="R29" s="8" t="s">
        <v>25</v>
      </c>
      <c r="S29" s="24" t="s">
        <v>117</v>
      </c>
      <c r="T29" s="8" t="s">
        <v>27</v>
      </c>
    </row>
    <row r="30" ht="15.75" customHeight="1">
      <c r="A30" s="8" t="s">
        <v>20</v>
      </c>
      <c r="B30" s="8" t="s">
        <v>71</v>
      </c>
      <c r="C30" s="9" t="s">
        <v>118</v>
      </c>
      <c r="D30" s="8">
        <v>1.0</v>
      </c>
      <c r="E30" s="11" t="s">
        <v>119</v>
      </c>
      <c r="F30" s="15">
        <v>1199.0</v>
      </c>
      <c r="G30" s="13">
        <v>45042.0</v>
      </c>
      <c r="H30" s="15">
        <v>814.11</v>
      </c>
      <c r="I30" s="15">
        <v>822.25</v>
      </c>
      <c r="J30" s="12">
        <f t="shared" si="4"/>
        <v>855.14</v>
      </c>
      <c r="K30" s="15">
        <v>200.0</v>
      </c>
      <c r="L30" s="16"/>
      <c r="M30" s="8" t="s">
        <v>24</v>
      </c>
      <c r="N30" s="8" t="s">
        <v>25</v>
      </c>
      <c r="O30" s="8"/>
      <c r="P30" s="12">
        <f t="shared" si="2"/>
        <v>143.86</v>
      </c>
      <c r="Q30" s="8"/>
      <c r="R30" s="8" t="s">
        <v>25</v>
      </c>
      <c r="S30" s="24" t="s">
        <v>120</v>
      </c>
      <c r="T30" s="8" t="s">
        <v>27</v>
      </c>
    </row>
    <row r="31" ht="15.75" customHeight="1">
      <c r="A31" s="8" t="s">
        <v>20</v>
      </c>
      <c r="B31" s="8" t="s">
        <v>71</v>
      </c>
      <c r="C31" s="9" t="s">
        <v>121</v>
      </c>
      <c r="D31" s="8">
        <v>1.0</v>
      </c>
      <c r="E31" s="11" t="s">
        <v>122</v>
      </c>
      <c r="F31" s="15">
        <v>269.0</v>
      </c>
      <c r="G31" s="13">
        <v>45042.0</v>
      </c>
      <c r="H31" s="15">
        <v>171.48</v>
      </c>
      <c r="I31" s="15">
        <v>173.19</v>
      </c>
      <c r="J31" s="12">
        <f t="shared" si="4"/>
        <v>180.1176</v>
      </c>
      <c r="K31" s="15">
        <v>40.0</v>
      </c>
      <c r="L31" s="16"/>
      <c r="M31" s="8" t="s">
        <v>24</v>
      </c>
      <c r="N31" s="8" t="s">
        <v>25</v>
      </c>
      <c r="O31" s="8"/>
      <c r="P31" s="12">
        <f t="shared" si="2"/>
        <v>48.8824</v>
      </c>
      <c r="Q31" s="8"/>
      <c r="R31" s="8" t="s">
        <v>25</v>
      </c>
      <c r="S31" s="24" t="s">
        <v>123</v>
      </c>
      <c r="T31" s="8" t="s">
        <v>27</v>
      </c>
    </row>
    <row r="32" ht="15.75" customHeight="1">
      <c r="A32" s="8" t="s">
        <v>20</v>
      </c>
      <c r="B32" s="8" t="s">
        <v>71</v>
      </c>
      <c r="C32" s="9" t="s">
        <v>124</v>
      </c>
      <c r="D32" s="8">
        <v>1.0</v>
      </c>
      <c r="E32" s="11" t="s">
        <v>125</v>
      </c>
      <c r="F32" s="15">
        <v>3050.0</v>
      </c>
      <c r="G32" s="13">
        <v>45036.0</v>
      </c>
      <c r="H32" s="15">
        <v>1352.0</v>
      </c>
      <c r="I32" s="15">
        <v>1352.0</v>
      </c>
      <c r="J32" s="12">
        <f t="shared" si="4"/>
        <v>1406.08</v>
      </c>
      <c r="K32" s="31">
        <v>1470.0</v>
      </c>
      <c r="L32" s="32"/>
      <c r="M32" s="8" t="s">
        <v>24</v>
      </c>
      <c r="N32" s="8" t="s">
        <v>25</v>
      </c>
      <c r="O32" s="8"/>
      <c r="P32" s="12">
        <f t="shared" si="2"/>
        <v>173.92</v>
      </c>
      <c r="Q32" s="8"/>
      <c r="R32" s="8" t="s">
        <v>25</v>
      </c>
      <c r="S32" s="24" t="s">
        <v>126</v>
      </c>
      <c r="T32" s="8" t="s">
        <v>27</v>
      </c>
    </row>
    <row r="33" ht="15.75" customHeight="1">
      <c r="A33" s="8" t="s">
        <v>20</v>
      </c>
      <c r="B33" s="8" t="s">
        <v>71</v>
      </c>
      <c r="C33" s="9" t="s">
        <v>127</v>
      </c>
      <c r="D33" s="8">
        <v>1.0</v>
      </c>
      <c r="E33" s="25" t="s">
        <v>128</v>
      </c>
      <c r="F33" s="15">
        <v>789.0</v>
      </c>
      <c r="G33" s="13">
        <v>45042.0</v>
      </c>
      <c r="H33" s="15">
        <v>370.0</v>
      </c>
      <c r="I33" s="15">
        <v>370.0</v>
      </c>
      <c r="J33" s="12">
        <f t="shared" si="4"/>
        <v>384.8</v>
      </c>
      <c r="K33" s="15">
        <v>120.0</v>
      </c>
      <c r="L33" s="16"/>
      <c r="M33" s="8" t="s">
        <v>24</v>
      </c>
      <c r="N33" s="8" t="s">
        <v>25</v>
      </c>
      <c r="O33" s="8"/>
      <c r="P33" s="12">
        <f t="shared" si="2"/>
        <v>284.2</v>
      </c>
      <c r="Q33" s="8"/>
      <c r="R33" s="8" t="s">
        <v>25</v>
      </c>
      <c r="S33" s="24" t="s">
        <v>129</v>
      </c>
      <c r="T33" s="8" t="s">
        <v>27</v>
      </c>
    </row>
    <row r="34" ht="15.75" customHeight="1">
      <c r="A34" s="8" t="s">
        <v>20</v>
      </c>
      <c r="B34" s="8" t="s">
        <v>130</v>
      </c>
      <c r="C34" s="9" t="s">
        <v>131</v>
      </c>
      <c r="D34" s="8">
        <v>1.0</v>
      </c>
      <c r="E34" s="29" t="s">
        <v>132</v>
      </c>
      <c r="F34" s="33" t="s">
        <v>133</v>
      </c>
      <c r="G34" s="13">
        <v>45041.0</v>
      </c>
      <c r="H34" s="15">
        <v>6350.33</v>
      </c>
      <c r="I34" s="15">
        <v>6413.83</v>
      </c>
      <c r="J34" s="12">
        <f t="shared" si="4"/>
        <v>6670.3832</v>
      </c>
      <c r="K34" s="15">
        <v>2815.0</v>
      </c>
      <c r="L34" s="16"/>
      <c r="M34" s="8" t="s">
        <v>24</v>
      </c>
      <c r="N34" s="8" t="s">
        <v>25</v>
      </c>
      <c r="O34" s="8"/>
      <c r="P34" s="12" t="str">
        <f t="shared" si="2"/>
        <v>#VALUE!</v>
      </c>
      <c r="Q34" s="8"/>
      <c r="R34" s="8" t="s">
        <v>25</v>
      </c>
      <c r="S34" s="24" t="s">
        <v>134</v>
      </c>
      <c r="T34" s="8" t="s">
        <v>27</v>
      </c>
    </row>
    <row r="35" ht="15.75" customHeight="1">
      <c r="A35" s="8" t="s">
        <v>20</v>
      </c>
      <c r="B35" s="8" t="s">
        <v>130</v>
      </c>
      <c r="C35" s="9" t="s">
        <v>135</v>
      </c>
      <c r="D35" s="8">
        <v>1.0</v>
      </c>
      <c r="E35" s="11" t="s">
        <v>136</v>
      </c>
      <c r="F35" s="33" t="s">
        <v>133</v>
      </c>
      <c r="G35" s="13">
        <v>45041.0</v>
      </c>
      <c r="H35" s="15">
        <v>829.83</v>
      </c>
      <c r="I35" s="15">
        <v>838.13</v>
      </c>
      <c r="J35" s="12">
        <f t="shared" si="4"/>
        <v>871.6552</v>
      </c>
      <c r="K35" s="15">
        <v>360.0</v>
      </c>
      <c r="L35" s="16"/>
      <c r="M35" s="8" t="s">
        <v>24</v>
      </c>
      <c r="N35" s="8" t="s">
        <v>25</v>
      </c>
      <c r="O35" s="8"/>
      <c r="P35" s="12" t="str">
        <f t="shared" si="2"/>
        <v>#VALUE!</v>
      </c>
      <c r="Q35" s="8"/>
      <c r="R35" s="8" t="s">
        <v>25</v>
      </c>
      <c r="S35" s="24" t="s">
        <v>137</v>
      </c>
      <c r="T35" s="8" t="s">
        <v>27</v>
      </c>
    </row>
    <row r="36" ht="15.75" customHeight="1">
      <c r="A36" s="8" t="s">
        <v>20</v>
      </c>
      <c r="B36" s="8" t="s">
        <v>37</v>
      </c>
      <c r="C36" s="9" t="s">
        <v>138</v>
      </c>
      <c r="D36" s="8">
        <v>1.0</v>
      </c>
      <c r="E36" s="8" t="s">
        <v>139</v>
      </c>
      <c r="F36" s="15">
        <v>0.0</v>
      </c>
      <c r="G36" s="13"/>
      <c r="H36" s="15"/>
      <c r="I36" s="15">
        <v>0.0</v>
      </c>
      <c r="J36" s="12">
        <f t="shared" si="4"/>
        <v>0</v>
      </c>
      <c r="K36" s="15">
        <v>0.0</v>
      </c>
      <c r="L36" s="16"/>
      <c r="M36" s="8" t="s">
        <v>24</v>
      </c>
      <c r="N36" s="8" t="s">
        <v>25</v>
      </c>
      <c r="O36" s="8"/>
      <c r="P36" s="12">
        <f t="shared" si="2"/>
        <v>0</v>
      </c>
      <c r="Q36" s="8"/>
      <c r="R36" s="8" t="s">
        <v>25</v>
      </c>
      <c r="S36" s="11" t="s">
        <v>140</v>
      </c>
      <c r="T36" s="8" t="s">
        <v>27</v>
      </c>
    </row>
    <row r="37" ht="15.75" customHeight="1">
      <c r="A37" s="8" t="s">
        <v>20</v>
      </c>
      <c r="B37" s="8" t="s">
        <v>141</v>
      </c>
      <c r="C37" s="9" t="s">
        <v>142</v>
      </c>
      <c r="D37" s="8">
        <v>1.0</v>
      </c>
      <c r="E37" s="11" t="s">
        <v>143</v>
      </c>
      <c r="F37" s="15">
        <v>100.0</v>
      </c>
      <c r="G37" s="13">
        <v>45040.0</v>
      </c>
      <c r="H37" s="15">
        <v>38.25</v>
      </c>
      <c r="I37" s="15">
        <v>38.63</v>
      </c>
      <c r="J37" s="12">
        <f t="shared" si="4"/>
        <v>40.1752</v>
      </c>
      <c r="K37" s="15">
        <v>0.0</v>
      </c>
      <c r="L37" s="16"/>
      <c r="M37" s="8" t="s">
        <v>24</v>
      </c>
      <c r="N37" s="8" t="s">
        <v>25</v>
      </c>
      <c r="O37" s="8"/>
      <c r="P37" s="12">
        <f t="shared" si="2"/>
        <v>59.8248</v>
      </c>
      <c r="Q37" s="8"/>
      <c r="R37" s="8" t="s">
        <v>25</v>
      </c>
      <c r="S37" s="11" t="s">
        <v>144</v>
      </c>
      <c r="T37" s="8" t="s">
        <v>27</v>
      </c>
    </row>
    <row r="38" ht="15.75" customHeight="1">
      <c r="A38" s="8" t="s">
        <v>20</v>
      </c>
      <c r="B38" s="8" t="s">
        <v>67</v>
      </c>
      <c r="C38" s="9" t="s">
        <v>145</v>
      </c>
      <c r="D38" s="8">
        <v>1.0</v>
      </c>
      <c r="E38" s="29" t="s">
        <v>146</v>
      </c>
      <c r="F38" s="15">
        <v>1150.0</v>
      </c>
      <c r="G38" s="13">
        <v>45052.0</v>
      </c>
      <c r="H38" s="15">
        <v>379.99</v>
      </c>
      <c r="I38" s="15">
        <v>383.79</v>
      </c>
      <c r="J38" s="12">
        <f t="shared" si="4"/>
        <v>399.1416</v>
      </c>
      <c r="K38" s="15">
        <v>495.0</v>
      </c>
      <c r="L38" s="16"/>
      <c r="M38" s="8" t="s">
        <v>24</v>
      </c>
      <c r="N38" s="8" t="s">
        <v>25</v>
      </c>
      <c r="O38" s="8"/>
      <c r="P38" s="12">
        <f t="shared" si="2"/>
        <v>255.8584</v>
      </c>
      <c r="Q38" s="8"/>
      <c r="R38" s="8" t="s">
        <v>25</v>
      </c>
      <c r="S38" s="24" t="s">
        <v>147</v>
      </c>
      <c r="T38" s="8" t="s">
        <v>27</v>
      </c>
    </row>
    <row r="39" ht="15.75" customHeight="1">
      <c r="A39" s="8" t="s">
        <v>20</v>
      </c>
      <c r="B39" s="8" t="s">
        <v>67</v>
      </c>
      <c r="C39" s="9" t="s">
        <v>148</v>
      </c>
      <c r="D39" s="8">
        <v>1.0</v>
      </c>
      <c r="E39" s="11" t="s">
        <v>149</v>
      </c>
      <c r="F39" s="15">
        <v>90.0</v>
      </c>
      <c r="G39" s="13">
        <v>45054.0</v>
      </c>
      <c r="H39" s="15">
        <v>35.81</v>
      </c>
      <c r="I39" s="15">
        <v>36.17</v>
      </c>
      <c r="J39" s="12">
        <f t="shared" si="4"/>
        <v>37.6168</v>
      </c>
      <c r="K39" s="15">
        <v>40.0</v>
      </c>
      <c r="L39" s="16"/>
      <c r="M39" s="8" t="s">
        <v>24</v>
      </c>
      <c r="N39" s="8" t="s">
        <v>25</v>
      </c>
      <c r="O39" s="8"/>
      <c r="P39" s="12">
        <f t="shared" si="2"/>
        <v>12.3832</v>
      </c>
      <c r="Q39" s="8"/>
      <c r="R39" s="8" t="s">
        <v>25</v>
      </c>
      <c r="S39" s="24" t="s">
        <v>150</v>
      </c>
      <c r="T39" s="8" t="s">
        <v>27</v>
      </c>
    </row>
    <row r="40" ht="15.75" customHeight="1">
      <c r="A40" s="8" t="s">
        <v>20</v>
      </c>
      <c r="B40" s="8" t="s">
        <v>151</v>
      </c>
      <c r="C40" s="9" t="s">
        <v>152</v>
      </c>
      <c r="D40" s="8">
        <v>1.0</v>
      </c>
      <c r="E40" s="11" t="s">
        <v>153</v>
      </c>
      <c r="F40" s="15">
        <v>335.0</v>
      </c>
      <c r="G40" s="13">
        <v>45054.0</v>
      </c>
      <c r="H40" s="34">
        <v>203.9</v>
      </c>
      <c r="I40" s="15">
        <v>205.94</v>
      </c>
      <c r="J40" s="12">
        <f t="shared" si="4"/>
        <v>214.1776</v>
      </c>
      <c r="K40" s="15">
        <v>0.0</v>
      </c>
      <c r="L40" s="16"/>
      <c r="M40" s="8" t="s">
        <v>24</v>
      </c>
      <c r="N40" s="8" t="s">
        <v>25</v>
      </c>
      <c r="O40" s="8"/>
      <c r="P40" s="12">
        <f t="shared" si="2"/>
        <v>120.8224</v>
      </c>
      <c r="Q40" s="8"/>
      <c r="R40" s="8" t="s">
        <v>25</v>
      </c>
      <c r="S40" s="24" t="s">
        <v>154</v>
      </c>
      <c r="T40" s="8" t="s">
        <v>27</v>
      </c>
    </row>
    <row r="41" ht="15.75" customHeight="1">
      <c r="A41" s="8" t="s">
        <v>20</v>
      </c>
      <c r="B41" s="8" t="s">
        <v>130</v>
      </c>
      <c r="C41" s="9" t="s">
        <v>155</v>
      </c>
      <c r="D41" s="8">
        <v>1.0</v>
      </c>
      <c r="E41" s="8"/>
      <c r="F41" s="15"/>
      <c r="G41" s="13"/>
      <c r="H41" s="15"/>
      <c r="I41" s="12"/>
      <c r="J41" s="12">
        <f t="shared" si="4"/>
        <v>0</v>
      </c>
      <c r="K41" s="15">
        <v>225.0</v>
      </c>
      <c r="L41" s="16"/>
      <c r="M41" s="8" t="s">
        <v>24</v>
      </c>
      <c r="N41" s="8" t="s">
        <v>25</v>
      </c>
      <c r="O41" s="8"/>
      <c r="P41" s="12">
        <f t="shared" si="2"/>
        <v>-225</v>
      </c>
      <c r="Q41" s="8"/>
      <c r="R41" s="8" t="s">
        <v>25</v>
      </c>
      <c r="S41" s="24" t="s">
        <v>156</v>
      </c>
      <c r="T41" s="8" t="s">
        <v>27</v>
      </c>
    </row>
    <row r="42" ht="15.75" customHeight="1">
      <c r="A42" s="8" t="s">
        <v>20</v>
      </c>
      <c r="B42" s="35" t="s">
        <v>63</v>
      </c>
      <c r="C42" s="9" t="s">
        <v>157</v>
      </c>
      <c r="D42" s="8">
        <v>1.0</v>
      </c>
      <c r="E42" s="8"/>
      <c r="F42" s="15">
        <v>220.0</v>
      </c>
      <c r="G42" s="13"/>
      <c r="H42" s="15">
        <v>0.0</v>
      </c>
      <c r="I42" s="15">
        <v>0.0</v>
      </c>
      <c r="J42" s="12">
        <f t="shared" si="4"/>
        <v>0</v>
      </c>
      <c r="K42" s="15">
        <v>155.0</v>
      </c>
      <c r="L42" s="16"/>
      <c r="M42" s="8" t="s">
        <v>24</v>
      </c>
      <c r="N42" s="8" t="s">
        <v>25</v>
      </c>
      <c r="O42" s="8"/>
      <c r="P42" s="12">
        <f t="shared" si="2"/>
        <v>65</v>
      </c>
      <c r="Q42" s="8"/>
      <c r="R42" s="8" t="s">
        <v>25</v>
      </c>
      <c r="S42" s="24" t="s">
        <v>158</v>
      </c>
      <c r="T42" s="8" t="s">
        <v>27</v>
      </c>
    </row>
    <row r="43" ht="15.75" customHeight="1">
      <c r="A43" s="8" t="s">
        <v>20</v>
      </c>
      <c r="B43" s="8" t="s">
        <v>67</v>
      </c>
      <c r="C43" s="9" t="s">
        <v>159</v>
      </c>
      <c r="D43" s="8">
        <v>1.0</v>
      </c>
      <c r="E43" s="25" t="s">
        <v>160</v>
      </c>
      <c r="F43" s="15">
        <v>1157.0</v>
      </c>
      <c r="G43" s="13">
        <v>45061.0</v>
      </c>
      <c r="H43" s="15">
        <v>208.99</v>
      </c>
      <c r="I43" s="15">
        <v>211.08</v>
      </c>
      <c r="J43" s="12">
        <f t="shared" si="4"/>
        <v>219.5232</v>
      </c>
      <c r="K43" s="15">
        <v>630.0</v>
      </c>
      <c r="L43" s="16"/>
      <c r="M43" s="8" t="s">
        <v>24</v>
      </c>
      <c r="N43" s="8" t="s">
        <v>25</v>
      </c>
      <c r="O43" s="8"/>
      <c r="P43" s="12">
        <f t="shared" si="2"/>
        <v>307.4768</v>
      </c>
      <c r="Q43" s="8"/>
      <c r="R43" s="8" t="s">
        <v>25</v>
      </c>
      <c r="S43" s="24" t="s">
        <v>161</v>
      </c>
      <c r="T43" s="8" t="s">
        <v>27</v>
      </c>
    </row>
    <row r="44" ht="15.75" customHeight="1">
      <c r="A44" s="8" t="s">
        <v>20</v>
      </c>
      <c r="B44" s="8" t="s">
        <v>67</v>
      </c>
      <c r="C44" s="9" t="s">
        <v>162</v>
      </c>
      <c r="D44" s="8">
        <v>1.0</v>
      </c>
      <c r="E44" s="11" t="s">
        <v>163</v>
      </c>
      <c r="F44" s="15"/>
      <c r="G44" s="13">
        <v>45061.0</v>
      </c>
      <c r="H44" s="15">
        <v>116.47</v>
      </c>
      <c r="I44" s="15">
        <v>117.63</v>
      </c>
      <c r="J44" s="12">
        <f t="shared" si="4"/>
        <v>122.3352</v>
      </c>
      <c r="K44" s="15">
        <v>90.0</v>
      </c>
      <c r="L44" s="16"/>
      <c r="M44" s="8" t="s">
        <v>24</v>
      </c>
      <c r="N44" s="8" t="s">
        <v>25</v>
      </c>
      <c r="O44" s="8"/>
      <c r="P44" s="12">
        <f t="shared" si="2"/>
        <v>-212.3352</v>
      </c>
      <c r="Q44" s="8"/>
      <c r="R44" s="8" t="s">
        <v>25</v>
      </c>
      <c r="S44" s="24" t="s">
        <v>164</v>
      </c>
      <c r="T44" s="8" t="s">
        <v>27</v>
      </c>
    </row>
    <row r="45" ht="15.75" customHeight="1">
      <c r="A45" s="8" t="s">
        <v>20</v>
      </c>
      <c r="B45" s="8" t="s">
        <v>67</v>
      </c>
      <c r="C45" s="9" t="s">
        <v>165</v>
      </c>
      <c r="D45" s="8">
        <v>1.0</v>
      </c>
      <c r="E45" s="11" t="s">
        <v>166</v>
      </c>
      <c r="F45" s="15">
        <v>70.0</v>
      </c>
      <c r="G45" s="13">
        <v>45065.0</v>
      </c>
      <c r="H45" s="15">
        <v>31.72</v>
      </c>
      <c r="I45" s="15">
        <v>32.04</v>
      </c>
      <c r="J45" s="12">
        <f t="shared" si="4"/>
        <v>33.3216</v>
      </c>
      <c r="K45" s="15">
        <v>0.0</v>
      </c>
      <c r="L45" s="16"/>
      <c r="M45" s="8" t="s">
        <v>24</v>
      </c>
      <c r="N45" s="8" t="s">
        <v>25</v>
      </c>
      <c r="O45" s="8"/>
      <c r="P45" s="12">
        <f t="shared" si="2"/>
        <v>36.6784</v>
      </c>
      <c r="Q45" s="8"/>
      <c r="R45" s="8" t="s">
        <v>25</v>
      </c>
      <c r="S45" s="24" t="s">
        <v>167</v>
      </c>
      <c r="T45" s="8" t="s">
        <v>27</v>
      </c>
    </row>
    <row r="46" ht="15.75" customHeight="1">
      <c r="A46" s="8" t="s">
        <v>20</v>
      </c>
      <c r="B46" s="8" t="s">
        <v>168</v>
      </c>
      <c r="C46" s="9" t="s">
        <v>169</v>
      </c>
      <c r="D46" s="8">
        <v>1.0</v>
      </c>
      <c r="E46" s="11" t="s">
        <v>170</v>
      </c>
      <c r="F46" s="15">
        <v>240.0</v>
      </c>
      <c r="G46" s="13">
        <v>45065.0</v>
      </c>
      <c r="H46" s="15">
        <v>101.65</v>
      </c>
      <c r="I46" s="15">
        <v>102.67</v>
      </c>
      <c r="J46" s="12">
        <f t="shared" si="4"/>
        <v>106.7768</v>
      </c>
      <c r="K46" s="15">
        <v>90.0</v>
      </c>
      <c r="L46" s="16"/>
      <c r="M46" s="8" t="s">
        <v>24</v>
      </c>
      <c r="N46" s="8" t="s">
        <v>25</v>
      </c>
      <c r="O46" s="8"/>
      <c r="P46" s="12">
        <f t="shared" si="2"/>
        <v>43.2232</v>
      </c>
      <c r="Q46" s="8"/>
      <c r="R46" s="8" t="s">
        <v>25</v>
      </c>
      <c r="S46" s="24" t="s">
        <v>171</v>
      </c>
      <c r="T46" s="8" t="s">
        <v>27</v>
      </c>
    </row>
    <row r="47" ht="15.75" customHeight="1">
      <c r="A47" s="8" t="s">
        <v>20</v>
      </c>
      <c r="B47" s="8" t="s">
        <v>67</v>
      </c>
      <c r="C47" s="9" t="s">
        <v>172</v>
      </c>
      <c r="D47" s="8">
        <v>1.0</v>
      </c>
      <c r="E47" s="29" t="s">
        <v>173</v>
      </c>
      <c r="F47" s="15">
        <v>120.0</v>
      </c>
      <c r="G47" s="13">
        <v>45068.0</v>
      </c>
      <c r="H47" s="15">
        <v>50.81</v>
      </c>
      <c r="I47" s="15">
        <v>51.32</v>
      </c>
      <c r="J47" s="12">
        <f t="shared" si="4"/>
        <v>53.3728</v>
      </c>
      <c r="K47" s="15">
        <v>40.0</v>
      </c>
      <c r="L47" s="16"/>
      <c r="M47" s="8" t="s">
        <v>24</v>
      </c>
      <c r="N47" s="8" t="s">
        <v>25</v>
      </c>
      <c r="O47" s="8"/>
      <c r="P47" s="12">
        <f t="shared" si="2"/>
        <v>26.6272</v>
      </c>
      <c r="Q47" s="8"/>
      <c r="R47" s="8" t="s">
        <v>25</v>
      </c>
      <c r="S47" s="24" t="s">
        <v>174</v>
      </c>
      <c r="T47" s="8" t="s">
        <v>27</v>
      </c>
    </row>
    <row r="48" ht="15.75" customHeight="1">
      <c r="A48" s="8" t="s">
        <v>20</v>
      </c>
      <c r="B48" s="8" t="s">
        <v>175</v>
      </c>
      <c r="C48" s="9" t="s">
        <v>176</v>
      </c>
      <c r="D48" s="8">
        <v>1.0</v>
      </c>
      <c r="E48" s="29" t="s">
        <v>177</v>
      </c>
      <c r="F48" s="15">
        <v>899.0</v>
      </c>
      <c r="G48" s="13">
        <v>45070.0</v>
      </c>
      <c r="H48" s="15">
        <v>449.0</v>
      </c>
      <c r="I48" s="15">
        <v>457.08</v>
      </c>
      <c r="J48" s="12">
        <f t="shared" si="4"/>
        <v>475.3632</v>
      </c>
      <c r="K48" s="15">
        <v>280.0</v>
      </c>
      <c r="L48" s="16"/>
      <c r="M48" s="8" t="s">
        <v>24</v>
      </c>
      <c r="N48" s="8" t="s">
        <v>25</v>
      </c>
      <c r="O48" s="8"/>
      <c r="P48" s="12">
        <f t="shared" si="2"/>
        <v>143.6368</v>
      </c>
      <c r="Q48" s="8"/>
      <c r="R48" s="8" t="s">
        <v>25</v>
      </c>
      <c r="S48" s="24" t="s">
        <v>178</v>
      </c>
      <c r="T48" s="8" t="s">
        <v>27</v>
      </c>
    </row>
    <row r="49" ht="15.75" customHeight="1">
      <c r="A49" s="8" t="s">
        <v>20</v>
      </c>
      <c r="B49" s="36" t="s">
        <v>179</v>
      </c>
      <c r="C49" s="9" t="s">
        <v>180</v>
      </c>
      <c r="D49" s="8">
        <v>1.0</v>
      </c>
      <c r="E49" s="29" t="s">
        <v>181</v>
      </c>
      <c r="F49" s="15">
        <v>720.0</v>
      </c>
      <c r="G49" s="13">
        <v>45076.0</v>
      </c>
      <c r="H49" s="15">
        <v>224.89</v>
      </c>
      <c r="I49" s="15">
        <v>227.14</v>
      </c>
      <c r="J49" s="12">
        <f t="shared" si="4"/>
        <v>236.2256</v>
      </c>
      <c r="K49" s="15">
        <v>270.0</v>
      </c>
      <c r="L49" s="16"/>
      <c r="M49" s="8" t="s">
        <v>24</v>
      </c>
      <c r="N49" s="8" t="s">
        <v>25</v>
      </c>
      <c r="O49" s="8"/>
      <c r="P49" s="12">
        <f t="shared" si="2"/>
        <v>213.7744</v>
      </c>
      <c r="Q49" s="8"/>
      <c r="R49" s="8" t="s">
        <v>25</v>
      </c>
      <c r="S49" s="24" t="s">
        <v>182</v>
      </c>
      <c r="T49" s="8" t="s">
        <v>27</v>
      </c>
    </row>
    <row r="50" ht="15.75" customHeight="1">
      <c r="A50" s="8" t="s">
        <v>20</v>
      </c>
      <c r="B50" s="8" t="s">
        <v>130</v>
      </c>
      <c r="C50" s="9" t="s">
        <v>183</v>
      </c>
      <c r="D50" s="8">
        <v>1.0</v>
      </c>
      <c r="E50" s="11" t="s">
        <v>184</v>
      </c>
      <c r="F50" s="15">
        <v>0.0</v>
      </c>
      <c r="G50" s="13">
        <v>45076.0</v>
      </c>
      <c r="H50" s="15">
        <v>135.14</v>
      </c>
      <c r="I50" s="15">
        <v>136.49</v>
      </c>
      <c r="J50" s="12">
        <f t="shared" si="4"/>
        <v>141.9496</v>
      </c>
      <c r="K50" s="15">
        <v>80.0</v>
      </c>
      <c r="L50" s="16"/>
      <c r="M50" s="8" t="s">
        <v>24</v>
      </c>
      <c r="N50" s="8" t="s">
        <v>25</v>
      </c>
      <c r="O50" s="8"/>
      <c r="P50" s="12">
        <f t="shared" si="2"/>
        <v>-221.9496</v>
      </c>
      <c r="Q50" s="8"/>
      <c r="R50" s="8" t="s">
        <v>25</v>
      </c>
      <c r="S50" s="24" t="s">
        <v>185</v>
      </c>
      <c r="T50" s="8" t="s">
        <v>27</v>
      </c>
    </row>
    <row r="51" ht="15.75" customHeight="1">
      <c r="A51" s="8" t="s">
        <v>20</v>
      </c>
      <c r="B51" s="8" t="s">
        <v>43</v>
      </c>
      <c r="C51" s="9" t="s">
        <v>186</v>
      </c>
      <c r="D51" s="8">
        <v>1.0</v>
      </c>
      <c r="E51" s="8" t="s">
        <v>73</v>
      </c>
      <c r="F51" s="15">
        <v>85.0</v>
      </c>
      <c r="G51" s="13">
        <v>45078.0</v>
      </c>
      <c r="H51" s="15">
        <v>16.99</v>
      </c>
      <c r="I51" s="15">
        <v>17.16</v>
      </c>
      <c r="J51" s="12">
        <f t="shared" si="4"/>
        <v>17.8464</v>
      </c>
      <c r="K51" s="15">
        <v>5.0</v>
      </c>
      <c r="L51" s="16"/>
      <c r="M51" s="8" t="s">
        <v>24</v>
      </c>
      <c r="N51" s="8" t="s">
        <v>25</v>
      </c>
      <c r="O51" s="8"/>
      <c r="P51" s="12">
        <f t="shared" si="2"/>
        <v>62.1536</v>
      </c>
      <c r="Q51" s="8"/>
      <c r="R51" s="8" t="s">
        <v>25</v>
      </c>
      <c r="S51" s="24" t="s">
        <v>187</v>
      </c>
      <c r="T51" s="8" t="s">
        <v>27</v>
      </c>
    </row>
    <row r="52" ht="15.75" customHeight="1">
      <c r="A52" s="8" t="s">
        <v>20</v>
      </c>
      <c r="B52" s="8" t="s">
        <v>43</v>
      </c>
      <c r="C52" s="9" t="s">
        <v>188</v>
      </c>
      <c r="D52" s="8">
        <v>1.0</v>
      </c>
      <c r="E52" s="8" t="s">
        <v>73</v>
      </c>
      <c r="F52" s="15">
        <v>85.0</v>
      </c>
      <c r="G52" s="13">
        <v>45078.0</v>
      </c>
      <c r="H52" s="15">
        <v>40.57</v>
      </c>
      <c r="I52" s="15">
        <v>40.98</v>
      </c>
      <c r="J52" s="12">
        <f t="shared" si="4"/>
        <v>42.6192</v>
      </c>
      <c r="K52" s="15">
        <v>5.0</v>
      </c>
      <c r="L52" s="16"/>
      <c r="M52" s="8" t="s">
        <v>24</v>
      </c>
      <c r="N52" s="8" t="s">
        <v>25</v>
      </c>
      <c r="O52" s="8"/>
      <c r="P52" s="12">
        <f t="shared" si="2"/>
        <v>37.3808</v>
      </c>
      <c r="Q52" s="8"/>
      <c r="R52" s="8" t="s">
        <v>25</v>
      </c>
      <c r="S52" s="24" t="s">
        <v>189</v>
      </c>
      <c r="T52" s="8" t="s">
        <v>27</v>
      </c>
    </row>
    <row r="53" ht="15.75" customHeight="1">
      <c r="A53" s="8" t="s">
        <v>20</v>
      </c>
      <c r="B53" s="8" t="s">
        <v>71</v>
      </c>
      <c r="C53" s="9" t="s">
        <v>190</v>
      </c>
      <c r="D53" s="8">
        <v>1.0</v>
      </c>
      <c r="E53" s="29" t="s">
        <v>191</v>
      </c>
      <c r="F53" s="15">
        <v>5230.0</v>
      </c>
      <c r="G53" s="13">
        <v>45078.0</v>
      </c>
      <c r="H53" s="15">
        <v>2730.0</v>
      </c>
      <c r="I53" s="15">
        <v>2741.65</v>
      </c>
      <c r="J53" s="12">
        <f t="shared" si="4"/>
        <v>2851.316</v>
      </c>
      <c r="K53" s="15">
        <v>1100.0</v>
      </c>
      <c r="L53" s="16"/>
      <c r="M53" s="8" t="s">
        <v>24</v>
      </c>
      <c r="N53" s="8" t="s">
        <v>25</v>
      </c>
      <c r="O53" s="8"/>
      <c r="P53" s="12">
        <f t="shared" si="2"/>
        <v>1278.684</v>
      </c>
      <c r="Q53" s="8"/>
      <c r="R53" s="8" t="s">
        <v>25</v>
      </c>
      <c r="S53" s="37" t="s">
        <v>192</v>
      </c>
      <c r="T53" s="8" t="s">
        <v>27</v>
      </c>
    </row>
    <row r="54" ht="15.75" customHeight="1">
      <c r="A54" s="8" t="s">
        <v>20</v>
      </c>
      <c r="B54" s="8" t="s">
        <v>105</v>
      </c>
      <c r="C54" s="9" t="s">
        <v>193</v>
      </c>
      <c r="D54" s="8">
        <v>1.0</v>
      </c>
      <c r="E54" s="29" t="s">
        <v>194</v>
      </c>
      <c r="F54" s="15">
        <v>160.0</v>
      </c>
      <c r="G54" s="13">
        <v>45079.0</v>
      </c>
      <c r="H54" s="15">
        <v>52.91</v>
      </c>
      <c r="I54" s="15">
        <v>53.44</v>
      </c>
      <c r="J54" s="12">
        <f t="shared" si="4"/>
        <v>55.5776</v>
      </c>
      <c r="K54" s="15">
        <v>80.0</v>
      </c>
      <c r="L54" s="16"/>
      <c r="M54" s="8" t="s">
        <v>24</v>
      </c>
      <c r="N54" s="8" t="s">
        <v>25</v>
      </c>
      <c r="O54" s="8"/>
      <c r="P54" s="12">
        <f t="shared" si="2"/>
        <v>24.4224</v>
      </c>
      <c r="Q54" s="8"/>
      <c r="R54" s="8" t="s">
        <v>25</v>
      </c>
      <c r="S54" s="24" t="s">
        <v>195</v>
      </c>
      <c r="T54" s="8" t="s">
        <v>27</v>
      </c>
    </row>
    <row r="55" ht="15.75" customHeight="1">
      <c r="A55" s="8" t="s">
        <v>20</v>
      </c>
      <c r="B55" s="8" t="s">
        <v>196</v>
      </c>
      <c r="C55" s="9" t="s">
        <v>197</v>
      </c>
      <c r="D55" s="8">
        <v>1.0</v>
      </c>
      <c r="E55" s="8" t="s">
        <v>198</v>
      </c>
      <c r="F55" s="15">
        <v>100.0</v>
      </c>
      <c r="G55" s="13">
        <v>45078.0</v>
      </c>
      <c r="H55" s="15">
        <v>0.0</v>
      </c>
      <c r="I55" s="15">
        <v>0.0</v>
      </c>
      <c r="J55" s="12">
        <f t="shared" si="4"/>
        <v>0</v>
      </c>
      <c r="K55" s="15">
        <v>80.0</v>
      </c>
      <c r="L55" s="16"/>
      <c r="M55" s="8" t="s">
        <v>24</v>
      </c>
      <c r="N55" s="8" t="s">
        <v>25</v>
      </c>
      <c r="O55" s="8"/>
      <c r="P55" s="12">
        <f t="shared" si="2"/>
        <v>20</v>
      </c>
      <c r="Q55" s="8"/>
      <c r="R55" s="8" t="s">
        <v>25</v>
      </c>
      <c r="S55" s="24" t="s">
        <v>199</v>
      </c>
      <c r="T55" s="8" t="s">
        <v>27</v>
      </c>
    </row>
    <row r="56" ht="15.75" customHeight="1">
      <c r="A56" s="8" t="s">
        <v>20</v>
      </c>
      <c r="B56" s="8" t="s">
        <v>37</v>
      </c>
      <c r="C56" s="9" t="s">
        <v>200</v>
      </c>
      <c r="D56" s="8">
        <v>1.0</v>
      </c>
      <c r="E56" s="29" t="s">
        <v>201</v>
      </c>
      <c r="F56" s="15">
        <v>0.0</v>
      </c>
      <c r="G56" s="13"/>
      <c r="H56" s="15">
        <v>160.4</v>
      </c>
      <c r="I56" s="15">
        <v>0.0</v>
      </c>
      <c r="J56" s="12">
        <f t="shared" si="4"/>
        <v>0</v>
      </c>
      <c r="K56" s="15">
        <v>100.0</v>
      </c>
      <c r="L56" s="16"/>
      <c r="M56" s="8" t="s">
        <v>24</v>
      </c>
      <c r="N56" s="8" t="s">
        <v>25</v>
      </c>
      <c r="O56" s="8"/>
      <c r="P56" s="12">
        <f t="shared" si="2"/>
        <v>-100</v>
      </c>
      <c r="Q56" s="8"/>
      <c r="R56" s="8" t="s">
        <v>25</v>
      </c>
      <c r="S56" s="24" t="s">
        <v>202</v>
      </c>
      <c r="T56" s="8" t="s">
        <v>27</v>
      </c>
    </row>
    <row r="57" ht="15.75" customHeight="1">
      <c r="A57" s="8" t="s">
        <v>20</v>
      </c>
      <c r="B57" s="8" t="s">
        <v>203</v>
      </c>
      <c r="C57" s="9" t="s">
        <v>204</v>
      </c>
      <c r="D57" s="8">
        <v>1.0</v>
      </c>
      <c r="E57" s="8" t="s">
        <v>205</v>
      </c>
      <c r="F57" s="15">
        <v>180.0</v>
      </c>
      <c r="G57" s="13"/>
      <c r="H57" s="15">
        <v>0.0</v>
      </c>
      <c r="I57" s="15">
        <v>0.0</v>
      </c>
      <c r="J57" s="12">
        <f t="shared" si="4"/>
        <v>0</v>
      </c>
      <c r="K57" s="15">
        <v>160.0</v>
      </c>
      <c r="L57" s="16"/>
      <c r="M57" s="8" t="s">
        <v>24</v>
      </c>
      <c r="N57" s="8" t="s">
        <v>25</v>
      </c>
      <c r="O57" s="8"/>
      <c r="P57" s="12">
        <f t="shared" si="2"/>
        <v>20</v>
      </c>
      <c r="Q57" s="8"/>
      <c r="R57" s="8" t="s">
        <v>25</v>
      </c>
      <c r="S57" s="24" t="s">
        <v>206</v>
      </c>
      <c r="T57" s="8" t="s">
        <v>27</v>
      </c>
    </row>
    <row r="58" ht="15.75" customHeight="1">
      <c r="A58" s="8" t="s">
        <v>20</v>
      </c>
      <c r="B58" s="8" t="s">
        <v>207</v>
      </c>
      <c r="C58" s="9" t="s">
        <v>208</v>
      </c>
      <c r="D58" s="8">
        <v>1.0</v>
      </c>
      <c r="E58" s="29" t="s">
        <v>209</v>
      </c>
      <c r="F58" s="15">
        <v>600.0</v>
      </c>
      <c r="G58" s="13">
        <v>45085.0</v>
      </c>
      <c r="H58" s="15">
        <v>125.21</v>
      </c>
      <c r="I58" s="15">
        <v>126.46</v>
      </c>
      <c r="J58" s="12">
        <f t="shared" si="4"/>
        <v>131.5184</v>
      </c>
      <c r="K58" s="15">
        <v>180.0</v>
      </c>
      <c r="L58" s="16"/>
      <c r="M58" s="8" t="s">
        <v>24</v>
      </c>
      <c r="N58" s="8" t="s">
        <v>25</v>
      </c>
      <c r="O58" s="8"/>
      <c r="P58" s="12">
        <f t="shared" si="2"/>
        <v>288.4816</v>
      </c>
      <c r="Q58" s="8"/>
      <c r="R58" s="8" t="s">
        <v>25</v>
      </c>
      <c r="S58" s="24" t="s">
        <v>210</v>
      </c>
      <c r="T58" s="8" t="s">
        <v>27</v>
      </c>
    </row>
    <row r="59" ht="15.75" customHeight="1">
      <c r="A59" s="8" t="s">
        <v>20</v>
      </c>
      <c r="B59" s="8" t="s">
        <v>43</v>
      </c>
      <c r="C59" s="9" t="s">
        <v>211</v>
      </c>
      <c r="D59" s="8">
        <v>2.0</v>
      </c>
      <c r="E59" s="29" t="s">
        <v>212</v>
      </c>
      <c r="F59" s="15">
        <v>250.0</v>
      </c>
      <c r="G59" s="13">
        <v>45091.0</v>
      </c>
      <c r="H59" s="15">
        <v>99.0</v>
      </c>
      <c r="I59" s="15">
        <v>99.99</v>
      </c>
      <c r="J59" s="12">
        <f t="shared" si="4"/>
        <v>103.9896</v>
      </c>
      <c r="K59" s="15">
        <v>13.0</v>
      </c>
      <c r="L59" s="16"/>
      <c r="M59" s="8" t="s">
        <v>24</v>
      </c>
      <c r="N59" s="8" t="s">
        <v>25</v>
      </c>
      <c r="O59" s="8"/>
      <c r="P59" s="12">
        <f t="shared" si="2"/>
        <v>133.0104</v>
      </c>
      <c r="Q59" s="8"/>
      <c r="R59" s="8" t="s">
        <v>25</v>
      </c>
      <c r="S59" s="24" t="s">
        <v>213</v>
      </c>
      <c r="T59" s="8" t="s">
        <v>27</v>
      </c>
    </row>
    <row r="60" ht="15.75" customHeight="1">
      <c r="A60" s="8" t="s">
        <v>20</v>
      </c>
      <c r="B60" s="8" t="s">
        <v>203</v>
      </c>
      <c r="C60" s="9" t="s">
        <v>214</v>
      </c>
      <c r="D60" s="8">
        <v>1.0</v>
      </c>
      <c r="E60" s="8"/>
      <c r="F60" s="15">
        <v>20.0</v>
      </c>
      <c r="G60" s="13">
        <v>45098.0</v>
      </c>
      <c r="H60" s="15">
        <v>0.0</v>
      </c>
      <c r="I60" s="15">
        <v>0.0</v>
      </c>
      <c r="J60" s="12">
        <f t="shared" si="4"/>
        <v>0</v>
      </c>
      <c r="K60" s="15">
        <v>13.0</v>
      </c>
      <c r="L60" s="16"/>
      <c r="M60" s="8" t="s">
        <v>24</v>
      </c>
      <c r="N60" s="8" t="s">
        <v>25</v>
      </c>
      <c r="O60" s="8"/>
      <c r="P60" s="12">
        <f t="shared" si="2"/>
        <v>7</v>
      </c>
      <c r="Q60" s="8"/>
      <c r="R60" s="8" t="s">
        <v>25</v>
      </c>
      <c r="S60" s="24" t="s">
        <v>215</v>
      </c>
      <c r="T60" s="8" t="s">
        <v>27</v>
      </c>
    </row>
    <row r="61" ht="15.75" customHeight="1">
      <c r="A61" s="8" t="s">
        <v>20</v>
      </c>
      <c r="B61" s="8" t="s">
        <v>216</v>
      </c>
      <c r="C61" s="9" t="s">
        <v>217</v>
      </c>
      <c r="D61" s="8">
        <v>1.0</v>
      </c>
      <c r="E61" s="29" t="s">
        <v>218</v>
      </c>
      <c r="F61" s="15">
        <v>170.0</v>
      </c>
      <c r="G61" s="13">
        <v>45098.0</v>
      </c>
      <c r="H61" s="15">
        <v>114.81</v>
      </c>
      <c r="I61" s="15">
        <v>115.96</v>
      </c>
      <c r="J61" s="12">
        <f t="shared" si="4"/>
        <v>120.5984</v>
      </c>
      <c r="K61" s="15">
        <v>13.0</v>
      </c>
      <c r="L61" s="16"/>
      <c r="M61" s="8" t="s">
        <v>24</v>
      </c>
      <c r="N61" s="8" t="s">
        <v>25</v>
      </c>
      <c r="O61" s="8"/>
      <c r="P61" s="12">
        <f t="shared" si="2"/>
        <v>36.4016</v>
      </c>
      <c r="Q61" s="8"/>
      <c r="R61" s="8" t="s">
        <v>25</v>
      </c>
      <c r="S61" s="24" t="s">
        <v>219</v>
      </c>
      <c r="T61" s="8" t="s">
        <v>27</v>
      </c>
    </row>
    <row r="62" ht="15.75" customHeight="1">
      <c r="A62" s="8" t="s">
        <v>20</v>
      </c>
      <c r="B62" s="8" t="s">
        <v>37</v>
      </c>
      <c r="C62" s="9" t="s">
        <v>220</v>
      </c>
      <c r="D62" s="8">
        <v>1.0</v>
      </c>
      <c r="E62" s="29" t="s">
        <v>221</v>
      </c>
      <c r="F62" s="15">
        <v>0.0</v>
      </c>
      <c r="G62" s="13">
        <v>45091.0</v>
      </c>
      <c r="H62" s="15"/>
      <c r="I62" s="12"/>
      <c r="J62" s="12">
        <f t="shared" si="4"/>
        <v>0</v>
      </c>
      <c r="K62" s="15">
        <v>160.0</v>
      </c>
      <c r="L62" s="16"/>
      <c r="M62" s="8" t="s">
        <v>24</v>
      </c>
      <c r="N62" s="8" t="s">
        <v>25</v>
      </c>
      <c r="O62" s="8"/>
      <c r="P62" s="12">
        <f t="shared" si="2"/>
        <v>-160</v>
      </c>
      <c r="Q62" s="8"/>
      <c r="R62" s="8" t="s">
        <v>25</v>
      </c>
      <c r="S62" s="24" t="s">
        <v>222</v>
      </c>
      <c r="T62" s="8" t="s">
        <v>27</v>
      </c>
    </row>
    <row r="63" ht="15.75" customHeight="1">
      <c r="A63" s="8" t="s">
        <v>20</v>
      </c>
      <c r="B63" s="8" t="s">
        <v>67</v>
      </c>
      <c r="C63" s="9" t="s">
        <v>223</v>
      </c>
      <c r="D63" s="8">
        <v>1.0</v>
      </c>
      <c r="E63" s="8" t="s">
        <v>224</v>
      </c>
      <c r="F63" s="15">
        <v>440.0</v>
      </c>
      <c r="G63" s="8"/>
      <c r="H63" s="15"/>
      <c r="I63" s="15">
        <v>252.48</v>
      </c>
      <c r="J63" s="12">
        <f t="shared" si="4"/>
        <v>262.5792</v>
      </c>
      <c r="K63" s="15">
        <v>80.0</v>
      </c>
      <c r="L63" s="16"/>
      <c r="M63" s="8" t="s">
        <v>24</v>
      </c>
      <c r="N63" s="8" t="s">
        <v>25</v>
      </c>
      <c r="O63" s="8"/>
      <c r="P63" s="12">
        <f t="shared" si="2"/>
        <v>97.4208</v>
      </c>
      <c r="Q63" s="8"/>
      <c r="R63" s="8" t="s">
        <v>25</v>
      </c>
      <c r="S63" s="24" t="s">
        <v>24</v>
      </c>
      <c r="T63" s="8" t="s">
        <v>27</v>
      </c>
    </row>
    <row r="64" ht="15.75" customHeight="1">
      <c r="A64" s="8" t="s">
        <v>20</v>
      </c>
      <c r="B64" s="8" t="s">
        <v>67</v>
      </c>
      <c r="C64" s="9" t="s">
        <v>225</v>
      </c>
      <c r="D64" s="8">
        <v>1.0</v>
      </c>
      <c r="E64" s="8" t="s">
        <v>224</v>
      </c>
      <c r="F64" s="15">
        <v>2588.0</v>
      </c>
      <c r="G64" s="8"/>
      <c r="H64" s="15"/>
      <c r="I64" s="15">
        <v>1645.61</v>
      </c>
      <c r="J64" s="12">
        <f t="shared" si="4"/>
        <v>1711.4344</v>
      </c>
      <c r="K64" s="15">
        <v>280.0</v>
      </c>
      <c r="L64" s="16"/>
      <c r="M64" s="8" t="s">
        <v>24</v>
      </c>
      <c r="N64" s="8" t="s">
        <v>25</v>
      </c>
      <c r="O64" s="8"/>
      <c r="P64" s="12">
        <f t="shared" si="2"/>
        <v>596.5656</v>
      </c>
      <c r="Q64" s="8"/>
      <c r="R64" s="8" t="s">
        <v>25</v>
      </c>
      <c r="S64" s="24" t="s">
        <v>24</v>
      </c>
      <c r="T64" s="8" t="s">
        <v>27</v>
      </c>
    </row>
    <row r="65" ht="15.75" customHeight="1">
      <c r="A65" s="8" t="s">
        <v>20</v>
      </c>
      <c r="B65" s="8" t="s">
        <v>67</v>
      </c>
      <c r="C65" s="9" t="s">
        <v>226</v>
      </c>
      <c r="D65" s="8">
        <v>1.0</v>
      </c>
      <c r="E65" s="8" t="s">
        <v>224</v>
      </c>
      <c r="F65" s="15">
        <v>724.0</v>
      </c>
      <c r="G65" s="13"/>
      <c r="H65" s="15"/>
      <c r="I65" s="15">
        <v>407.37</v>
      </c>
      <c r="J65" s="12">
        <f t="shared" si="4"/>
        <v>423.6648</v>
      </c>
      <c r="K65" s="15">
        <v>180.0</v>
      </c>
      <c r="L65" s="16"/>
      <c r="M65" s="8" t="s">
        <v>24</v>
      </c>
      <c r="N65" s="8" t="s">
        <v>25</v>
      </c>
      <c r="O65" s="8"/>
      <c r="P65" s="12">
        <f t="shared" si="2"/>
        <v>120.3352</v>
      </c>
      <c r="Q65" s="8"/>
      <c r="R65" s="8" t="s">
        <v>25</v>
      </c>
      <c r="S65" s="24" t="s">
        <v>24</v>
      </c>
      <c r="T65" s="8" t="s">
        <v>27</v>
      </c>
    </row>
    <row r="66" ht="15.75" customHeight="1">
      <c r="A66" s="8" t="s">
        <v>20</v>
      </c>
      <c r="B66" s="36" t="s">
        <v>179</v>
      </c>
      <c r="C66" s="9" t="s">
        <v>227</v>
      </c>
      <c r="D66" s="8">
        <v>1.0</v>
      </c>
      <c r="E66" s="18" t="s">
        <v>228</v>
      </c>
      <c r="F66" s="15">
        <v>100.0</v>
      </c>
      <c r="G66" s="13">
        <v>45103.0</v>
      </c>
      <c r="H66" s="15">
        <v>53.95</v>
      </c>
      <c r="I66" s="15">
        <v>54.94</v>
      </c>
      <c r="J66" s="12">
        <f t="shared" si="4"/>
        <v>57.1376</v>
      </c>
      <c r="K66" s="15">
        <v>0.0</v>
      </c>
      <c r="L66" s="16"/>
      <c r="M66" s="8" t="s">
        <v>24</v>
      </c>
      <c r="N66" s="8" t="s">
        <v>25</v>
      </c>
      <c r="O66" s="8"/>
      <c r="P66" s="12">
        <f t="shared" si="2"/>
        <v>42.8624</v>
      </c>
      <c r="Q66" s="8"/>
      <c r="R66" s="8" t="s">
        <v>25</v>
      </c>
      <c r="S66" s="24" t="s">
        <v>229</v>
      </c>
      <c r="T66" s="8" t="s">
        <v>27</v>
      </c>
    </row>
    <row r="67" ht="15.75" customHeight="1">
      <c r="A67" s="8" t="s">
        <v>20</v>
      </c>
      <c r="B67" s="8" t="s">
        <v>230</v>
      </c>
      <c r="C67" s="9" t="s">
        <v>231</v>
      </c>
      <c r="D67" s="8">
        <v>1.0</v>
      </c>
      <c r="E67" s="11" t="s">
        <v>232</v>
      </c>
      <c r="F67" s="15">
        <v>760.0</v>
      </c>
      <c r="G67" s="13">
        <v>45105.0</v>
      </c>
      <c r="H67" s="15">
        <v>394.83</v>
      </c>
      <c r="I67" s="15">
        <v>398.78</v>
      </c>
      <c r="J67" s="12">
        <f t="shared" si="4"/>
        <v>414.7312</v>
      </c>
      <c r="K67" s="15">
        <v>225.0</v>
      </c>
      <c r="L67" s="16"/>
      <c r="M67" s="8" t="s">
        <v>24</v>
      </c>
      <c r="N67" s="8" t="s">
        <v>25</v>
      </c>
      <c r="O67" s="8"/>
      <c r="P67" s="12">
        <f t="shared" si="2"/>
        <v>120.2688</v>
      </c>
      <c r="Q67" s="8"/>
      <c r="R67" s="8" t="s">
        <v>25</v>
      </c>
      <c r="S67" s="24" t="s">
        <v>233</v>
      </c>
      <c r="T67" s="8" t="s">
        <v>27</v>
      </c>
    </row>
    <row r="68" ht="15.75" customHeight="1">
      <c r="A68" s="8" t="s">
        <v>20</v>
      </c>
      <c r="B68" s="8" t="s">
        <v>234</v>
      </c>
      <c r="C68" s="9" t="s">
        <v>235</v>
      </c>
      <c r="D68" s="8">
        <v>1.0</v>
      </c>
      <c r="E68" s="11" t="s">
        <v>236</v>
      </c>
      <c r="F68" s="15">
        <v>318.0</v>
      </c>
      <c r="G68" s="13">
        <v>45105.0</v>
      </c>
      <c r="H68" s="15">
        <v>139.05</v>
      </c>
      <c r="I68" s="15">
        <v>140.44</v>
      </c>
      <c r="J68" s="12">
        <f t="shared" si="4"/>
        <v>146.0576</v>
      </c>
      <c r="K68" s="15">
        <v>135.0</v>
      </c>
      <c r="L68" s="16"/>
      <c r="M68" s="8" t="s">
        <v>24</v>
      </c>
      <c r="N68" s="8" t="s">
        <v>25</v>
      </c>
      <c r="O68" s="8"/>
      <c r="P68" s="12">
        <f t="shared" si="2"/>
        <v>36.9424</v>
      </c>
      <c r="Q68" s="8"/>
      <c r="R68" s="8" t="s">
        <v>25</v>
      </c>
      <c r="S68" s="24" t="s">
        <v>237</v>
      </c>
      <c r="T68" s="8" t="s">
        <v>27</v>
      </c>
    </row>
    <row r="69" ht="15.75" customHeight="1">
      <c r="A69" s="8" t="s">
        <v>20</v>
      </c>
      <c r="B69" s="8" t="s">
        <v>67</v>
      </c>
      <c r="C69" s="9" t="s">
        <v>238</v>
      </c>
      <c r="D69" s="8">
        <v>1.0</v>
      </c>
      <c r="E69" s="11" t="s">
        <v>239</v>
      </c>
      <c r="F69" s="38">
        <v>550.0</v>
      </c>
      <c r="G69" s="13">
        <v>45141.0</v>
      </c>
      <c r="H69" s="15">
        <v>359.41</v>
      </c>
      <c r="I69" s="15">
        <v>363.0</v>
      </c>
      <c r="J69" s="12">
        <f t="shared" si="4"/>
        <v>377.52</v>
      </c>
      <c r="K69" s="15">
        <v>80.0</v>
      </c>
      <c r="L69" s="16"/>
      <c r="M69" s="8" t="s">
        <v>24</v>
      </c>
      <c r="N69" s="39" t="s">
        <v>25</v>
      </c>
      <c r="O69" s="8"/>
      <c r="P69" s="12">
        <f t="shared" si="2"/>
        <v>92.48</v>
      </c>
      <c r="Q69" s="8"/>
      <c r="R69" s="8" t="s">
        <v>25</v>
      </c>
      <c r="S69" s="24" t="s">
        <v>240</v>
      </c>
      <c r="T69" s="8" t="s">
        <v>27</v>
      </c>
    </row>
    <row r="70" ht="15.75" customHeight="1">
      <c r="A70" s="8" t="s">
        <v>20</v>
      </c>
      <c r="B70" s="8" t="s">
        <v>241</v>
      </c>
      <c r="C70" s="9" t="s">
        <v>242</v>
      </c>
      <c r="D70" s="8">
        <v>1.0</v>
      </c>
      <c r="E70" s="8"/>
      <c r="F70" s="15">
        <v>420.0</v>
      </c>
      <c r="G70" s="13">
        <v>45141.0</v>
      </c>
      <c r="H70" s="15">
        <v>0.0</v>
      </c>
      <c r="I70" s="15">
        <v>0.0</v>
      </c>
      <c r="J70" s="12">
        <f t="shared" si="4"/>
        <v>0</v>
      </c>
      <c r="K70" s="15">
        <v>270.0</v>
      </c>
      <c r="L70" s="16"/>
      <c r="M70" s="8" t="s">
        <v>24</v>
      </c>
      <c r="N70" s="8" t="s">
        <v>25</v>
      </c>
      <c r="O70" s="8"/>
      <c r="P70" s="12">
        <f t="shared" si="2"/>
        <v>150</v>
      </c>
      <c r="Q70" s="8"/>
      <c r="R70" s="8" t="s">
        <v>25</v>
      </c>
      <c r="S70" s="24" t="s">
        <v>243</v>
      </c>
      <c r="T70" s="8" t="s">
        <v>27</v>
      </c>
    </row>
    <row r="71" ht="15.75" customHeight="1">
      <c r="A71" s="8" t="s">
        <v>20</v>
      </c>
      <c r="B71" s="8" t="s">
        <v>244</v>
      </c>
      <c r="C71" s="9" t="s">
        <v>245</v>
      </c>
      <c r="D71" s="8">
        <v>1.0</v>
      </c>
      <c r="E71" s="11" t="s">
        <v>246</v>
      </c>
      <c r="F71" s="15">
        <v>143.36</v>
      </c>
      <c r="G71" s="13">
        <v>45141.0</v>
      </c>
      <c r="H71" s="15"/>
      <c r="I71" s="15">
        <v>98.36</v>
      </c>
      <c r="J71" s="15">
        <v>0.0</v>
      </c>
      <c r="K71" s="15">
        <v>45.0</v>
      </c>
      <c r="L71" s="16"/>
      <c r="M71" s="8" t="s">
        <v>24</v>
      </c>
      <c r="N71" s="8" t="s">
        <v>25</v>
      </c>
      <c r="O71" s="8"/>
      <c r="P71" s="15">
        <v>0.0</v>
      </c>
      <c r="Q71" s="8"/>
      <c r="R71" s="8" t="s">
        <v>25</v>
      </c>
      <c r="S71" s="24" t="s">
        <v>24</v>
      </c>
      <c r="T71" s="8" t="s">
        <v>27</v>
      </c>
    </row>
    <row r="72" ht="15.75" customHeight="1">
      <c r="A72" s="8" t="s">
        <v>20</v>
      </c>
      <c r="B72" s="8" t="s">
        <v>37</v>
      </c>
      <c r="C72" s="9" t="s">
        <v>247</v>
      </c>
      <c r="D72" s="8">
        <v>1.0</v>
      </c>
      <c r="E72" s="29" t="s">
        <v>248</v>
      </c>
      <c r="F72" s="15">
        <v>0.0</v>
      </c>
      <c r="G72" s="13"/>
      <c r="H72" s="15"/>
      <c r="I72" s="15">
        <v>0.0</v>
      </c>
      <c r="J72" s="12">
        <f t="shared" ref="J72:J107" si="5">I72+(I72*0.04)</f>
        <v>0</v>
      </c>
      <c r="K72" s="15">
        <v>10.0</v>
      </c>
      <c r="L72" s="16"/>
      <c r="M72" s="8" t="s">
        <v>24</v>
      </c>
      <c r="N72" s="8" t="s">
        <v>25</v>
      </c>
      <c r="O72" s="8"/>
      <c r="P72" s="12">
        <f t="shared" ref="P72:P102" si="6">F72-(J72+K72)</f>
        <v>-10</v>
      </c>
      <c r="Q72" s="8"/>
      <c r="R72" s="8" t="s">
        <v>25</v>
      </c>
      <c r="S72" s="24" t="s">
        <v>249</v>
      </c>
      <c r="T72" s="8" t="s">
        <v>27</v>
      </c>
    </row>
    <row r="73" ht="15.75" customHeight="1">
      <c r="A73" s="8" t="s">
        <v>20</v>
      </c>
      <c r="B73" s="8" t="s">
        <v>37</v>
      </c>
      <c r="C73" s="9" t="s">
        <v>250</v>
      </c>
      <c r="D73" s="8">
        <v>1.0</v>
      </c>
      <c r="E73" s="11" t="s">
        <v>251</v>
      </c>
      <c r="F73" s="15">
        <v>0.0</v>
      </c>
      <c r="G73" s="13"/>
      <c r="H73" s="15"/>
      <c r="I73" s="15">
        <v>0.0</v>
      </c>
      <c r="J73" s="12">
        <f t="shared" si="5"/>
        <v>0</v>
      </c>
      <c r="K73" s="15">
        <v>80.0</v>
      </c>
      <c r="L73" s="16"/>
      <c r="M73" s="8" t="s">
        <v>24</v>
      </c>
      <c r="N73" s="8" t="s">
        <v>25</v>
      </c>
      <c r="O73" s="8"/>
      <c r="P73" s="12">
        <f t="shared" si="6"/>
        <v>-80</v>
      </c>
      <c r="Q73" s="8"/>
      <c r="R73" s="8" t="s">
        <v>25</v>
      </c>
      <c r="S73" s="24" t="s">
        <v>252</v>
      </c>
      <c r="T73" s="8" t="s">
        <v>27</v>
      </c>
    </row>
    <row r="74" ht="15.75" customHeight="1">
      <c r="A74" s="8" t="s">
        <v>20</v>
      </c>
      <c r="B74" s="8" t="s">
        <v>37</v>
      </c>
      <c r="C74" s="9" t="s">
        <v>253</v>
      </c>
      <c r="D74" s="8">
        <v>1.0</v>
      </c>
      <c r="E74" s="11" t="s">
        <v>254</v>
      </c>
      <c r="F74" s="15">
        <v>0.0</v>
      </c>
      <c r="G74" s="13"/>
      <c r="H74" s="15"/>
      <c r="I74" s="15">
        <v>0.0</v>
      </c>
      <c r="J74" s="12">
        <f t="shared" si="5"/>
        <v>0</v>
      </c>
      <c r="K74" s="15">
        <v>80.0</v>
      </c>
      <c r="L74" s="16"/>
      <c r="M74" s="8" t="s">
        <v>24</v>
      </c>
      <c r="N74" s="8" t="s">
        <v>25</v>
      </c>
      <c r="O74" s="8"/>
      <c r="P74" s="12">
        <f t="shared" si="6"/>
        <v>-80</v>
      </c>
      <c r="Q74" s="8"/>
      <c r="R74" s="8" t="s">
        <v>25</v>
      </c>
      <c r="S74" s="24" t="s">
        <v>255</v>
      </c>
      <c r="T74" s="8" t="s">
        <v>27</v>
      </c>
    </row>
    <row r="75" ht="15.75" customHeight="1">
      <c r="A75" s="8" t="s">
        <v>20</v>
      </c>
      <c r="B75" s="8" t="s">
        <v>37</v>
      </c>
      <c r="C75" s="9" t="s">
        <v>256</v>
      </c>
      <c r="D75" s="8">
        <v>1.0</v>
      </c>
      <c r="E75" s="29" t="s">
        <v>257</v>
      </c>
      <c r="F75" s="15">
        <v>0.0</v>
      </c>
      <c r="G75" s="13"/>
      <c r="H75" s="15"/>
      <c r="I75" s="15">
        <v>0.0</v>
      </c>
      <c r="J75" s="12">
        <f t="shared" si="5"/>
        <v>0</v>
      </c>
      <c r="K75" s="15">
        <v>10.0</v>
      </c>
      <c r="L75" s="16"/>
      <c r="M75" s="8" t="s">
        <v>24</v>
      </c>
      <c r="N75" s="8" t="s">
        <v>25</v>
      </c>
      <c r="O75" s="8"/>
      <c r="P75" s="12">
        <f t="shared" si="6"/>
        <v>-10</v>
      </c>
      <c r="Q75" s="8"/>
      <c r="R75" s="8" t="s">
        <v>25</v>
      </c>
      <c r="S75" s="24" t="s">
        <v>258</v>
      </c>
      <c r="T75" s="8" t="s">
        <v>27</v>
      </c>
    </row>
    <row r="76" ht="15.75" customHeight="1">
      <c r="A76" s="8" t="s">
        <v>20</v>
      </c>
      <c r="B76" s="8" t="s">
        <v>37</v>
      </c>
      <c r="C76" s="9" t="s">
        <v>259</v>
      </c>
      <c r="D76" s="8">
        <v>1.0</v>
      </c>
      <c r="E76" s="11" t="s">
        <v>260</v>
      </c>
      <c r="F76" s="15">
        <v>0.0</v>
      </c>
      <c r="G76" s="13"/>
      <c r="H76" s="15"/>
      <c r="I76" s="15">
        <v>0.0</v>
      </c>
      <c r="J76" s="12">
        <f t="shared" si="5"/>
        <v>0</v>
      </c>
      <c r="K76" s="12"/>
      <c r="L76" s="40"/>
      <c r="M76" s="8" t="s">
        <v>24</v>
      </c>
      <c r="N76" s="8" t="s">
        <v>25</v>
      </c>
      <c r="O76" s="8"/>
      <c r="P76" s="12">
        <f t="shared" si="6"/>
        <v>0</v>
      </c>
      <c r="Q76" s="8"/>
      <c r="R76" s="8" t="s">
        <v>25</v>
      </c>
      <c r="S76" s="24" t="s">
        <v>261</v>
      </c>
      <c r="T76" s="8" t="s">
        <v>27</v>
      </c>
    </row>
    <row r="77" ht="15.75" customHeight="1">
      <c r="A77" s="8" t="s">
        <v>20</v>
      </c>
      <c r="B77" s="8" t="s">
        <v>262</v>
      </c>
      <c r="C77" s="9" t="s">
        <v>263</v>
      </c>
      <c r="D77" s="8">
        <v>1.0</v>
      </c>
      <c r="E77" s="11" t="s">
        <v>264</v>
      </c>
      <c r="F77" s="15">
        <v>50.0</v>
      </c>
      <c r="G77" s="13"/>
      <c r="H77" s="15"/>
      <c r="I77" s="15">
        <v>31.34</v>
      </c>
      <c r="J77" s="12">
        <f t="shared" si="5"/>
        <v>32.5936</v>
      </c>
      <c r="K77" s="15">
        <v>4.0</v>
      </c>
      <c r="L77" s="16"/>
      <c r="M77" s="8" t="s">
        <v>24</v>
      </c>
      <c r="N77" s="8" t="s">
        <v>25</v>
      </c>
      <c r="O77" s="8"/>
      <c r="P77" s="12">
        <f t="shared" si="6"/>
        <v>13.4064</v>
      </c>
      <c r="Q77" s="8"/>
      <c r="R77" s="8" t="s">
        <v>25</v>
      </c>
      <c r="S77" s="24" t="s">
        <v>265</v>
      </c>
      <c r="T77" s="8" t="s">
        <v>27</v>
      </c>
    </row>
    <row r="78" ht="15.75" customHeight="1">
      <c r="A78" s="8" t="s">
        <v>20</v>
      </c>
      <c r="B78" s="8" t="s">
        <v>37</v>
      </c>
      <c r="C78" s="9" t="s">
        <v>266</v>
      </c>
      <c r="D78" s="8">
        <v>1.0</v>
      </c>
      <c r="E78" s="29" t="s">
        <v>267</v>
      </c>
      <c r="F78" s="15">
        <v>0.0</v>
      </c>
      <c r="G78" s="13"/>
      <c r="H78" s="15"/>
      <c r="I78" s="15">
        <v>0.0</v>
      </c>
      <c r="J78" s="12">
        <f t="shared" si="5"/>
        <v>0</v>
      </c>
      <c r="K78" s="12"/>
      <c r="L78" s="40"/>
      <c r="M78" s="8" t="s">
        <v>24</v>
      </c>
      <c r="N78" s="8" t="s">
        <v>25</v>
      </c>
      <c r="O78" s="8"/>
      <c r="P78" s="12">
        <f t="shared" si="6"/>
        <v>0</v>
      </c>
      <c r="Q78" s="8"/>
      <c r="R78" s="8" t="s">
        <v>25</v>
      </c>
      <c r="S78" s="24" t="s">
        <v>268</v>
      </c>
      <c r="T78" s="8" t="s">
        <v>27</v>
      </c>
    </row>
    <row r="79" ht="15.75" customHeight="1">
      <c r="A79" s="8" t="s">
        <v>20</v>
      </c>
      <c r="B79" s="8" t="s">
        <v>269</v>
      </c>
      <c r="C79" s="9" t="s">
        <v>270</v>
      </c>
      <c r="D79" s="8">
        <v>1.0</v>
      </c>
      <c r="E79" s="11" t="s">
        <v>271</v>
      </c>
      <c r="F79" s="15">
        <v>140.0</v>
      </c>
      <c r="G79" s="13"/>
      <c r="H79" s="15">
        <v>78.98</v>
      </c>
      <c r="I79" s="15">
        <v>79.77</v>
      </c>
      <c r="J79" s="12">
        <f t="shared" si="5"/>
        <v>82.9608</v>
      </c>
      <c r="K79" s="15">
        <v>24.0</v>
      </c>
      <c r="L79" s="16"/>
      <c r="M79" s="8" t="s">
        <v>24</v>
      </c>
      <c r="N79" s="8" t="s">
        <v>25</v>
      </c>
      <c r="O79" s="8"/>
      <c r="P79" s="12">
        <f t="shared" si="6"/>
        <v>33.0392</v>
      </c>
      <c r="Q79" s="8"/>
      <c r="R79" s="8" t="s">
        <v>25</v>
      </c>
      <c r="S79" s="24" t="s">
        <v>272</v>
      </c>
      <c r="T79" s="8" t="s">
        <v>27</v>
      </c>
    </row>
    <row r="80" ht="15.75" customHeight="1">
      <c r="A80" s="8" t="s">
        <v>20</v>
      </c>
      <c r="B80" s="8" t="s">
        <v>37</v>
      </c>
      <c r="C80" s="9" t="s">
        <v>273</v>
      </c>
      <c r="D80" s="8">
        <v>1.0</v>
      </c>
      <c r="E80" s="11" t="s">
        <v>274</v>
      </c>
      <c r="F80" s="15">
        <v>0.0</v>
      </c>
      <c r="G80" s="13"/>
      <c r="H80" s="15">
        <v>0.0</v>
      </c>
      <c r="I80" s="15">
        <v>0.0</v>
      </c>
      <c r="J80" s="12">
        <f t="shared" si="5"/>
        <v>0</v>
      </c>
      <c r="K80" s="15">
        <v>90.0</v>
      </c>
      <c r="L80" s="16"/>
      <c r="M80" s="8" t="s">
        <v>24</v>
      </c>
      <c r="N80" s="8" t="s">
        <v>25</v>
      </c>
      <c r="O80" s="8"/>
      <c r="P80" s="12">
        <f t="shared" si="6"/>
        <v>-90</v>
      </c>
      <c r="Q80" s="8"/>
      <c r="R80" s="8" t="s">
        <v>25</v>
      </c>
      <c r="S80" s="24" t="s">
        <v>275</v>
      </c>
      <c r="T80" s="8" t="s">
        <v>27</v>
      </c>
    </row>
    <row r="81" ht="15.75" customHeight="1">
      <c r="A81" s="8" t="s">
        <v>20</v>
      </c>
      <c r="B81" s="8" t="s">
        <v>37</v>
      </c>
      <c r="C81" s="9" t="s">
        <v>276</v>
      </c>
      <c r="D81" s="8">
        <v>1.0</v>
      </c>
      <c r="E81" s="29" t="s">
        <v>277</v>
      </c>
      <c r="F81" s="15">
        <v>0.0</v>
      </c>
      <c r="G81" s="13"/>
      <c r="H81" s="15">
        <v>0.0</v>
      </c>
      <c r="I81" s="15">
        <v>0.0</v>
      </c>
      <c r="J81" s="12">
        <f t="shared" si="5"/>
        <v>0</v>
      </c>
      <c r="K81" s="15">
        <v>20.0</v>
      </c>
      <c r="L81" s="16"/>
      <c r="M81" s="8" t="s">
        <v>24</v>
      </c>
      <c r="N81" s="8" t="s">
        <v>25</v>
      </c>
      <c r="O81" s="8"/>
      <c r="P81" s="12">
        <f t="shared" si="6"/>
        <v>-20</v>
      </c>
      <c r="Q81" s="8"/>
      <c r="R81" s="8" t="s">
        <v>25</v>
      </c>
      <c r="S81" s="24" t="s">
        <v>278</v>
      </c>
      <c r="T81" s="8" t="s">
        <v>27</v>
      </c>
    </row>
    <row r="82" ht="15.75" customHeight="1">
      <c r="A82" s="8" t="s">
        <v>20</v>
      </c>
      <c r="B82" s="8" t="s">
        <v>279</v>
      </c>
      <c r="C82" s="9" t="s">
        <v>280</v>
      </c>
      <c r="D82" s="8">
        <v>1.0</v>
      </c>
      <c r="E82" s="29" t="s">
        <v>281</v>
      </c>
      <c r="F82" s="15">
        <v>530.0</v>
      </c>
      <c r="G82" s="13">
        <v>45171.0</v>
      </c>
      <c r="H82" s="15">
        <v>367.19</v>
      </c>
      <c r="I82" s="15">
        <v>370.86</v>
      </c>
      <c r="J82" s="12">
        <f t="shared" si="5"/>
        <v>385.6944</v>
      </c>
      <c r="K82" s="15">
        <v>0.0</v>
      </c>
      <c r="L82" s="16"/>
      <c r="M82" s="8" t="s">
        <v>24</v>
      </c>
      <c r="N82" s="8" t="s">
        <v>25</v>
      </c>
      <c r="O82" s="8"/>
      <c r="P82" s="12">
        <f t="shared" si="6"/>
        <v>144.3056</v>
      </c>
      <c r="Q82" s="8"/>
      <c r="R82" s="8" t="s">
        <v>25</v>
      </c>
      <c r="S82" s="24" t="s">
        <v>282</v>
      </c>
      <c r="T82" s="8" t="s">
        <v>27</v>
      </c>
    </row>
    <row r="83" ht="15.75" customHeight="1">
      <c r="A83" s="8" t="s">
        <v>20</v>
      </c>
      <c r="B83" s="8" t="s">
        <v>269</v>
      </c>
      <c r="C83" s="9" t="s">
        <v>283</v>
      </c>
      <c r="D83" s="8">
        <v>1.0</v>
      </c>
      <c r="E83" s="29" t="s">
        <v>284</v>
      </c>
      <c r="F83" s="15">
        <v>1050.0</v>
      </c>
      <c r="G83" s="13"/>
      <c r="H83" s="15">
        <v>619.52</v>
      </c>
      <c r="I83" s="15">
        <v>625.72</v>
      </c>
      <c r="J83" s="12">
        <f t="shared" si="5"/>
        <v>650.7488</v>
      </c>
      <c r="K83" s="15">
        <v>160.0</v>
      </c>
      <c r="L83" s="16"/>
      <c r="M83" s="8" t="s">
        <v>24</v>
      </c>
      <c r="N83" s="8" t="s">
        <v>25</v>
      </c>
      <c r="O83" s="8"/>
      <c r="P83" s="12">
        <f t="shared" si="6"/>
        <v>239.2512</v>
      </c>
      <c r="Q83" s="8"/>
      <c r="R83" s="8" t="s">
        <v>25</v>
      </c>
      <c r="S83" s="41" t="s">
        <v>285</v>
      </c>
      <c r="T83" s="8" t="s">
        <v>27</v>
      </c>
    </row>
    <row r="84" ht="15.75" customHeight="1">
      <c r="A84" s="8" t="s">
        <v>20</v>
      </c>
      <c r="B84" s="8" t="s">
        <v>269</v>
      </c>
      <c r="C84" s="9" t="s">
        <v>286</v>
      </c>
      <c r="D84" s="8">
        <v>1.0</v>
      </c>
      <c r="E84" s="29" t="s">
        <v>287</v>
      </c>
      <c r="F84" s="38">
        <v>60.0</v>
      </c>
      <c r="G84" s="13"/>
      <c r="H84" s="15"/>
      <c r="I84" s="15">
        <v>40.05</v>
      </c>
      <c r="J84" s="12">
        <f t="shared" si="5"/>
        <v>41.652</v>
      </c>
      <c r="K84" s="15">
        <v>0.0</v>
      </c>
      <c r="L84" s="16"/>
      <c r="M84" s="8" t="s">
        <v>24</v>
      </c>
      <c r="N84" s="8" t="s">
        <v>25</v>
      </c>
      <c r="O84" s="8"/>
      <c r="P84" s="12">
        <f t="shared" si="6"/>
        <v>18.348</v>
      </c>
      <c r="Q84" s="8"/>
      <c r="R84" s="8" t="s">
        <v>25</v>
      </c>
      <c r="S84" s="24" t="s">
        <v>288</v>
      </c>
      <c r="T84" s="8" t="s">
        <v>27</v>
      </c>
    </row>
    <row r="85" ht="15.75" customHeight="1">
      <c r="A85" s="8" t="s">
        <v>20</v>
      </c>
      <c r="B85" s="8" t="s">
        <v>269</v>
      </c>
      <c r="C85" s="9" t="s">
        <v>289</v>
      </c>
      <c r="D85" s="8">
        <v>1.0</v>
      </c>
      <c r="E85" s="29" t="s">
        <v>290</v>
      </c>
      <c r="F85" s="38">
        <v>50.0</v>
      </c>
      <c r="G85" s="13"/>
      <c r="H85" s="15">
        <v>16.83</v>
      </c>
      <c r="I85" s="15">
        <v>17.0</v>
      </c>
      <c r="J85" s="12">
        <f t="shared" si="5"/>
        <v>17.68</v>
      </c>
      <c r="K85" s="15">
        <v>20.0</v>
      </c>
      <c r="L85" s="16"/>
      <c r="M85" s="8" t="s">
        <v>24</v>
      </c>
      <c r="N85" s="8" t="s">
        <v>25</v>
      </c>
      <c r="O85" s="8"/>
      <c r="P85" s="12">
        <f t="shared" si="6"/>
        <v>12.32</v>
      </c>
      <c r="Q85" s="8"/>
      <c r="R85" s="8" t="s">
        <v>25</v>
      </c>
      <c r="S85" s="24" t="s">
        <v>291</v>
      </c>
      <c r="T85" s="8" t="s">
        <v>27</v>
      </c>
    </row>
    <row r="86" ht="15.75" customHeight="1">
      <c r="A86" s="8" t="s">
        <v>20</v>
      </c>
      <c r="B86" s="41" t="s">
        <v>71</v>
      </c>
      <c r="C86" s="42" t="s">
        <v>292</v>
      </c>
      <c r="D86" s="41">
        <v>1.0</v>
      </c>
      <c r="E86" s="43" t="s">
        <v>293</v>
      </c>
      <c r="F86" s="44">
        <v>680.0</v>
      </c>
      <c r="G86" s="45"/>
      <c r="H86" s="44">
        <v>182.23</v>
      </c>
      <c r="I86" s="44">
        <v>184.05</v>
      </c>
      <c r="J86" s="12">
        <f t="shared" si="5"/>
        <v>191.412</v>
      </c>
      <c r="K86" s="44">
        <v>180.0</v>
      </c>
      <c r="L86" s="46"/>
      <c r="M86" s="8" t="s">
        <v>24</v>
      </c>
      <c r="N86" s="8" t="s">
        <v>25</v>
      </c>
      <c r="O86" s="8"/>
      <c r="P86" s="12">
        <f t="shared" si="6"/>
        <v>308.588</v>
      </c>
      <c r="Q86" s="8"/>
      <c r="R86" s="8" t="s">
        <v>25</v>
      </c>
      <c r="S86" s="41" t="s">
        <v>285</v>
      </c>
      <c r="T86" s="8" t="s">
        <v>27</v>
      </c>
    </row>
    <row r="87" ht="15.75" customHeight="1">
      <c r="A87" s="8" t="s">
        <v>20</v>
      </c>
      <c r="B87" s="41" t="s">
        <v>294</v>
      </c>
      <c r="C87" s="42" t="s">
        <v>295</v>
      </c>
      <c r="D87" s="41">
        <v>1.0</v>
      </c>
      <c r="E87" s="47" t="s">
        <v>296</v>
      </c>
      <c r="F87" s="44">
        <f>1250+200+180</f>
        <v>1630</v>
      </c>
      <c r="G87" s="45"/>
      <c r="H87" s="44">
        <v>1040.5</v>
      </c>
      <c r="I87" s="44">
        <v>1050.91</v>
      </c>
      <c r="J87" s="12">
        <f t="shared" si="5"/>
        <v>1092.9464</v>
      </c>
      <c r="K87" s="44">
        <v>160.0</v>
      </c>
      <c r="L87" s="46"/>
      <c r="M87" s="8" t="s">
        <v>24</v>
      </c>
      <c r="N87" s="8" t="s">
        <v>25</v>
      </c>
      <c r="O87" s="8"/>
      <c r="P87" s="12">
        <f t="shared" si="6"/>
        <v>377.0536</v>
      </c>
      <c r="Q87" s="8"/>
      <c r="R87" s="8" t="s">
        <v>25</v>
      </c>
      <c r="S87" s="48" t="s">
        <v>297</v>
      </c>
      <c r="T87" s="8" t="s">
        <v>27</v>
      </c>
    </row>
    <row r="88" ht="15.75" customHeight="1">
      <c r="A88" s="8" t="s">
        <v>20</v>
      </c>
      <c r="B88" s="41" t="s">
        <v>294</v>
      </c>
      <c r="C88" s="42" t="s">
        <v>298</v>
      </c>
      <c r="D88" s="41">
        <v>1.0</v>
      </c>
      <c r="E88" s="49" t="s">
        <v>299</v>
      </c>
      <c r="F88" s="44">
        <v>790.0</v>
      </c>
      <c r="G88" s="45"/>
      <c r="H88" s="44">
        <v>558.54</v>
      </c>
      <c r="I88" s="44">
        <v>564.13</v>
      </c>
      <c r="J88" s="12">
        <f t="shared" si="5"/>
        <v>586.6952</v>
      </c>
      <c r="K88" s="44">
        <v>0.0</v>
      </c>
      <c r="L88" s="46"/>
      <c r="M88" s="8" t="s">
        <v>24</v>
      </c>
      <c r="N88" s="8" t="s">
        <v>25</v>
      </c>
      <c r="O88" s="8"/>
      <c r="P88" s="12">
        <f t="shared" si="6"/>
        <v>203.3048</v>
      </c>
      <c r="Q88" s="8"/>
      <c r="R88" s="8" t="s">
        <v>25</v>
      </c>
      <c r="S88" s="41" t="s">
        <v>300</v>
      </c>
      <c r="T88" s="8" t="s">
        <v>27</v>
      </c>
    </row>
    <row r="89" ht="15.75" customHeight="1">
      <c r="A89" s="8" t="s">
        <v>20</v>
      </c>
      <c r="B89" s="41" t="s">
        <v>301</v>
      </c>
      <c r="C89" s="42" t="s">
        <v>302</v>
      </c>
      <c r="D89" s="41">
        <v>1.0</v>
      </c>
      <c r="E89" s="47" t="s">
        <v>303</v>
      </c>
      <c r="F89" s="44">
        <v>160.0</v>
      </c>
      <c r="G89" s="50"/>
      <c r="H89" s="44">
        <v>63.87</v>
      </c>
      <c r="I89" s="44">
        <v>64.51</v>
      </c>
      <c r="J89" s="12">
        <f t="shared" si="5"/>
        <v>67.0904</v>
      </c>
      <c r="K89" s="44">
        <v>0.0</v>
      </c>
      <c r="L89" s="46"/>
      <c r="M89" s="8" t="s">
        <v>24</v>
      </c>
      <c r="N89" s="8" t="s">
        <v>25</v>
      </c>
      <c r="O89" s="8"/>
      <c r="P89" s="12">
        <f t="shared" si="6"/>
        <v>92.9096</v>
      </c>
      <c r="Q89" s="8"/>
      <c r="R89" s="8" t="s">
        <v>25</v>
      </c>
      <c r="S89" s="51" t="s">
        <v>304</v>
      </c>
      <c r="T89" s="8" t="s">
        <v>27</v>
      </c>
    </row>
    <row r="90" ht="15.75" customHeight="1">
      <c r="A90" s="8" t="s">
        <v>20</v>
      </c>
      <c r="B90" s="41" t="s">
        <v>269</v>
      </c>
      <c r="C90" s="42" t="s">
        <v>305</v>
      </c>
      <c r="D90" s="41">
        <v>1.0</v>
      </c>
      <c r="E90" s="47" t="s">
        <v>306</v>
      </c>
      <c r="F90" s="38">
        <v>55.0</v>
      </c>
      <c r="G90" s="45"/>
      <c r="H90" s="52"/>
      <c r="I90" s="44">
        <v>31.09</v>
      </c>
      <c r="J90" s="12">
        <f t="shared" si="5"/>
        <v>32.3336</v>
      </c>
      <c r="K90" s="44">
        <v>10.0</v>
      </c>
      <c r="L90" s="46"/>
      <c r="M90" s="8" t="s">
        <v>24</v>
      </c>
      <c r="N90" s="8" t="s">
        <v>25</v>
      </c>
      <c r="O90" s="8"/>
      <c r="P90" s="12">
        <f t="shared" si="6"/>
        <v>12.6664</v>
      </c>
      <c r="Q90" s="8"/>
      <c r="R90" s="8" t="s">
        <v>25</v>
      </c>
      <c r="S90" s="41" t="s">
        <v>307</v>
      </c>
      <c r="T90" s="8" t="s">
        <v>27</v>
      </c>
    </row>
    <row r="91" ht="15.75" customHeight="1">
      <c r="A91" s="8" t="s">
        <v>20</v>
      </c>
      <c r="B91" s="41" t="s">
        <v>269</v>
      </c>
      <c r="C91" s="42" t="s">
        <v>308</v>
      </c>
      <c r="D91" s="41">
        <v>1.0</v>
      </c>
      <c r="E91" s="47" t="s">
        <v>309</v>
      </c>
      <c r="F91" s="38">
        <v>55.0</v>
      </c>
      <c r="G91" s="45"/>
      <c r="H91" s="52"/>
      <c r="I91" s="44">
        <v>30.66</v>
      </c>
      <c r="J91" s="12">
        <f t="shared" si="5"/>
        <v>31.8864</v>
      </c>
      <c r="K91" s="44">
        <v>10.0</v>
      </c>
      <c r="L91" s="46"/>
      <c r="M91" s="8" t="s">
        <v>24</v>
      </c>
      <c r="N91" s="8" t="s">
        <v>25</v>
      </c>
      <c r="O91" s="8"/>
      <c r="P91" s="12">
        <f t="shared" si="6"/>
        <v>13.1136</v>
      </c>
      <c r="Q91" s="8"/>
      <c r="R91" s="8" t="s">
        <v>25</v>
      </c>
      <c r="S91" s="41" t="s">
        <v>310</v>
      </c>
      <c r="T91" s="8" t="s">
        <v>27</v>
      </c>
    </row>
    <row r="92" ht="15.75" customHeight="1">
      <c r="A92" s="8" t="s">
        <v>20</v>
      </c>
      <c r="B92" s="41" t="s">
        <v>311</v>
      </c>
      <c r="C92" s="42" t="s">
        <v>312</v>
      </c>
      <c r="D92" s="41">
        <v>1.0</v>
      </c>
      <c r="E92" s="49" t="s">
        <v>313</v>
      </c>
      <c r="F92" s="38">
        <v>140.0</v>
      </c>
      <c r="G92" s="53">
        <v>45167.0</v>
      </c>
      <c r="H92" s="44">
        <v>104.35</v>
      </c>
      <c r="I92" s="44">
        <v>105.39</v>
      </c>
      <c r="J92" s="12">
        <f t="shared" si="5"/>
        <v>109.6056</v>
      </c>
      <c r="K92" s="44">
        <v>0.0</v>
      </c>
      <c r="L92" s="46"/>
      <c r="M92" s="8" t="s">
        <v>24</v>
      </c>
      <c r="N92" s="8" t="s">
        <v>25</v>
      </c>
      <c r="O92" s="8"/>
      <c r="P92" s="12">
        <f t="shared" si="6"/>
        <v>30.3944</v>
      </c>
      <c r="Q92" s="8"/>
      <c r="R92" s="8" t="s">
        <v>25</v>
      </c>
      <c r="S92" s="41" t="s">
        <v>314</v>
      </c>
      <c r="T92" s="8" t="s">
        <v>27</v>
      </c>
    </row>
    <row r="93" ht="15.75" customHeight="1">
      <c r="A93" s="8" t="s">
        <v>20</v>
      </c>
      <c r="B93" s="36" t="s">
        <v>179</v>
      </c>
      <c r="C93" s="42" t="s">
        <v>315</v>
      </c>
      <c r="D93" s="41">
        <v>8.0</v>
      </c>
      <c r="E93" s="49" t="s">
        <v>316</v>
      </c>
      <c r="F93" s="44">
        <v>3300.0</v>
      </c>
      <c r="G93" s="54">
        <v>45168.0</v>
      </c>
      <c r="H93" s="44">
        <v>2121.08</v>
      </c>
      <c r="I93" s="44">
        <v>2142.29</v>
      </c>
      <c r="J93" s="12">
        <f t="shared" si="5"/>
        <v>2227.9816</v>
      </c>
      <c r="K93" s="44">
        <v>120.0</v>
      </c>
      <c r="L93" s="46"/>
      <c r="M93" s="8" t="s">
        <v>24</v>
      </c>
      <c r="N93" s="8" t="s">
        <v>25</v>
      </c>
      <c r="O93" s="8"/>
      <c r="P93" s="12">
        <f t="shared" si="6"/>
        <v>952.0184</v>
      </c>
      <c r="Q93" s="8"/>
      <c r="R93" s="8" t="s">
        <v>25</v>
      </c>
      <c r="S93" s="41" t="s">
        <v>317</v>
      </c>
      <c r="T93" s="8" t="s">
        <v>27</v>
      </c>
    </row>
    <row r="94" ht="15.75" customHeight="1">
      <c r="A94" s="8" t="s">
        <v>20</v>
      </c>
      <c r="B94" s="41" t="s">
        <v>318</v>
      </c>
      <c r="C94" s="42" t="s">
        <v>319</v>
      </c>
      <c r="D94" s="41">
        <v>1.0</v>
      </c>
      <c r="E94" s="49" t="s">
        <v>320</v>
      </c>
      <c r="F94" s="44">
        <v>200.0</v>
      </c>
      <c r="G94" s="54">
        <v>45171.0</v>
      </c>
      <c r="H94" s="44">
        <v>117.65</v>
      </c>
      <c r="I94" s="44">
        <v>118.83</v>
      </c>
      <c r="J94" s="12">
        <f t="shared" si="5"/>
        <v>123.5832</v>
      </c>
      <c r="K94" s="44">
        <v>10.0</v>
      </c>
      <c r="L94" s="46"/>
      <c r="M94" s="8" t="s">
        <v>24</v>
      </c>
      <c r="N94" s="8" t="s">
        <v>25</v>
      </c>
      <c r="O94" s="8"/>
      <c r="P94" s="12">
        <f t="shared" si="6"/>
        <v>66.4168</v>
      </c>
      <c r="Q94" s="8"/>
      <c r="R94" s="8" t="s">
        <v>25</v>
      </c>
      <c r="S94" s="41" t="s">
        <v>321</v>
      </c>
      <c r="T94" s="8" t="s">
        <v>27</v>
      </c>
    </row>
    <row r="95" ht="15.75" customHeight="1">
      <c r="A95" s="8" t="s">
        <v>20</v>
      </c>
      <c r="B95" s="41" t="s">
        <v>322</v>
      </c>
      <c r="C95" s="42" t="s">
        <v>323</v>
      </c>
      <c r="D95" s="41">
        <v>1.0</v>
      </c>
      <c r="E95" s="49" t="s">
        <v>324</v>
      </c>
      <c r="F95" s="44">
        <v>95.0</v>
      </c>
      <c r="G95" s="54">
        <v>45175.0</v>
      </c>
      <c r="H95" s="44">
        <v>38.13</v>
      </c>
      <c r="I95" s="44">
        <v>38.51</v>
      </c>
      <c r="J95" s="12">
        <f t="shared" si="5"/>
        <v>40.0504</v>
      </c>
      <c r="K95" s="44">
        <v>40.0</v>
      </c>
      <c r="L95" s="46"/>
      <c r="M95" s="8" t="s">
        <v>24</v>
      </c>
      <c r="N95" s="8" t="s">
        <v>25</v>
      </c>
      <c r="O95" s="8"/>
      <c r="P95" s="12">
        <f t="shared" si="6"/>
        <v>14.9496</v>
      </c>
      <c r="Q95" s="8"/>
      <c r="R95" s="8" t="s">
        <v>25</v>
      </c>
      <c r="S95" s="41" t="s">
        <v>325</v>
      </c>
      <c r="T95" s="8" t="s">
        <v>27</v>
      </c>
    </row>
    <row r="96" ht="15.75" customHeight="1">
      <c r="A96" s="8" t="s">
        <v>20</v>
      </c>
      <c r="B96" s="41" t="s">
        <v>326</v>
      </c>
      <c r="C96" s="42" t="s">
        <v>327</v>
      </c>
      <c r="D96" s="41">
        <v>1.0</v>
      </c>
      <c r="E96" s="47" t="s">
        <v>328</v>
      </c>
      <c r="F96" s="44">
        <v>90.0</v>
      </c>
      <c r="G96" s="54">
        <v>45176.0</v>
      </c>
      <c r="H96" s="44">
        <v>28.76</v>
      </c>
      <c r="I96" s="44">
        <v>29.05</v>
      </c>
      <c r="J96" s="12">
        <f t="shared" si="5"/>
        <v>30.212</v>
      </c>
      <c r="K96" s="44">
        <v>10.0</v>
      </c>
      <c r="L96" s="46"/>
      <c r="M96" s="8" t="s">
        <v>24</v>
      </c>
      <c r="N96" s="8" t="s">
        <v>25</v>
      </c>
      <c r="O96" s="8"/>
      <c r="P96" s="12">
        <f t="shared" si="6"/>
        <v>49.788</v>
      </c>
      <c r="Q96" s="8"/>
      <c r="R96" s="8" t="s">
        <v>25</v>
      </c>
      <c r="S96" s="41" t="s">
        <v>329</v>
      </c>
      <c r="T96" s="8" t="s">
        <v>27</v>
      </c>
    </row>
    <row r="97" ht="15.75" customHeight="1">
      <c r="A97" s="8" t="s">
        <v>20</v>
      </c>
      <c r="B97" s="41" t="s">
        <v>330</v>
      </c>
      <c r="C97" s="42" t="s">
        <v>331</v>
      </c>
      <c r="D97" s="41">
        <v>1.0</v>
      </c>
      <c r="E97" s="49" t="s">
        <v>332</v>
      </c>
      <c r="F97" s="44">
        <v>350.0</v>
      </c>
      <c r="G97" s="54">
        <v>45177.0</v>
      </c>
      <c r="H97" s="44">
        <v>192.66</v>
      </c>
      <c r="I97" s="44">
        <v>196.13</v>
      </c>
      <c r="J97" s="12">
        <f t="shared" si="5"/>
        <v>203.9752</v>
      </c>
      <c r="K97" s="44">
        <v>80.0</v>
      </c>
      <c r="L97" s="46"/>
      <c r="M97" s="8" t="s">
        <v>24</v>
      </c>
      <c r="N97" s="8" t="s">
        <v>25</v>
      </c>
      <c r="O97" s="8"/>
      <c r="P97" s="12">
        <f t="shared" si="6"/>
        <v>66.0248</v>
      </c>
      <c r="Q97" s="8"/>
      <c r="R97" s="8" t="s">
        <v>25</v>
      </c>
      <c r="S97" s="41" t="s">
        <v>333</v>
      </c>
      <c r="T97" s="8" t="s">
        <v>27</v>
      </c>
    </row>
    <row r="98" ht="15.75" customHeight="1">
      <c r="A98" s="8" t="s">
        <v>20</v>
      </c>
      <c r="B98" s="41" t="s">
        <v>334</v>
      </c>
      <c r="C98" s="42" t="s">
        <v>335</v>
      </c>
      <c r="D98" s="41">
        <v>1.0</v>
      </c>
      <c r="E98" s="55" t="s">
        <v>336</v>
      </c>
      <c r="F98" s="44">
        <v>165.0</v>
      </c>
      <c r="G98" s="54">
        <v>45181.0</v>
      </c>
      <c r="H98" s="44">
        <v>0.0</v>
      </c>
      <c r="I98" s="44">
        <v>0.0</v>
      </c>
      <c r="J98" s="12">
        <f t="shared" si="5"/>
        <v>0</v>
      </c>
      <c r="K98" s="44">
        <v>120.0</v>
      </c>
      <c r="L98" s="46"/>
      <c r="M98" s="8" t="s">
        <v>24</v>
      </c>
      <c r="N98" s="8" t="s">
        <v>25</v>
      </c>
      <c r="O98" s="8"/>
      <c r="P98" s="12">
        <f t="shared" si="6"/>
        <v>45</v>
      </c>
      <c r="Q98" s="8"/>
      <c r="R98" s="8" t="s">
        <v>25</v>
      </c>
      <c r="S98" s="41" t="s">
        <v>337</v>
      </c>
      <c r="T98" s="8" t="s">
        <v>27</v>
      </c>
    </row>
    <row r="99" ht="15.75" customHeight="1">
      <c r="A99" s="8" t="s">
        <v>20</v>
      </c>
      <c r="B99" s="41" t="s">
        <v>338</v>
      </c>
      <c r="C99" s="42" t="s">
        <v>339</v>
      </c>
      <c r="D99" s="41">
        <v>1.0</v>
      </c>
      <c r="E99" s="55"/>
      <c r="F99" s="44">
        <v>180.0</v>
      </c>
      <c r="G99" s="45"/>
      <c r="H99" s="52"/>
      <c r="I99" s="44">
        <v>0.0</v>
      </c>
      <c r="J99" s="12">
        <f t="shared" si="5"/>
        <v>0</v>
      </c>
      <c r="K99" s="44">
        <v>135.0</v>
      </c>
      <c r="L99" s="46"/>
      <c r="M99" s="8" t="s">
        <v>24</v>
      </c>
      <c r="N99" s="8" t="s">
        <v>25</v>
      </c>
      <c r="O99" s="8"/>
      <c r="P99" s="12">
        <f t="shared" si="6"/>
        <v>45</v>
      </c>
      <c r="Q99" s="8"/>
      <c r="R99" s="8" t="s">
        <v>25</v>
      </c>
      <c r="S99" s="41" t="s">
        <v>340</v>
      </c>
      <c r="T99" s="8" t="s">
        <v>27</v>
      </c>
    </row>
    <row r="100" ht="15.75" customHeight="1">
      <c r="A100" s="8" t="s">
        <v>20</v>
      </c>
      <c r="B100" s="41" t="s">
        <v>71</v>
      </c>
      <c r="C100" s="42" t="s">
        <v>341</v>
      </c>
      <c r="D100" s="41">
        <v>1.0</v>
      </c>
      <c r="E100" s="47" t="s">
        <v>342</v>
      </c>
      <c r="F100" s="44">
        <v>125.0</v>
      </c>
      <c r="G100" s="45"/>
      <c r="H100" s="44">
        <v>72.75</v>
      </c>
      <c r="I100" s="44">
        <v>73.48</v>
      </c>
      <c r="J100" s="12">
        <f t="shared" si="5"/>
        <v>76.4192</v>
      </c>
      <c r="K100" s="44">
        <v>14.0</v>
      </c>
      <c r="L100" s="46"/>
      <c r="M100" s="8" t="s">
        <v>24</v>
      </c>
      <c r="N100" s="8" t="s">
        <v>25</v>
      </c>
      <c r="O100" s="8"/>
      <c r="P100" s="12">
        <f t="shared" si="6"/>
        <v>34.5808</v>
      </c>
      <c r="Q100" s="8"/>
      <c r="R100" s="8" t="s">
        <v>25</v>
      </c>
      <c r="S100" s="56" t="s">
        <v>343</v>
      </c>
      <c r="T100" s="8" t="s">
        <v>27</v>
      </c>
    </row>
    <row r="101" ht="15.75" customHeight="1">
      <c r="A101" s="8" t="s">
        <v>20</v>
      </c>
      <c r="B101" s="36" t="s">
        <v>179</v>
      </c>
      <c r="C101" s="42" t="s">
        <v>341</v>
      </c>
      <c r="D101" s="41">
        <v>1.0</v>
      </c>
      <c r="E101" s="47" t="s">
        <v>342</v>
      </c>
      <c r="F101" s="44">
        <v>125.0</v>
      </c>
      <c r="G101" s="45"/>
      <c r="H101" s="44">
        <v>72.75</v>
      </c>
      <c r="I101" s="44">
        <v>73.48</v>
      </c>
      <c r="J101" s="12">
        <f t="shared" si="5"/>
        <v>76.4192</v>
      </c>
      <c r="K101" s="44">
        <v>14.0</v>
      </c>
      <c r="L101" s="46"/>
      <c r="M101" s="8" t="s">
        <v>24</v>
      </c>
      <c r="N101" s="39" t="s">
        <v>25</v>
      </c>
      <c r="O101" s="8"/>
      <c r="P101" s="12">
        <f t="shared" si="6"/>
        <v>34.5808</v>
      </c>
      <c r="Q101" s="8"/>
      <c r="R101" s="8" t="s">
        <v>25</v>
      </c>
      <c r="S101" s="56" t="s">
        <v>343</v>
      </c>
      <c r="T101" s="8" t="s">
        <v>27</v>
      </c>
    </row>
    <row r="102" ht="15.75" customHeight="1">
      <c r="A102" s="8" t="s">
        <v>20</v>
      </c>
      <c r="B102" s="36" t="s">
        <v>179</v>
      </c>
      <c r="C102" s="42" t="s">
        <v>344</v>
      </c>
      <c r="D102" s="41">
        <v>1.0</v>
      </c>
      <c r="E102" s="49" t="s">
        <v>345</v>
      </c>
      <c r="F102" s="44">
        <v>0.0</v>
      </c>
      <c r="G102" s="45"/>
      <c r="H102" s="44">
        <v>340.65</v>
      </c>
      <c r="I102" s="44">
        <v>344.66</v>
      </c>
      <c r="J102" s="12">
        <f t="shared" si="5"/>
        <v>358.4464</v>
      </c>
      <c r="K102" s="44">
        <v>80.0</v>
      </c>
      <c r="L102" s="46"/>
      <c r="M102" s="15" t="s">
        <v>24</v>
      </c>
      <c r="N102" s="57" t="s">
        <v>25</v>
      </c>
      <c r="O102" s="8"/>
      <c r="P102" s="12">
        <f t="shared" si="6"/>
        <v>-438.4464</v>
      </c>
      <c r="Q102" s="8"/>
      <c r="R102" s="8" t="s">
        <v>25</v>
      </c>
      <c r="S102" s="41" t="s">
        <v>346</v>
      </c>
      <c r="T102" s="8" t="s">
        <v>27</v>
      </c>
    </row>
    <row r="103" ht="15.75" customHeight="1">
      <c r="A103" s="8" t="s">
        <v>20</v>
      </c>
      <c r="B103" s="41" t="s">
        <v>37</v>
      </c>
      <c r="C103" s="42" t="s">
        <v>347</v>
      </c>
      <c r="D103" s="41">
        <v>1.0</v>
      </c>
      <c r="E103" s="49" t="s">
        <v>348</v>
      </c>
      <c r="F103" s="44">
        <v>0.0</v>
      </c>
      <c r="G103" s="45"/>
      <c r="H103" s="44">
        <v>0.0</v>
      </c>
      <c r="I103" s="44">
        <v>0.0</v>
      </c>
      <c r="J103" s="12">
        <f t="shared" si="5"/>
        <v>0</v>
      </c>
      <c r="K103" s="44">
        <v>1385.0</v>
      </c>
      <c r="L103" s="46"/>
      <c r="M103" s="15" t="s">
        <v>24</v>
      </c>
      <c r="N103" s="57" t="s">
        <v>25</v>
      </c>
      <c r="O103" s="8"/>
      <c r="P103" s="12">
        <f>F103-(J103+K102)</f>
        <v>-80</v>
      </c>
      <c r="Q103" s="8"/>
      <c r="R103" s="8" t="s">
        <v>25</v>
      </c>
      <c r="S103" s="41" t="s">
        <v>349</v>
      </c>
      <c r="T103" s="41" t="s">
        <v>27</v>
      </c>
    </row>
    <row r="104" ht="15.75" customHeight="1">
      <c r="A104" s="8" t="s">
        <v>20</v>
      </c>
      <c r="B104" s="41" t="s">
        <v>37</v>
      </c>
      <c r="C104" s="42" t="s">
        <v>350</v>
      </c>
      <c r="D104" s="41">
        <v>1.0</v>
      </c>
      <c r="E104" s="49" t="s">
        <v>351</v>
      </c>
      <c r="F104" s="44">
        <v>0.0</v>
      </c>
      <c r="G104" s="45"/>
      <c r="H104" s="44">
        <v>0.0</v>
      </c>
      <c r="I104" s="44">
        <v>0.0</v>
      </c>
      <c r="J104" s="12">
        <f t="shared" si="5"/>
        <v>0</v>
      </c>
      <c r="K104" s="44">
        <v>0.0</v>
      </c>
      <c r="L104" s="46"/>
      <c r="M104" s="15" t="s">
        <v>24</v>
      </c>
      <c r="N104" s="57" t="s">
        <v>25</v>
      </c>
      <c r="O104" s="8"/>
      <c r="P104" s="12">
        <f t="shared" ref="P104:P184" si="7">F104-(J104+K104)</f>
        <v>0</v>
      </c>
      <c r="Q104" s="8"/>
      <c r="R104" s="8" t="s">
        <v>25</v>
      </c>
      <c r="S104" s="41" t="s">
        <v>352</v>
      </c>
      <c r="T104" s="41" t="s">
        <v>27</v>
      </c>
    </row>
    <row r="105" ht="15.75" customHeight="1">
      <c r="A105" s="8" t="s">
        <v>20</v>
      </c>
      <c r="B105" s="41" t="s">
        <v>37</v>
      </c>
      <c r="C105" s="42" t="s">
        <v>353</v>
      </c>
      <c r="D105" s="41">
        <v>1.0</v>
      </c>
      <c r="E105" s="49" t="s">
        <v>354</v>
      </c>
      <c r="F105" s="44">
        <v>0.0</v>
      </c>
      <c r="G105" s="45"/>
      <c r="H105" s="44">
        <v>0.0</v>
      </c>
      <c r="I105" s="44">
        <v>0.0</v>
      </c>
      <c r="J105" s="12">
        <f t="shared" si="5"/>
        <v>0</v>
      </c>
      <c r="K105" s="44">
        <v>0.0</v>
      </c>
      <c r="L105" s="46"/>
      <c r="M105" s="15" t="s">
        <v>24</v>
      </c>
      <c r="N105" s="57" t="s">
        <v>25</v>
      </c>
      <c r="O105" s="8"/>
      <c r="P105" s="12">
        <f t="shared" si="7"/>
        <v>0</v>
      </c>
      <c r="Q105" s="8"/>
      <c r="R105" s="8" t="s">
        <v>25</v>
      </c>
      <c r="S105" s="41" t="s">
        <v>355</v>
      </c>
      <c r="T105" s="41" t="s">
        <v>27</v>
      </c>
    </row>
    <row r="106" ht="15.75" customHeight="1">
      <c r="A106" s="8" t="s">
        <v>20</v>
      </c>
      <c r="B106" s="41" t="s">
        <v>356</v>
      </c>
      <c r="C106" s="42" t="s">
        <v>357</v>
      </c>
      <c r="D106" s="41">
        <v>1.0</v>
      </c>
      <c r="E106" s="47" t="s">
        <v>358</v>
      </c>
      <c r="F106" s="44">
        <v>153.0</v>
      </c>
      <c r="G106" s="54">
        <v>45196.0</v>
      </c>
      <c r="H106" s="44">
        <v>77.71</v>
      </c>
      <c r="I106" s="44">
        <v>78.49</v>
      </c>
      <c r="J106" s="12">
        <f t="shared" si="5"/>
        <v>81.6296</v>
      </c>
      <c r="K106" s="44">
        <v>26.0</v>
      </c>
      <c r="L106" s="46"/>
      <c r="M106" s="15" t="s">
        <v>24</v>
      </c>
      <c r="N106" s="15" t="s">
        <v>25</v>
      </c>
      <c r="O106" s="8"/>
      <c r="P106" s="12">
        <f t="shared" si="7"/>
        <v>45.3704</v>
      </c>
      <c r="Q106" s="8"/>
      <c r="R106" s="8" t="s">
        <v>25</v>
      </c>
      <c r="S106" s="49" t="s">
        <v>359</v>
      </c>
      <c r="T106" s="41" t="s">
        <v>27</v>
      </c>
    </row>
    <row r="107" ht="15.75" customHeight="1">
      <c r="A107" s="8" t="s">
        <v>20</v>
      </c>
      <c r="B107" s="41" t="s">
        <v>71</v>
      </c>
      <c r="C107" s="42" t="s">
        <v>360</v>
      </c>
      <c r="D107" s="41">
        <v>1.0</v>
      </c>
      <c r="E107" s="49" t="s">
        <v>361</v>
      </c>
      <c r="F107" s="44">
        <v>200.0</v>
      </c>
      <c r="G107" s="54">
        <v>45198.0</v>
      </c>
      <c r="H107" s="44">
        <v>152.0</v>
      </c>
      <c r="I107" s="44">
        <v>153.0</v>
      </c>
      <c r="J107" s="12">
        <f t="shared" si="5"/>
        <v>159.12</v>
      </c>
      <c r="K107" s="44">
        <v>26.0</v>
      </c>
      <c r="L107" s="46"/>
      <c r="M107" s="15" t="s">
        <v>24</v>
      </c>
      <c r="N107" s="15" t="s">
        <v>25</v>
      </c>
      <c r="O107" s="8"/>
      <c r="P107" s="12">
        <f t="shared" si="7"/>
        <v>14.88</v>
      </c>
      <c r="Q107" s="8"/>
      <c r="R107" s="8" t="s">
        <v>25</v>
      </c>
      <c r="S107" s="41" t="s">
        <v>362</v>
      </c>
      <c r="T107" s="41" t="s">
        <v>27</v>
      </c>
    </row>
    <row r="108" ht="15.75" customHeight="1">
      <c r="A108" s="8" t="s">
        <v>20</v>
      </c>
      <c r="B108" s="41" t="s">
        <v>311</v>
      </c>
      <c r="C108" s="42" t="s">
        <v>363</v>
      </c>
      <c r="D108" s="41">
        <v>1.0</v>
      </c>
      <c r="E108" s="47" t="s">
        <v>364</v>
      </c>
      <c r="F108" s="44">
        <v>305.0</v>
      </c>
      <c r="G108" s="54">
        <v>45208.0</v>
      </c>
      <c r="H108" s="44">
        <v>214.98</v>
      </c>
      <c r="I108" s="44">
        <v>214.98</v>
      </c>
      <c r="J108" s="12">
        <f t="shared" ref="J108:J111" si="8">I108</f>
        <v>214.98</v>
      </c>
      <c r="K108" s="44">
        <v>80.0</v>
      </c>
      <c r="L108" s="46"/>
      <c r="M108" s="15" t="s">
        <v>24</v>
      </c>
      <c r="N108" s="57" t="s">
        <v>25</v>
      </c>
      <c r="O108" s="8"/>
      <c r="P108" s="12">
        <f t="shared" si="7"/>
        <v>10.02</v>
      </c>
      <c r="Q108" s="8"/>
      <c r="R108" s="8" t="s">
        <v>25</v>
      </c>
      <c r="S108" s="41" t="s">
        <v>365</v>
      </c>
      <c r="T108" s="41" t="s">
        <v>27</v>
      </c>
    </row>
    <row r="109" ht="15.75" customHeight="1">
      <c r="A109" s="8" t="s">
        <v>20</v>
      </c>
      <c r="B109" s="41" t="s">
        <v>366</v>
      </c>
      <c r="C109" s="42" t="s">
        <v>367</v>
      </c>
      <c r="D109" s="41">
        <v>1.0</v>
      </c>
      <c r="E109" s="49" t="s">
        <v>368</v>
      </c>
      <c r="F109" s="44">
        <v>230.0</v>
      </c>
      <c r="G109" s="54">
        <v>45208.0</v>
      </c>
      <c r="H109" s="44">
        <v>111.45</v>
      </c>
      <c r="I109" s="44">
        <v>112.56</v>
      </c>
      <c r="J109" s="12">
        <f t="shared" si="8"/>
        <v>112.56</v>
      </c>
      <c r="K109" s="44">
        <v>90.0</v>
      </c>
      <c r="L109" s="46"/>
      <c r="M109" s="15" t="s">
        <v>24</v>
      </c>
      <c r="N109" s="15" t="s">
        <v>25</v>
      </c>
      <c r="O109" s="8"/>
      <c r="P109" s="12">
        <f t="shared" si="7"/>
        <v>27.44</v>
      </c>
      <c r="Q109" s="8"/>
      <c r="R109" s="8" t="s">
        <v>25</v>
      </c>
      <c r="S109" s="58" t="s">
        <v>369</v>
      </c>
      <c r="T109" s="41" t="s">
        <v>27</v>
      </c>
    </row>
    <row r="110" ht="15.75" customHeight="1">
      <c r="A110" s="8" t="s">
        <v>20</v>
      </c>
      <c r="B110" s="41" t="s">
        <v>366</v>
      </c>
      <c r="C110" s="42" t="s">
        <v>370</v>
      </c>
      <c r="D110" s="41">
        <v>1.0</v>
      </c>
      <c r="E110" s="49" t="s">
        <v>371</v>
      </c>
      <c r="F110" s="44">
        <v>395.0</v>
      </c>
      <c r="G110" s="54">
        <v>45208.0</v>
      </c>
      <c r="H110" s="44">
        <v>129.42</v>
      </c>
      <c r="I110" s="44">
        <v>130.71</v>
      </c>
      <c r="J110" s="12">
        <f t="shared" si="8"/>
        <v>130.71</v>
      </c>
      <c r="K110" s="44">
        <v>315.0</v>
      </c>
      <c r="L110" s="46"/>
      <c r="M110" s="15" t="s">
        <v>24</v>
      </c>
      <c r="N110" s="15" t="s">
        <v>25</v>
      </c>
      <c r="O110" s="8"/>
      <c r="P110" s="12">
        <f t="shared" si="7"/>
        <v>-50.71</v>
      </c>
      <c r="Q110" s="8"/>
      <c r="R110" s="8" t="s">
        <v>25</v>
      </c>
      <c r="S110" s="41" t="s">
        <v>372</v>
      </c>
      <c r="T110" s="41" t="s">
        <v>27</v>
      </c>
    </row>
    <row r="111" ht="15.75" customHeight="1">
      <c r="A111" s="8" t="s">
        <v>20</v>
      </c>
      <c r="B111" s="41" t="s">
        <v>366</v>
      </c>
      <c r="C111" s="42" t="s">
        <v>373</v>
      </c>
      <c r="D111" s="41">
        <v>1.0</v>
      </c>
      <c r="E111" s="47" t="s">
        <v>374</v>
      </c>
      <c r="F111" s="44">
        <v>385.0</v>
      </c>
      <c r="G111" s="54">
        <v>45208.0</v>
      </c>
      <c r="H111" s="44">
        <v>120.81</v>
      </c>
      <c r="I111" s="44">
        <v>122.02</v>
      </c>
      <c r="J111" s="12">
        <f t="shared" si="8"/>
        <v>122.02</v>
      </c>
      <c r="K111" s="44">
        <v>225.0</v>
      </c>
      <c r="L111" s="46"/>
      <c r="M111" s="15" t="s">
        <v>24</v>
      </c>
      <c r="N111" s="15" t="s">
        <v>25</v>
      </c>
      <c r="O111" s="8"/>
      <c r="P111" s="12">
        <f t="shared" si="7"/>
        <v>37.98</v>
      </c>
      <c r="Q111" s="8"/>
      <c r="R111" s="8" t="s">
        <v>25</v>
      </c>
      <c r="S111" s="41" t="s">
        <v>375</v>
      </c>
      <c r="T111" s="41" t="s">
        <v>27</v>
      </c>
    </row>
    <row r="112" ht="15.75" customHeight="1">
      <c r="A112" s="8" t="s">
        <v>20</v>
      </c>
      <c r="B112" s="41" t="s">
        <v>376</v>
      </c>
      <c r="C112" s="42" t="s">
        <v>377</v>
      </c>
      <c r="D112" s="41">
        <v>1.0</v>
      </c>
      <c r="E112" s="59"/>
      <c r="F112" s="44"/>
      <c r="G112" s="54"/>
      <c r="H112" s="44"/>
      <c r="I112" s="44">
        <v>0.0</v>
      </c>
      <c r="J112" s="12">
        <f>I112+(I112*0.04)</f>
        <v>0</v>
      </c>
      <c r="K112" s="44">
        <v>160.0</v>
      </c>
      <c r="L112" s="46"/>
      <c r="M112" s="15" t="s">
        <v>24</v>
      </c>
      <c r="N112" s="57" t="s">
        <v>25</v>
      </c>
      <c r="O112" s="8"/>
      <c r="P112" s="12">
        <f t="shared" si="7"/>
        <v>-160</v>
      </c>
      <c r="Q112" s="8"/>
      <c r="R112" s="8" t="s">
        <v>25</v>
      </c>
      <c r="S112" s="41" t="s">
        <v>378</v>
      </c>
      <c r="T112" s="41" t="s">
        <v>27</v>
      </c>
    </row>
    <row r="113" ht="15.75" customHeight="1">
      <c r="A113" s="8" t="s">
        <v>20</v>
      </c>
      <c r="B113" s="41" t="s">
        <v>203</v>
      </c>
      <c r="C113" s="42" t="s">
        <v>379</v>
      </c>
      <c r="D113" s="41">
        <v>1.0</v>
      </c>
      <c r="E113" s="55"/>
      <c r="F113" s="44">
        <v>100.0</v>
      </c>
      <c r="G113" s="54"/>
      <c r="H113" s="44">
        <v>0.0</v>
      </c>
      <c r="I113" s="44">
        <v>0.0</v>
      </c>
      <c r="J113" s="15">
        <v>0.0</v>
      </c>
      <c r="K113" s="44">
        <v>80.0</v>
      </c>
      <c r="L113" s="46"/>
      <c r="M113" s="15" t="s">
        <v>24</v>
      </c>
      <c r="N113" s="57" t="s">
        <v>25</v>
      </c>
      <c r="O113" s="8"/>
      <c r="P113" s="12">
        <f t="shared" si="7"/>
        <v>20</v>
      </c>
      <c r="Q113" s="8"/>
      <c r="R113" s="8" t="s">
        <v>25</v>
      </c>
      <c r="S113" s="41" t="s">
        <v>380</v>
      </c>
      <c r="T113" s="8" t="s">
        <v>27</v>
      </c>
    </row>
    <row r="114" ht="15.75" customHeight="1">
      <c r="A114" s="8" t="s">
        <v>20</v>
      </c>
      <c r="B114" s="36" t="s">
        <v>179</v>
      </c>
      <c r="C114" s="36" t="s">
        <v>381</v>
      </c>
      <c r="D114" s="36">
        <v>1.0</v>
      </c>
      <c r="E114" s="60" t="s">
        <v>382</v>
      </c>
      <c r="F114" s="61">
        <v>185.0</v>
      </c>
      <c r="G114" s="62">
        <v>45219.0</v>
      </c>
      <c r="H114" s="44">
        <v>132.48</v>
      </c>
      <c r="I114" s="52">
        <f t="shared" ref="I114:I115" si="9">ROUND(H114+(H114*0.01),0)</f>
        <v>134</v>
      </c>
      <c r="J114" s="63">
        <f t="shared" ref="J114:J119" si="10">I114+(I114*0.04)</f>
        <v>139.36</v>
      </c>
      <c r="K114" s="61">
        <v>40.0</v>
      </c>
      <c r="L114" s="64"/>
      <c r="M114" s="61" t="s">
        <v>24</v>
      </c>
      <c r="N114" s="65" t="s">
        <v>25</v>
      </c>
      <c r="O114" s="8"/>
      <c r="P114" s="63">
        <f t="shared" si="7"/>
        <v>5.64</v>
      </c>
      <c r="Q114" s="8"/>
      <c r="R114" s="8" t="s">
        <v>25</v>
      </c>
      <c r="S114" s="36" t="s">
        <v>383</v>
      </c>
      <c r="T114" s="8" t="s">
        <v>27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</row>
    <row r="115" ht="15.75" customHeight="1">
      <c r="A115" s="8" t="s">
        <v>20</v>
      </c>
      <c r="B115" s="36" t="s">
        <v>67</v>
      </c>
      <c r="C115" s="42" t="s">
        <v>384</v>
      </c>
      <c r="D115" s="41">
        <v>1.0</v>
      </c>
      <c r="E115" s="43" t="s">
        <v>385</v>
      </c>
      <c r="F115" s="61">
        <v>80.0</v>
      </c>
      <c r="G115" s="62">
        <v>45219.0</v>
      </c>
      <c r="H115" s="44">
        <v>25.67</v>
      </c>
      <c r="I115" s="52">
        <f t="shared" si="9"/>
        <v>26</v>
      </c>
      <c r="J115" s="63">
        <f t="shared" si="10"/>
        <v>27.04</v>
      </c>
      <c r="K115" s="44">
        <v>40.0</v>
      </c>
      <c r="L115" s="46"/>
      <c r="M115" s="61" t="s">
        <v>24</v>
      </c>
      <c r="N115" s="65" t="s">
        <v>25</v>
      </c>
      <c r="O115" s="8"/>
      <c r="P115" s="63">
        <f t="shared" si="7"/>
        <v>12.96</v>
      </c>
      <c r="Q115" s="8"/>
      <c r="R115" s="8" t="s">
        <v>25</v>
      </c>
      <c r="S115" s="41" t="s">
        <v>386</v>
      </c>
      <c r="T115" s="41" t="s">
        <v>27</v>
      </c>
    </row>
    <row r="116" ht="15.75" customHeight="1">
      <c r="A116" s="8" t="s">
        <v>20</v>
      </c>
      <c r="B116" s="36" t="s">
        <v>179</v>
      </c>
      <c r="C116" s="42" t="s">
        <v>387</v>
      </c>
      <c r="D116" s="41">
        <v>1.0</v>
      </c>
      <c r="E116" s="47" t="s">
        <v>388</v>
      </c>
      <c r="F116" s="61">
        <v>290.0</v>
      </c>
      <c r="G116" s="62">
        <v>45219.0</v>
      </c>
      <c r="H116" s="44">
        <v>189.99</v>
      </c>
      <c r="I116" s="44">
        <v>191.89</v>
      </c>
      <c r="J116" s="63">
        <f t="shared" si="10"/>
        <v>199.5656</v>
      </c>
      <c r="K116" s="44">
        <v>40.0</v>
      </c>
      <c r="L116" s="46"/>
      <c r="M116" s="61" t="s">
        <v>24</v>
      </c>
      <c r="N116" s="65" t="s">
        <v>25</v>
      </c>
      <c r="O116" s="8"/>
      <c r="P116" s="63">
        <f t="shared" si="7"/>
        <v>50.4344</v>
      </c>
      <c r="Q116" s="8"/>
      <c r="R116" s="8" t="s">
        <v>25</v>
      </c>
      <c r="S116" s="41" t="s">
        <v>389</v>
      </c>
      <c r="T116" s="41" t="s">
        <v>27</v>
      </c>
    </row>
    <row r="117" ht="15.75" customHeight="1">
      <c r="A117" s="8" t="s">
        <v>20</v>
      </c>
      <c r="B117" s="36" t="s">
        <v>67</v>
      </c>
      <c r="C117" s="67" t="s">
        <v>390</v>
      </c>
      <c r="D117" s="68">
        <v>1.0</v>
      </c>
      <c r="E117" s="69" t="s">
        <v>391</v>
      </c>
      <c r="F117" s="70">
        <v>1940.0</v>
      </c>
      <c r="G117" s="71">
        <v>45219.0</v>
      </c>
      <c r="H117" s="72">
        <v>1047.31</v>
      </c>
      <c r="I117" s="72">
        <v>1057.78</v>
      </c>
      <c r="J117" s="73">
        <f t="shared" si="10"/>
        <v>1100.0912</v>
      </c>
      <c r="K117" s="72">
        <v>520.0</v>
      </c>
      <c r="L117" s="74"/>
      <c r="M117" s="70" t="s">
        <v>24</v>
      </c>
      <c r="N117" s="75" t="s">
        <v>25</v>
      </c>
      <c r="O117" s="8"/>
      <c r="P117" s="73">
        <f t="shared" si="7"/>
        <v>319.9088</v>
      </c>
      <c r="Q117" s="76"/>
      <c r="R117" s="8" t="s">
        <v>25</v>
      </c>
      <c r="S117" s="68" t="s">
        <v>392</v>
      </c>
      <c r="T117" s="41" t="s">
        <v>27</v>
      </c>
    </row>
    <row r="118" ht="15.75" customHeight="1">
      <c r="A118" s="8" t="s">
        <v>20</v>
      </c>
      <c r="B118" s="36" t="s">
        <v>37</v>
      </c>
      <c r="C118" s="67" t="s">
        <v>393</v>
      </c>
      <c r="D118" s="68">
        <v>1.0</v>
      </c>
      <c r="E118" s="77" t="s">
        <v>394</v>
      </c>
      <c r="F118" s="70">
        <v>0.0</v>
      </c>
      <c r="G118" s="71">
        <v>45219.0</v>
      </c>
      <c r="H118" s="72">
        <v>98.58</v>
      </c>
      <c r="I118" s="78">
        <f t="shared" ref="I118:I119" si="11">H118+H118*0.01</f>
        <v>99.5658</v>
      </c>
      <c r="J118" s="73">
        <f t="shared" si="10"/>
        <v>103.548432</v>
      </c>
      <c r="K118" s="72">
        <v>0.0</v>
      </c>
      <c r="L118" s="74"/>
      <c r="M118" s="70" t="s">
        <v>24</v>
      </c>
      <c r="N118" s="75" t="s">
        <v>25</v>
      </c>
      <c r="O118" s="8"/>
      <c r="P118" s="73">
        <f t="shared" si="7"/>
        <v>-103.548432</v>
      </c>
      <c r="Q118" s="76"/>
      <c r="R118" s="8" t="s">
        <v>25</v>
      </c>
      <c r="S118" s="41" t="s">
        <v>395</v>
      </c>
      <c r="T118" s="41" t="s">
        <v>27</v>
      </c>
    </row>
    <row r="119" ht="15.75" customHeight="1">
      <c r="A119" s="8" t="s">
        <v>20</v>
      </c>
      <c r="B119" s="36" t="s">
        <v>37</v>
      </c>
      <c r="C119" s="67" t="s">
        <v>353</v>
      </c>
      <c r="D119" s="68">
        <v>1.0</v>
      </c>
      <c r="E119" s="77" t="s">
        <v>396</v>
      </c>
      <c r="F119" s="70">
        <v>0.0</v>
      </c>
      <c r="G119" s="71">
        <v>45222.0</v>
      </c>
      <c r="H119" s="72">
        <v>22.0</v>
      </c>
      <c r="I119" s="78">
        <f t="shared" si="11"/>
        <v>22.22</v>
      </c>
      <c r="J119" s="73">
        <f t="shared" si="10"/>
        <v>23.1088</v>
      </c>
      <c r="K119" s="72">
        <v>0.0</v>
      </c>
      <c r="L119" s="74"/>
      <c r="M119" s="70" t="s">
        <v>24</v>
      </c>
      <c r="N119" s="75" t="s">
        <v>25</v>
      </c>
      <c r="O119" s="8"/>
      <c r="P119" s="73">
        <f t="shared" si="7"/>
        <v>-23.1088</v>
      </c>
      <c r="Q119" s="76"/>
      <c r="R119" s="8" t="s">
        <v>25</v>
      </c>
      <c r="S119" s="68" t="s">
        <v>397</v>
      </c>
      <c r="T119" s="41" t="s">
        <v>27</v>
      </c>
    </row>
    <row r="120" ht="15.75" customHeight="1">
      <c r="A120" s="8" t="s">
        <v>20</v>
      </c>
      <c r="B120" s="36" t="s">
        <v>398</v>
      </c>
      <c r="C120" s="42" t="s">
        <v>399</v>
      </c>
      <c r="D120" s="41">
        <v>1.0</v>
      </c>
      <c r="E120" s="49" t="s">
        <v>400</v>
      </c>
      <c r="F120" s="61">
        <v>0.0</v>
      </c>
      <c r="G120" s="62">
        <v>45222.0</v>
      </c>
      <c r="H120" s="44">
        <v>114.81</v>
      </c>
      <c r="I120" s="44">
        <v>114.81</v>
      </c>
      <c r="J120" s="44">
        <v>0.0</v>
      </c>
      <c r="K120" s="44">
        <v>315.0</v>
      </c>
      <c r="L120" s="46"/>
      <c r="M120" s="61" t="s">
        <v>24</v>
      </c>
      <c r="N120" s="65" t="s">
        <v>25</v>
      </c>
      <c r="O120" s="8"/>
      <c r="P120" s="73">
        <f t="shared" si="7"/>
        <v>-315</v>
      </c>
      <c r="Q120" s="8"/>
      <c r="R120" s="8" t="s">
        <v>25</v>
      </c>
      <c r="S120" s="41" t="s">
        <v>401</v>
      </c>
      <c r="T120" s="41" t="s">
        <v>27</v>
      </c>
    </row>
    <row r="121" ht="15.75" customHeight="1">
      <c r="A121" s="8" t="s">
        <v>20</v>
      </c>
      <c r="B121" s="36" t="s">
        <v>71</v>
      </c>
      <c r="C121" s="42" t="s">
        <v>402</v>
      </c>
      <c r="D121" s="41">
        <v>1.0</v>
      </c>
      <c r="E121" s="49" t="s">
        <v>403</v>
      </c>
      <c r="F121" s="61">
        <v>150.0</v>
      </c>
      <c r="G121" s="62">
        <v>45223.0</v>
      </c>
      <c r="H121" s="44">
        <v>91.28</v>
      </c>
      <c r="I121" s="44">
        <v>92.19</v>
      </c>
      <c r="J121" s="73">
        <f t="shared" ref="J121:J147" si="12">I121+(I121*0.04)</f>
        <v>95.8776</v>
      </c>
      <c r="K121" s="44">
        <v>0.0</v>
      </c>
      <c r="L121" s="46"/>
      <c r="M121" s="61" t="s">
        <v>24</v>
      </c>
      <c r="N121" s="65" t="s">
        <v>25</v>
      </c>
      <c r="O121" s="8"/>
      <c r="P121" s="73">
        <f t="shared" si="7"/>
        <v>54.1224</v>
      </c>
      <c r="Q121" s="8"/>
      <c r="R121" s="8" t="s">
        <v>25</v>
      </c>
      <c r="S121" s="41" t="s">
        <v>404</v>
      </c>
      <c r="T121" s="41" t="s">
        <v>27</v>
      </c>
    </row>
    <row r="122" ht="15.75" customHeight="1">
      <c r="A122" s="8" t="s">
        <v>20</v>
      </c>
      <c r="B122" s="36" t="s">
        <v>405</v>
      </c>
      <c r="C122" s="42" t="s">
        <v>406</v>
      </c>
      <c r="D122" s="41">
        <v>1.0</v>
      </c>
      <c r="E122" s="49" t="s">
        <v>407</v>
      </c>
      <c r="F122" s="61">
        <v>640.0</v>
      </c>
      <c r="G122" s="54">
        <v>45223.0</v>
      </c>
      <c r="H122" s="44">
        <v>267.55</v>
      </c>
      <c r="I122" s="44">
        <v>270.23</v>
      </c>
      <c r="J122" s="73">
        <f t="shared" si="12"/>
        <v>281.0392</v>
      </c>
      <c r="K122" s="44">
        <v>240.0</v>
      </c>
      <c r="L122" s="46"/>
      <c r="M122" s="61" t="s">
        <v>24</v>
      </c>
      <c r="N122" s="61" t="s">
        <v>25</v>
      </c>
      <c r="O122" s="8"/>
      <c r="P122" s="73">
        <f t="shared" si="7"/>
        <v>118.9608</v>
      </c>
      <c r="Q122" s="8"/>
      <c r="R122" s="8" t="s">
        <v>25</v>
      </c>
      <c r="S122" s="41" t="s">
        <v>408</v>
      </c>
      <c r="T122" s="41" t="s">
        <v>27</v>
      </c>
    </row>
    <row r="123" ht="15.75" customHeight="1">
      <c r="A123" s="8" t="s">
        <v>20</v>
      </c>
      <c r="B123" s="41" t="s">
        <v>409</v>
      </c>
      <c r="C123" s="42" t="s">
        <v>410</v>
      </c>
      <c r="D123" s="41">
        <v>1.0</v>
      </c>
      <c r="E123" s="49" t="s">
        <v>411</v>
      </c>
      <c r="F123" s="44">
        <v>600.0</v>
      </c>
      <c r="G123" s="54">
        <v>45209.0</v>
      </c>
      <c r="H123" s="44">
        <v>453.15</v>
      </c>
      <c r="I123" s="44">
        <v>457.68</v>
      </c>
      <c r="J123" s="79">
        <f t="shared" si="12"/>
        <v>475.9872</v>
      </c>
      <c r="K123" s="44">
        <v>80.0</v>
      </c>
      <c r="L123" s="46"/>
      <c r="M123" s="15" t="s">
        <v>24</v>
      </c>
      <c r="N123" s="57" t="s">
        <v>25</v>
      </c>
      <c r="O123" s="8"/>
      <c r="P123" s="79">
        <f t="shared" si="7"/>
        <v>44.0128</v>
      </c>
      <c r="Q123" s="8"/>
      <c r="R123" s="8" t="s">
        <v>25</v>
      </c>
      <c r="S123" s="41" t="s">
        <v>412</v>
      </c>
      <c r="T123" s="41" t="s">
        <v>413</v>
      </c>
    </row>
    <row r="124" ht="15.75" customHeight="1">
      <c r="A124" s="8" t="s">
        <v>20</v>
      </c>
      <c r="B124" s="41" t="s">
        <v>376</v>
      </c>
      <c r="C124" s="42" t="s">
        <v>414</v>
      </c>
      <c r="D124" s="41">
        <v>1.0</v>
      </c>
      <c r="E124" s="55"/>
      <c r="F124" s="44"/>
      <c r="G124" s="45"/>
      <c r="H124" s="52"/>
      <c r="I124" s="52"/>
      <c r="J124" s="79">
        <f t="shared" si="12"/>
        <v>0</v>
      </c>
      <c r="K124" s="44">
        <v>160.0</v>
      </c>
      <c r="L124" s="46"/>
      <c r="M124" s="15" t="s">
        <v>24</v>
      </c>
      <c r="N124" s="57" t="s">
        <v>25</v>
      </c>
      <c r="O124" s="8"/>
      <c r="P124" s="79">
        <f t="shared" si="7"/>
        <v>-160</v>
      </c>
      <c r="Q124" s="8"/>
      <c r="R124" s="8" t="s">
        <v>25</v>
      </c>
      <c r="S124" s="41" t="s">
        <v>415</v>
      </c>
      <c r="T124" s="41" t="s">
        <v>27</v>
      </c>
    </row>
    <row r="125" ht="15.75" customHeight="1">
      <c r="A125" s="8" t="s">
        <v>20</v>
      </c>
      <c r="B125" s="41" t="s">
        <v>416</v>
      </c>
      <c r="C125" s="42" t="s">
        <v>417</v>
      </c>
      <c r="D125" s="41">
        <v>1.0</v>
      </c>
      <c r="E125" s="55"/>
      <c r="F125" s="44">
        <v>60.0</v>
      </c>
      <c r="G125" s="54">
        <v>45212.0</v>
      </c>
      <c r="H125" s="44">
        <v>0.0</v>
      </c>
      <c r="I125" s="44">
        <v>0.0</v>
      </c>
      <c r="J125" s="79">
        <f t="shared" si="12"/>
        <v>0</v>
      </c>
      <c r="K125" s="44">
        <v>10.0</v>
      </c>
      <c r="L125" s="46"/>
      <c r="M125" s="15" t="s">
        <v>24</v>
      </c>
      <c r="N125" s="57" t="s">
        <v>25</v>
      </c>
      <c r="O125" s="8"/>
      <c r="P125" s="79">
        <f t="shared" si="7"/>
        <v>50</v>
      </c>
      <c r="Q125" s="8"/>
      <c r="R125" s="8" t="s">
        <v>25</v>
      </c>
      <c r="S125" s="41" t="s">
        <v>418</v>
      </c>
      <c r="T125" s="41" t="s">
        <v>27</v>
      </c>
    </row>
    <row r="126" ht="15.75" customHeight="1">
      <c r="A126" s="8" t="s">
        <v>20</v>
      </c>
      <c r="B126" s="36" t="s">
        <v>67</v>
      </c>
      <c r="C126" s="36" t="s">
        <v>402</v>
      </c>
      <c r="D126" s="36">
        <v>1.0</v>
      </c>
      <c r="E126" s="80" t="s">
        <v>419</v>
      </c>
      <c r="F126" s="61">
        <v>150.0</v>
      </c>
      <c r="G126" s="81">
        <v>45218.0</v>
      </c>
      <c r="H126" s="61">
        <v>85.08</v>
      </c>
      <c r="I126" s="61">
        <v>85.93</v>
      </c>
      <c r="J126" s="73">
        <f t="shared" si="12"/>
        <v>89.3672</v>
      </c>
      <c r="K126" s="61">
        <v>10.0</v>
      </c>
      <c r="L126" s="64"/>
      <c r="M126" s="61" t="s">
        <v>24</v>
      </c>
      <c r="N126" s="65" t="s">
        <v>25</v>
      </c>
      <c r="O126" s="8"/>
      <c r="P126" s="73">
        <f t="shared" si="7"/>
        <v>50.6328</v>
      </c>
      <c r="Q126" s="8"/>
      <c r="R126" s="8" t="s">
        <v>25</v>
      </c>
      <c r="S126" s="36" t="s">
        <v>420</v>
      </c>
      <c r="T126" s="41" t="s">
        <v>27</v>
      </c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</row>
    <row r="127" ht="15.75" customHeight="1">
      <c r="A127" s="8" t="s">
        <v>20</v>
      </c>
      <c r="B127" s="36" t="s">
        <v>421</v>
      </c>
      <c r="C127" s="36" t="s">
        <v>422</v>
      </c>
      <c r="D127" s="36">
        <v>1.0</v>
      </c>
      <c r="E127" s="80" t="s">
        <v>423</v>
      </c>
      <c r="F127" s="61">
        <v>250.0</v>
      </c>
      <c r="G127" s="62">
        <v>45218.0</v>
      </c>
      <c r="H127" s="61">
        <v>150.69</v>
      </c>
      <c r="I127" s="61">
        <v>152.2</v>
      </c>
      <c r="J127" s="73">
        <f t="shared" si="12"/>
        <v>158.288</v>
      </c>
      <c r="K127" s="61">
        <v>10.0</v>
      </c>
      <c r="L127" s="64"/>
      <c r="M127" s="15" t="s">
        <v>24</v>
      </c>
      <c r="N127" s="65" t="s">
        <v>25</v>
      </c>
      <c r="O127" s="8"/>
      <c r="P127" s="73">
        <f t="shared" si="7"/>
        <v>81.712</v>
      </c>
      <c r="Q127" s="8"/>
      <c r="R127" s="8" t="s">
        <v>25</v>
      </c>
      <c r="S127" s="41" t="s">
        <v>424</v>
      </c>
      <c r="T127" s="41" t="s">
        <v>27</v>
      </c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</row>
    <row r="128" ht="15.75" customHeight="1">
      <c r="A128" s="8" t="s">
        <v>20</v>
      </c>
      <c r="B128" s="36" t="s">
        <v>179</v>
      </c>
      <c r="C128" s="36" t="s">
        <v>425</v>
      </c>
      <c r="D128" s="36">
        <v>2.0</v>
      </c>
      <c r="E128" s="80" t="s">
        <v>426</v>
      </c>
      <c r="F128" s="61">
        <v>815.0</v>
      </c>
      <c r="G128" s="62">
        <v>45219.0</v>
      </c>
      <c r="H128" s="61">
        <v>271.78</v>
      </c>
      <c r="I128" s="61">
        <v>274.5</v>
      </c>
      <c r="J128" s="73">
        <f t="shared" si="12"/>
        <v>285.48</v>
      </c>
      <c r="K128" s="61">
        <v>225.0</v>
      </c>
      <c r="L128" s="64"/>
      <c r="M128" s="61" t="s">
        <v>24</v>
      </c>
      <c r="N128" s="65" t="s">
        <v>25</v>
      </c>
      <c r="O128" s="8"/>
      <c r="P128" s="73">
        <f t="shared" si="7"/>
        <v>304.52</v>
      </c>
      <c r="Q128" s="8"/>
      <c r="R128" s="8" t="s">
        <v>25</v>
      </c>
      <c r="S128" s="36" t="s">
        <v>427</v>
      </c>
      <c r="T128" s="41" t="s">
        <v>27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</row>
    <row r="129" ht="15.75" customHeight="1">
      <c r="A129" s="8" t="s">
        <v>20</v>
      </c>
      <c r="B129" s="36" t="s">
        <v>67</v>
      </c>
      <c r="C129" s="42" t="s">
        <v>428</v>
      </c>
      <c r="D129" s="41">
        <v>300.0</v>
      </c>
      <c r="E129" s="47" t="s">
        <v>429</v>
      </c>
      <c r="F129" s="61">
        <v>45.0</v>
      </c>
      <c r="G129" s="62">
        <v>45219.0</v>
      </c>
      <c r="H129" s="44">
        <v>28.62</v>
      </c>
      <c r="I129" s="44">
        <v>28.91</v>
      </c>
      <c r="J129" s="73">
        <f t="shared" si="12"/>
        <v>30.0664</v>
      </c>
      <c r="K129" s="44">
        <v>5.0</v>
      </c>
      <c r="L129" s="46"/>
      <c r="M129" s="61" t="s">
        <v>24</v>
      </c>
      <c r="N129" s="65" t="s">
        <v>25</v>
      </c>
      <c r="O129" s="8"/>
      <c r="P129" s="73">
        <f t="shared" si="7"/>
        <v>9.9336</v>
      </c>
      <c r="Q129" s="8"/>
      <c r="R129" s="8" t="s">
        <v>25</v>
      </c>
      <c r="S129" s="41" t="s">
        <v>430</v>
      </c>
      <c r="T129" s="41" t="s">
        <v>27</v>
      </c>
    </row>
    <row r="130" ht="15.75" customHeight="1">
      <c r="A130" s="8" t="s">
        <v>20</v>
      </c>
      <c r="B130" s="36" t="s">
        <v>67</v>
      </c>
      <c r="C130" s="42" t="s">
        <v>431</v>
      </c>
      <c r="D130" s="41">
        <v>300.0</v>
      </c>
      <c r="E130" s="43" t="s">
        <v>432</v>
      </c>
      <c r="F130" s="61">
        <v>155.0</v>
      </c>
      <c r="G130" s="62">
        <v>45219.0</v>
      </c>
      <c r="H130" s="44">
        <v>108.96</v>
      </c>
      <c r="I130" s="44">
        <v>110.05</v>
      </c>
      <c r="J130" s="73">
        <f t="shared" si="12"/>
        <v>114.452</v>
      </c>
      <c r="K130" s="44">
        <v>5.0</v>
      </c>
      <c r="L130" s="46"/>
      <c r="M130" s="61" t="s">
        <v>24</v>
      </c>
      <c r="N130" s="65" t="s">
        <v>25</v>
      </c>
      <c r="O130" s="8"/>
      <c r="P130" s="73">
        <f t="shared" si="7"/>
        <v>35.548</v>
      </c>
      <c r="Q130" s="8"/>
      <c r="R130" s="8" t="s">
        <v>25</v>
      </c>
      <c r="S130" s="41" t="s">
        <v>433</v>
      </c>
      <c r="T130" s="41" t="s">
        <v>27</v>
      </c>
    </row>
    <row r="131" ht="15.75" customHeight="1">
      <c r="A131" s="8" t="s">
        <v>20</v>
      </c>
      <c r="B131" s="36" t="s">
        <v>67</v>
      </c>
      <c r="C131" s="42" t="s">
        <v>434</v>
      </c>
      <c r="D131" s="41">
        <v>1.0</v>
      </c>
      <c r="E131" s="49" t="s">
        <v>435</v>
      </c>
      <c r="F131" s="61">
        <v>100.0</v>
      </c>
      <c r="G131" s="62">
        <v>45219.0</v>
      </c>
      <c r="H131" s="44">
        <v>55.91</v>
      </c>
      <c r="I131" s="44">
        <v>56.47</v>
      </c>
      <c r="J131" s="73">
        <f t="shared" si="12"/>
        <v>58.7288</v>
      </c>
      <c r="K131" s="44">
        <v>10.0</v>
      </c>
      <c r="L131" s="46"/>
      <c r="M131" s="61" t="s">
        <v>24</v>
      </c>
      <c r="N131" s="65" t="s">
        <v>25</v>
      </c>
      <c r="O131" s="8"/>
      <c r="P131" s="73">
        <f t="shared" si="7"/>
        <v>31.2712</v>
      </c>
      <c r="Q131" s="8"/>
      <c r="R131" s="8" t="s">
        <v>25</v>
      </c>
      <c r="S131" s="41" t="s">
        <v>424</v>
      </c>
      <c r="T131" s="41" t="s">
        <v>27</v>
      </c>
    </row>
    <row r="132" ht="15.75" customHeight="1">
      <c r="A132" s="8" t="s">
        <v>20</v>
      </c>
      <c r="B132" s="36" t="s">
        <v>67</v>
      </c>
      <c r="C132" s="42" t="s">
        <v>436</v>
      </c>
      <c r="D132" s="41">
        <v>1.0</v>
      </c>
      <c r="E132" s="49" t="s">
        <v>437</v>
      </c>
      <c r="F132" s="61">
        <v>880.0</v>
      </c>
      <c r="G132" s="62">
        <v>45219.0</v>
      </c>
      <c r="H132" s="44">
        <v>272.82</v>
      </c>
      <c r="I132" s="44">
        <v>275.55</v>
      </c>
      <c r="J132" s="73">
        <f t="shared" si="12"/>
        <v>286.572</v>
      </c>
      <c r="K132" s="44">
        <v>450.0</v>
      </c>
      <c r="L132" s="46"/>
      <c r="M132" s="61" t="s">
        <v>24</v>
      </c>
      <c r="N132" s="65" t="s">
        <v>25</v>
      </c>
      <c r="O132" s="8"/>
      <c r="P132" s="73">
        <f t="shared" si="7"/>
        <v>143.428</v>
      </c>
      <c r="Q132" s="8"/>
      <c r="R132" s="8" t="s">
        <v>25</v>
      </c>
      <c r="S132" s="41" t="s">
        <v>438</v>
      </c>
      <c r="T132" s="41" t="s">
        <v>27</v>
      </c>
    </row>
    <row r="133" ht="15.75" customHeight="1">
      <c r="A133" s="8" t="s">
        <v>20</v>
      </c>
      <c r="B133" s="36" t="s">
        <v>37</v>
      </c>
      <c r="C133" s="42" t="s">
        <v>439</v>
      </c>
      <c r="D133" s="41">
        <v>1.0</v>
      </c>
      <c r="E133" s="43" t="s">
        <v>440</v>
      </c>
      <c r="F133" s="61">
        <v>0.0</v>
      </c>
      <c r="G133" s="62">
        <v>45218.0</v>
      </c>
      <c r="H133" s="44">
        <v>26.86</v>
      </c>
      <c r="I133" s="52">
        <f>ROUND(H133+(H133*0.01),0)</f>
        <v>27</v>
      </c>
      <c r="J133" s="73">
        <f t="shared" si="12"/>
        <v>28.08</v>
      </c>
      <c r="K133" s="44">
        <v>0.0</v>
      </c>
      <c r="L133" s="46"/>
      <c r="M133" s="61" t="s">
        <v>24</v>
      </c>
      <c r="N133" s="65" t="s">
        <v>25</v>
      </c>
      <c r="O133" s="8"/>
      <c r="P133" s="73">
        <f t="shared" si="7"/>
        <v>-28.08</v>
      </c>
      <c r="Q133" s="8"/>
      <c r="R133" s="8" t="s">
        <v>25</v>
      </c>
      <c r="S133" s="41" t="s">
        <v>441</v>
      </c>
      <c r="T133" s="41" t="s">
        <v>27</v>
      </c>
    </row>
    <row r="134" ht="15.75" customHeight="1">
      <c r="A134" s="8" t="s">
        <v>20</v>
      </c>
      <c r="B134" s="36" t="s">
        <v>67</v>
      </c>
      <c r="C134" s="42" t="s">
        <v>442</v>
      </c>
      <c r="D134" s="41">
        <v>1.0</v>
      </c>
      <c r="E134" s="49" t="s">
        <v>443</v>
      </c>
      <c r="F134" s="61">
        <v>340.0</v>
      </c>
      <c r="G134" s="62">
        <v>45222.0</v>
      </c>
      <c r="H134" s="44">
        <v>215.06</v>
      </c>
      <c r="I134" s="44">
        <v>217.21</v>
      </c>
      <c r="J134" s="73">
        <f t="shared" si="12"/>
        <v>225.8984</v>
      </c>
      <c r="K134" s="44">
        <v>40.0</v>
      </c>
      <c r="L134" s="46"/>
      <c r="M134" s="61" t="s">
        <v>24</v>
      </c>
      <c r="N134" s="65" t="s">
        <v>25</v>
      </c>
      <c r="O134" s="8"/>
      <c r="P134" s="73">
        <f t="shared" si="7"/>
        <v>74.1016</v>
      </c>
      <c r="Q134" s="8"/>
      <c r="R134" s="8" t="s">
        <v>25</v>
      </c>
      <c r="S134" s="41" t="s">
        <v>444</v>
      </c>
      <c r="T134" s="41" t="s">
        <v>27</v>
      </c>
    </row>
    <row r="135" ht="15.75" customHeight="1">
      <c r="A135" s="8" t="s">
        <v>20</v>
      </c>
      <c r="B135" s="36" t="s">
        <v>445</v>
      </c>
      <c r="C135" s="42" t="s">
        <v>446</v>
      </c>
      <c r="D135" s="41">
        <v>1.0</v>
      </c>
      <c r="E135" s="43" t="s">
        <v>447</v>
      </c>
      <c r="F135" s="61">
        <v>1500.0</v>
      </c>
      <c r="G135" s="62">
        <v>45225.0</v>
      </c>
      <c r="H135" s="31">
        <v>616.32</v>
      </c>
      <c r="I135" s="44">
        <v>622.48</v>
      </c>
      <c r="J135" s="73">
        <f t="shared" si="12"/>
        <v>647.3792</v>
      </c>
      <c r="K135" s="44">
        <v>450.0</v>
      </c>
      <c r="L135" s="46"/>
      <c r="M135" s="61" t="s">
        <v>24</v>
      </c>
      <c r="N135" s="61" t="s">
        <v>25</v>
      </c>
      <c r="O135" s="8"/>
      <c r="P135" s="73">
        <f t="shared" si="7"/>
        <v>402.6208</v>
      </c>
      <c r="Q135" s="8"/>
      <c r="R135" s="8" t="s">
        <v>25</v>
      </c>
      <c r="S135" s="41" t="s">
        <v>448</v>
      </c>
      <c r="T135" s="41" t="s">
        <v>27</v>
      </c>
    </row>
    <row r="136" ht="15.75" customHeight="1">
      <c r="A136" s="8" t="s">
        <v>20</v>
      </c>
      <c r="B136" s="36" t="s">
        <v>179</v>
      </c>
      <c r="C136" s="42" t="s">
        <v>449</v>
      </c>
      <c r="D136" s="41">
        <v>1.0</v>
      </c>
      <c r="E136" s="43" t="s">
        <v>450</v>
      </c>
      <c r="F136" s="61">
        <v>150.0</v>
      </c>
      <c r="G136" s="62">
        <v>45225.0</v>
      </c>
      <c r="H136" s="44">
        <v>89.88</v>
      </c>
      <c r="I136" s="44">
        <v>90.78</v>
      </c>
      <c r="J136" s="73">
        <f t="shared" si="12"/>
        <v>94.4112</v>
      </c>
      <c r="K136" s="44">
        <v>20.0</v>
      </c>
      <c r="L136" s="46"/>
      <c r="M136" s="61" t="s">
        <v>24</v>
      </c>
      <c r="N136" s="61" t="s">
        <v>25</v>
      </c>
      <c r="O136" s="8"/>
      <c r="P136" s="73">
        <f t="shared" si="7"/>
        <v>35.5888</v>
      </c>
      <c r="Q136" s="8"/>
      <c r="R136" s="8" t="s">
        <v>25</v>
      </c>
      <c r="S136" s="41" t="s">
        <v>451</v>
      </c>
      <c r="T136" s="41" t="s">
        <v>27</v>
      </c>
    </row>
    <row r="137" ht="15.75" customHeight="1">
      <c r="A137" s="8" t="s">
        <v>20</v>
      </c>
      <c r="B137" s="36" t="s">
        <v>452</v>
      </c>
      <c r="C137" s="42" t="s">
        <v>453</v>
      </c>
      <c r="D137" s="41">
        <v>1.0</v>
      </c>
      <c r="E137" s="43" t="s">
        <v>454</v>
      </c>
      <c r="F137" s="61">
        <v>240.0</v>
      </c>
      <c r="G137" s="62">
        <v>45226.0</v>
      </c>
      <c r="H137" s="44">
        <v>139.91</v>
      </c>
      <c r="I137" s="52">
        <f t="shared" ref="I137:I138" si="13">H137+(H137*0.01)</f>
        <v>141.3091</v>
      </c>
      <c r="J137" s="73">
        <f t="shared" si="12"/>
        <v>146.961464</v>
      </c>
      <c r="K137" s="44">
        <v>10.0</v>
      </c>
      <c r="L137" s="46"/>
      <c r="M137" s="61" t="s">
        <v>24</v>
      </c>
      <c r="N137" s="61" t="s">
        <v>25</v>
      </c>
      <c r="O137" s="8"/>
      <c r="P137" s="73">
        <f t="shared" si="7"/>
        <v>83.038536</v>
      </c>
      <c r="Q137" s="8"/>
      <c r="R137" s="8" t="s">
        <v>25</v>
      </c>
      <c r="S137" s="41" t="s">
        <v>455</v>
      </c>
      <c r="T137" s="41" t="s">
        <v>27</v>
      </c>
    </row>
    <row r="138" ht="15.75" customHeight="1">
      <c r="A138" s="8" t="s">
        <v>20</v>
      </c>
      <c r="B138" s="36" t="s">
        <v>179</v>
      </c>
      <c r="C138" s="42" t="s">
        <v>456</v>
      </c>
      <c r="D138" s="41">
        <v>1.0</v>
      </c>
      <c r="E138" s="43" t="s">
        <v>342</v>
      </c>
      <c r="F138" s="61">
        <v>125.0</v>
      </c>
      <c r="G138" s="62">
        <v>45226.0</v>
      </c>
      <c r="H138" s="44">
        <v>75.02</v>
      </c>
      <c r="I138" s="52">
        <f t="shared" si="13"/>
        <v>75.7702</v>
      </c>
      <c r="J138" s="73">
        <f t="shared" si="12"/>
        <v>78.801008</v>
      </c>
      <c r="K138" s="44">
        <v>10.0</v>
      </c>
      <c r="L138" s="46"/>
      <c r="M138" s="61" t="s">
        <v>24</v>
      </c>
      <c r="N138" s="61" t="s">
        <v>25</v>
      </c>
      <c r="O138" s="8"/>
      <c r="P138" s="73">
        <f t="shared" si="7"/>
        <v>36.198992</v>
      </c>
      <c r="Q138" s="8"/>
      <c r="R138" s="8" t="s">
        <v>25</v>
      </c>
      <c r="S138" s="41" t="s">
        <v>455</v>
      </c>
      <c r="T138" s="41" t="s">
        <v>27</v>
      </c>
    </row>
    <row r="139" ht="15.75" customHeight="1">
      <c r="A139" s="8" t="s">
        <v>20</v>
      </c>
      <c r="B139" s="36" t="s">
        <v>203</v>
      </c>
      <c r="C139" s="42" t="s">
        <v>457</v>
      </c>
      <c r="D139" s="41">
        <v>1.0</v>
      </c>
      <c r="E139" s="41" t="s">
        <v>458</v>
      </c>
      <c r="F139" s="61">
        <v>250.0</v>
      </c>
      <c r="G139" s="62"/>
      <c r="H139" s="44">
        <v>0.0</v>
      </c>
      <c r="I139" s="44">
        <v>0.0</v>
      </c>
      <c r="J139" s="73">
        <f t="shared" si="12"/>
        <v>0</v>
      </c>
      <c r="K139" s="44">
        <v>225.0</v>
      </c>
      <c r="L139" s="46"/>
      <c r="M139" s="61" t="s">
        <v>24</v>
      </c>
      <c r="N139" s="61" t="s">
        <v>25</v>
      </c>
      <c r="O139" s="8"/>
      <c r="P139" s="73">
        <f t="shared" si="7"/>
        <v>25</v>
      </c>
      <c r="Q139" s="8"/>
      <c r="R139" s="8" t="s">
        <v>25</v>
      </c>
      <c r="S139" s="49" t="s">
        <v>459</v>
      </c>
      <c r="T139" s="41" t="s">
        <v>460</v>
      </c>
    </row>
    <row r="140" ht="15.75" customHeight="1">
      <c r="A140" s="8" t="s">
        <v>20</v>
      </c>
      <c r="B140" s="36" t="s">
        <v>67</v>
      </c>
      <c r="C140" s="42" t="s">
        <v>461</v>
      </c>
      <c r="D140" s="41">
        <v>3.0</v>
      </c>
      <c r="E140" s="43" t="s">
        <v>462</v>
      </c>
      <c r="F140" s="61">
        <v>120.0</v>
      </c>
      <c r="G140" s="62">
        <v>45230.0</v>
      </c>
      <c r="H140" s="44">
        <v>39.32</v>
      </c>
      <c r="I140" s="44">
        <v>39.71</v>
      </c>
      <c r="J140" s="73">
        <f t="shared" si="12"/>
        <v>41.2984</v>
      </c>
      <c r="K140" s="44">
        <v>60.0</v>
      </c>
      <c r="L140" s="46"/>
      <c r="M140" s="61" t="s">
        <v>24</v>
      </c>
      <c r="N140" s="61" t="s">
        <v>25</v>
      </c>
      <c r="O140" s="8"/>
      <c r="P140" s="73">
        <f t="shared" si="7"/>
        <v>18.7016</v>
      </c>
      <c r="Q140" s="8"/>
      <c r="R140" s="8" t="s">
        <v>25</v>
      </c>
      <c r="S140" s="41" t="s">
        <v>463</v>
      </c>
      <c r="T140" s="41" t="s">
        <v>27</v>
      </c>
    </row>
    <row r="141" ht="15.75" customHeight="1">
      <c r="A141" s="8" t="s">
        <v>20</v>
      </c>
      <c r="B141" s="36" t="s">
        <v>67</v>
      </c>
      <c r="C141" s="42" t="s">
        <v>464</v>
      </c>
      <c r="D141" s="41">
        <v>5.0</v>
      </c>
      <c r="E141" s="43" t="s">
        <v>465</v>
      </c>
      <c r="F141" s="61">
        <v>150.0</v>
      </c>
      <c r="G141" s="62">
        <v>45230.0</v>
      </c>
      <c r="H141" s="44">
        <v>74.85</v>
      </c>
      <c r="I141" s="44">
        <v>75.6</v>
      </c>
      <c r="J141" s="73">
        <f t="shared" si="12"/>
        <v>78.624</v>
      </c>
      <c r="K141" s="44">
        <v>60.0</v>
      </c>
      <c r="L141" s="46"/>
      <c r="M141" s="61" t="s">
        <v>24</v>
      </c>
      <c r="N141" s="61" t="s">
        <v>25</v>
      </c>
      <c r="O141" s="8"/>
      <c r="P141" s="73">
        <f t="shared" si="7"/>
        <v>11.376</v>
      </c>
      <c r="Q141" s="8"/>
      <c r="R141" s="8" t="s">
        <v>25</v>
      </c>
      <c r="S141" s="41" t="s">
        <v>466</v>
      </c>
      <c r="T141" s="41" t="s">
        <v>27</v>
      </c>
    </row>
    <row r="142" ht="15.75" customHeight="1">
      <c r="A142" s="8" t="s">
        <v>20</v>
      </c>
      <c r="B142" s="36" t="s">
        <v>71</v>
      </c>
      <c r="C142" s="42" t="s">
        <v>341</v>
      </c>
      <c r="D142" s="41">
        <v>1.0</v>
      </c>
      <c r="E142" s="43" t="s">
        <v>342</v>
      </c>
      <c r="F142" s="61">
        <v>125.0</v>
      </c>
      <c r="G142" s="62"/>
      <c r="H142" s="44">
        <v>72.75</v>
      </c>
      <c r="I142" s="44">
        <v>73.48</v>
      </c>
      <c r="J142" s="73">
        <f t="shared" si="12"/>
        <v>76.4192</v>
      </c>
      <c r="K142" s="44">
        <v>30.0</v>
      </c>
      <c r="L142" s="46"/>
      <c r="M142" s="61" t="s">
        <v>24</v>
      </c>
      <c r="N142" s="61" t="s">
        <v>25</v>
      </c>
      <c r="O142" s="8"/>
      <c r="P142" s="73">
        <f t="shared" si="7"/>
        <v>18.5808</v>
      </c>
      <c r="Q142" s="8"/>
      <c r="R142" s="8" t="s">
        <v>25</v>
      </c>
      <c r="S142" s="41" t="s">
        <v>467</v>
      </c>
      <c r="T142" s="41" t="s">
        <v>27</v>
      </c>
    </row>
    <row r="143" ht="15.75" customHeight="1">
      <c r="A143" s="8" t="s">
        <v>20</v>
      </c>
      <c r="B143" s="36" t="s">
        <v>67</v>
      </c>
      <c r="C143" s="42" t="s">
        <v>468</v>
      </c>
      <c r="D143" s="41">
        <v>1.0</v>
      </c>
      <c r="E143" s="43" t="s">
        <v>469</v>
      </c>
      <c r="F143" s="61">
        <f>SUM(J143,K143)</f>
        <v>156.6464</v>
      </c>
      <c r="G143" s="62"/>
      <c r="H143" s="44">
        <v>112.16</v>
      </c>
      <c r="I143" s="44">
        <v>112.16</v>
      </c>
      <c r="J143" s="73">
        <f t="shared" si="12"/>
        <v>116.6464</v>
      </c>
      <c r="K143" s="44">
        <v>40.0</v>
      </c>
      <c r="L143" s="46"/>
      <c r="M143" s="61" t="s">
        <v>24</v>
      </c>
      <c r="N143" s="61" t="s">
        <v>25</v>
      </c>
      <c r="O143" s="8"/>
      <c r="P143" s="73">
        <f t="shared" si="7"/>
        <v>0</v>
      </c>
      <c r="Q143" s="8"/>
      <c r="R143" s="8" t="s">
        <v>25</v>
      </c>
      <c r="S143" s="47" t="s">
        <v>470</v>
      </c>
      <c r="T143" s="41" t="s">
        <v>27</v>
      </c>
    </row>
    <row r="144" ht="15.75" customHeight="1">
      <c r="A144" s="8" t="s">
        <v>20</v>
      </c>
      <c r="B144" s="36" t="s">
        <v>67</v>
      </c>
      <c r="C144" s="42" t="s">
        <v>471</v>
      </c>
      <c r="D144" s="41">
        <v>1.0</v>
      </c>
      <c r="E144" s="41"/>
      <c r="F144" s="61">
        <v>110.0</v>
      </c>
      <c r="G144" s="62"/>
      <c r="H144" s="44">
        <v>72.0</v>
      </c>
      <c r="I144" s="44">
        <v>72.0</v>
      </c>
      <c r="J144" s="73">
        <f t="shared" si="12"/>
        <v>74.88</v>
      </c>
      <c r="K144" s="52"/>
      <c r="L144" s="82"/>
      <c r="M144" s="61" t="s">
        <v>24</v>
      </c>
      <c r="N144" s="61" t="s">
        <v>25</v>
      </c>
      <c r="O144" s="8"/>
      <c r="P144" s="73">
        <f t="shared" si="7"/>
        <v>35.12</v>
      </c>
      <c r="Q144" s="8"/>
      <c r="R144" s="8" t="s">
        <v>25</v>
      </c>
      <c r="S144" s="83"/>
      <c r="T144" s="41" t="s">
        <v>472</v>
      </c>
    </row>
    <row r="145" ht="15.75" customHeight="1">
      <c r="A145" s="8" t="s">
        <v>20</v>
      </c>
      <c r="B145" s="36" t="s">
        <v>376</v>
      </c>
      <c r="C145" s="42" t="s">
        <v>473</v>
      </c>
      <c r="D145" s="41">
        <v>1.0</v>
      </c>
      <c r="E145" s="41"/>
      <c r="F145" s="61">
        <v>0.0</v>
      </c>
      <c r="G145" s="36"/>
      <c r="H145" s="44">
        <v>0.0</v>
      </c>
      <c r="I145" s="44">
        <v>0.0</v>
      </c>
      <c r="J145" s="73">
        <f t="shared" si="12"/>
        <v>0</v>
      </c>
      <c r="K145" s="44">
        <v>120.0</v>
      </c>
      <c r="L145" s="46"/>
      <c r="M145" s="61" t="s">
        <v>24</v>
      </c>
      <c r="N145" s="61" t="s">
        <v>25</v>
      </c>
      <c r="O145" s="8"/>
      <c r="P145" s="73">
        <f t="shared" si="7"/>
        <v>-120</v>
      </c>
      <c r="Q145" s="8"/>
      <c r="R145" s="8" t="s">
        <v>25</v>
      </c>
      <c r="S145" s="41" t="s">
        <v>474</v>
      </c>
      <c r="T145" s="41" t="s">
        <v>475</v>
      </c>
    </row>
    <row r="146" ht="15.75" customHeight="1">
      <c r="A146" s="8" t="s">
        <v>20</v>
      </c>
      <c r="B146" s="36" t="s">
        <v>476</v>
      </c>
      <c r="C146" s="42" t="s">
        <v>477</v>
      </c>
      <c r="D146" s="41">
        <v>1.0</v>
      </c>
      <c r="E146" s="43" t="s">
        <v>478</v>
      </c>
      <c r="F146" s="61">
        <f>19500-2500</f>
        <v>17000</v>
      </c>
      <c r="G146" s="62">
        <v>45207.0</v>
      </c>
      <c r="H146" s="44">
        <v>10817.22</v>
      </c>
      <c r="I146" s="44">
        <v>10991.17</v>
      </c>
      <c r="J146" s="73">
        <f t="shared" si="12"/>
        <v>11430.8168</v>
      </c>
      <c r="K146" s="44">
        <v>2295.0</v>
      </c>
      <c r="L146" s="46"/>
      <c r="M146" s="61" t="s">
        <v>24</v>
      </c>
      <c r="N146" s="61" t="s">
        <v>25</v>
      </c>
      <c r="O146" s="8"/>
      <c r="P146" s="73">
        <f t="shared" si="7"/>
        <v>3274.1832</v>
      </c>
      <c r="Q146" s="8"/>
      <c r="R146" s="36" t="s">
        <v>25</v>
      </c>
      <c r="S146" s="41" t="s">
        <v>479</v>
      </c>
      <c r="T146" s="41" t="s">
        <v>475</v>
      </c>
    </row>
    <row r="147" ht="15.75" customHeight="1">
      <c r="A147" s="8" t="s">
        <v>20</v>
      </c>
      <c r="B147" s="36" t="s">
        <v>37</v>
      </c>
      <c r="C147" s="42" t="s">
        <v>480</v>
      </c>
      <c r="D147" s="41">
        <v>1.0</v>
      </c>
      <c r="E147" s="41"/>
      <c r="F147" s="61">
        <v>0.0</v>
      </c>
      <c r="G147" s="62"/>
      <c r="H147" s="44">
        <v>0.0</v>
      </c>
      <c r="I147" s="44">
        <v>0.0</v>
      </c>
      <c r="J147" s="73">
        <f t="shared" si="12"/>
        <v>0</v>
      </c>
      <c r="K147" s="44">
        <v>120.0</v>
      </c>
      <c r="L147" s="46"/>
      <c r="M147" s="61" t="s">
        <v>24</v>
      </c>
      <c r="N147" s="61" t="s">
        <v>25</v>
      </c>
      <c r="O147" s="8"/>
      <c r="P147" s="73">
        <f t="shared" si="7"/>
        <v>-120</v>
      </c>
      <c r="Q147" s="8"/>
      <c r="R147" s="8" t="s">
        <v>25</v>
      </c>
      <c r="S147" s="41" t="s">
        <v>481</v>
      </c>
      <c r="T147" s="41" t="s">
        <v>475</v>
      </c>
    </row>
    <row r="148" ht="15.75" customHeight="1">
      <c r="A148" s="8" t="s">
        <v>20</v>
      </c>
      <c r="B148" s="36" t="s">
        <v>37</v>
      </c>
      <c r="C148" s="42" t="s">
        <v>482</v>
      </c>
      <c r="D148" s="41">
        <v>1.0</v>
      </c>
      <c r="E148" s="49" t="s">
        <v>483</v>
      </c>
      <c r="F148" s="61">
        <v>0.0</v>
      </c>
      <c r="G148" s="62">
        <v>45241.0</v>
      </c>
      <c r="H148" s="44">
        <v>0.0</v>
      </c>
      <c r="I148" s="44">
        <v>0.0</v>
      </c>
      <c r="J148" s="84">
        <v>0.0</v>
      </c>
      <c r="K148" s="44">
        <v>12.0</v>
      </c>
      <c r="L148" s="46"/>
      <c r="M148" s="61" t="s">
        <v>24</v>
      </c>
      <c r="N148" s="61" t="s">
        <v>25</v>
      </c>
      <c r="O148" s="8"/>
      <c r="P148" s="73">
        <f t="shared" si="7"/>
        <v>-12</v>
      </c>
      <c r="Q148" s="8"/>
      <c r="R148" s="8" t="s">
        <v>25</v>
      </c>
      <c r="S148" s="49" t="s">
        <v>484</v>
      </c>
      <c r="T148" s="41" t="s">
        <v>475</v>
      </c>
    </row>
    <row r="149" ht="15.75" customHeight="1">
      <c r="A149" s="8" t="s">
        <v>20</v>
      </c>
      <c r="B149" s="36" t="s">
        <v>203</v>
      </c>
      <c r="C149" s="42" t="s">
        <v>485</v>
      </c>
      <c r="D149" s="41">
        <v>1.0</v>
      </c>
      <c r="E149" s="47" t="s">
        <v>486</v>
      </c>
      <c r="F149" s="61">
        <v>200.0</v>
      </c>
      <c r="G149" s="62">
        <v>45240.0</v>
      </c>
      <c r="H149" s="44">
        <v>0.0</v>
      </c>
      <c r="I149" s="44">
        <v>0.0</v>
      </c>
      <c r="J149" s="73">
        <f t="shared" ref="J149:J171" si="14">I149+(I149*0.04)</f>
        <v>0</v>
      </c>
      <c r="K149" s="44">
        <v>160.0</v>
      </c>
      <c r="L149" s="46"/>
      <c r="M149" s="61" t="s">
        <v>24</v>
      </c>
      <c r="N149" s="61" t="s">
        <v>25</v>
      </c>
      <c r="O149" s="8"/>
      <c r="P149" s="73">
        <f t="shared" si="7"/>
        <v>40</v>
      </c>
      <c r="Q149" s="8"/>
      <c r="R149" s="8" t="s">
        <v>25</v>
      </c>
      <c r="S149" s="47" t="s">
        <v>487</v>
      </c>
      <c r="T149" s="41" t="s">
        <v>460</v>
      </c>
    </row>
    <row r="150" ht="15.75" customHeight="1">
      <c r="A150" s="8" t="s">
        <v>20</v>
      </c>
      <c r="B150" s="36" t="s">
        <v>311</v>
      </c>
      <c r="C150" s="42" t="s">
        <v>488</v>
      </c>
      <c r="D150" s="41">
        <v>1.0</v>
      </c>
      <c r="E150" s="47" t="s">
        <v>489</v>
      </c>
      <c r="F150" s="61">
        <v>690.0</v>
      </c>
      <c r="G150" s="62">
        <v>45243.0</v>
      </c>
      <c r="H150" s="44">
        <v>433.98</v>
      </c>
      <c r="I150" s="52">
        <f t="shared" ref="I150:I171" si="15">ROUND(H150+H150*0.01,0)</f>
        <v>438</v>
      </c>
      <c r="J150" s="73">
        <f t="shared" si="14"/>
        <v>455.52</v>
      </c>
      <c r="K150" s="44">
        <v>68.0</v>
      </c>
      <c r="L150" s="46"/>
      <c r="M150" s="61" t="s">
        <v>24</v>
      </c>
      <c r="N150" s="61" t="s">
        <v>25</v>
      </c>
      <c r="O150" s="8"/>
      <c r="P150" s="73">
        <f t="shared" si="7"/>
        <v>166.48</v>
      </c>
      <c r="Q150" s="8"/>
      <c r="R150" s="8" t="s">
        <v>25</v>
      </c>
      <c r="S150" s="41" t="s">
        <v>490</v>
      </c>
      <c r="T150" s="41" t="s">
        <v>475</v>
      </c>
    </row>
    <row r="151" ht="15.75" customHeight="1">
      <c r="A151" s="8" t="s">
        <v>20</v>
      </c>
      <c r="B151" s="36" t="s">
        <v>67</v>
      </c>
      <c r="C151" s="42" t="s">
        <v>491</v>
      </c>
      <c r="D151" s="41">
        <v>1.0</v>
      </c>
      <c r="E151" s="43" t="s">
        <v>492</v>
      </c>
      <c r="F151" s="61">
        <v>220.0</v>
      </c>
      <c r="G151" s="62">
        <v>45243.0</v>
      </c>
      <c r="H151" s="44">
        <v>139.5</v>
      </c>
      <c r="I151" s="52">
        <f t="shared" si="15"/>
        <v>141</v>
      </c>
      <c r="J151" s="73">
        <f t="shared" si="14"/>
        <v>146.64</v>
      </c>
      <c r="K151" s="44">
        <v>10.0</v>
      </c>
      <c r="L151" s="46"/>
      <c r="M151" s="61" t="s">
        <v>24</v>
      </c>
      <c r="N151" s="61" t="s">
        <v>25</v>
      </c>
      <c r="O151" s="8"/>
      <c r="P151" s="73">
        <f t="shared" si="7"/>
        <v>63.36</v>
      </c>
      <c r="Q151" s="8"/>
      <c r="R151" s="8" t="s">
        <v>25</v>
      </c>
      <c r="S151" s="41" t="s">
        <v>493</v>
      </c>
      <c r="T151" s="41" t="s">
        <v>475</v>
      </c>
    </row>
    <row r="152" ht="15.75" customHeight="1">
      <c r="A152" s="8" t="s">
        <v>20</v>
      </c>
      <c r="B152" s="36" t="s">
        <v>494</v>
      </c>
      <c r="C152" s="42" t="s">
        <v>495</v>
      </c>
      <c r="D152" s="41">
        <v>1.0</v>
      </c>
      <c r="E152" s="41"/>
      <c r="F152" s="61">
        <v>420.0</v>
      </c>
      <c r="G152" s="62">
        <v>45240.0</v>
      </c>
      <c r="H152" s="52"/>
      <c r="I152" s="52">
        <f t="shared" si="15"/>
        <v>0</v>
      </c>
      <c r="J152" s="73">
        <f t="shared" si="14"/>
        <v>0</v>
      </c>
      <c r="K152" s="44">
        <v>280.0</v>
      </c>
      <c r="L152" s="46"/>
      <c r="M152" s="61" t="s">
        <v>24</v>
      </c>
      <c r="N152" s="61" t="s">
        <v>25</v>
      </c>
      <c r="O152" s="8"/>
      <c r="P152" s="73">
        <f t="shared" si="7"/>
        <v>140</v>
      </c>
      <c r="Q152" s="8"/>
      <c r="R152" s="8" t="s">
        <v>25</v>
      </c>
      <c r="S152" s="41" t="s">
        <v>496</v>
      </c>
      <c r="T152" s="41" t="s">
        <v>475</v>
      </c>
    </row>
    <row r="153" ht="15.75" customHeight="1">
      <c r="A153" s="8" t="s">
        <v>20</v>
      </c>
      <c r="B153" s="36" t="s">
        <v>497</v>
      </c>
      <c r="C153" s="42" t="s">
        <v>498</v>
      </c>
      <c r="D153" s="41">
        <v>1.0</v>
      </c>
      <c r="E153" s="41"/>
      <c r="F153" s="61">
        <v>60.0</v>
      </c>
      <c r="G153" s="62">
        <v>45240.0</v>
      </c>
      <c r="H153" s="52"/>
      <c r="I153" s="52">
        <f t="shared" si="15"/>
        <v>0</v>
      </c>
      <c r="J153" s="73">
        <f t="shared" si="14"/>
        <v>0</v>
      </c>
      <c r="K153" s="44">
        <v>40.0</v>
      </c>
      <c r="L153" s="46"/>
      <c r="M153" s="61" t="s">
        <v>24</v>
      </c>
      <c r="N153" s="61" t="s">
        <v>25</v>
      </c>
      <c r="O153" s="8"/>
      <c r="P153" s="73">
        <f t="shared" si="7"/>
        <v>20</v>
      </c>
      <c r="Q153" s="8"/>
      <c r="R153" s="8" t="s">
        <v>25</v>
      </c>
      <c r="S153" s="41" t="s">
        <v>499</v>
      </c>
      <c r="T153" s="41" t="s">
        <v>475</v>
      </c>
    </row>
    <row r="154" ht="15.75" customHeight="1">
      <c r="A154" s="8" t="s">
        <v>20</v>
      </c>
      <c r="B154" s="36" t="s">
        <v>37</v>
      </c>
      <c r="C154" s="42" t="s">
        <v>500</v>
      </c>
      <c r="D154" s="41">
        <v>1.0</v>
      </c>
      <c r="E154" s="43" t="s">
        <v>501</v>
      </c>
      <c r="F154" s="61">
        <v>0.0</v>
      </c>
      <c r="G154" s="62">
        <v>45244.0</v>
      </c>
      <c r="H154" s="44">
        <v>0.0</v>
      </c>
      <c r="I154" s="52">
        <f t="shared" si="15"/>
        <v>0</v>
      </c>
      <c r="J154" s="73">
        <f t="shared" si="14"/>
        <v>0</v>
      </c>
      <c r="K154" s="44">
        <v>12.0</v>
      </c>
      <c r="L154" s="46"/>
      <c r="M154" s="61" t="s">
        <v>24</v>
      </c>
      <c r="N154" s="61" t="s">
        <v>25</v>
      </c>
      <c r="O154" s="8"/>
      <c r="P154" s="73">
        <f t="shared" si="7"/>
        <v>-12</v>
      </c>
      <c r="Q154" s="8"/>
      <c r="R154" s="8" t="s">
        <v>25</v>
      </c>
      <c r="S154" s="41" t="s">
        <v>502</v>
      </c>
      <c r="T154" s="41" t="s">
        <v>475</v>
      </c>
    </row>
    <row r="155" ht="15.75" customHeight="1">
      <c r="A155" s="8" t="s">
        <v>20</v>
      </c>
      <c r="B155" s="36" t="s">
        <v>318</v>
      </c>
      <c r="C155" s="42" t="s">
        <v>503</v>
      </c>
      <c r="D155" s="41">
        <v>1.0</v>
      </c>
      <c r="E155" s="43" t="s">
        <v>504</v>
      </c>
      <c r="F155" s="61">
        <v>50.0</v>
      </c>
      <c r="G155" s="62">
        <v>45244.0</v>
      </c>
      <c r="H155" s="44">
        <v>20.32</v>
      </c>
      <c r="I155" s="52">
        <f t="shared" si="15"/>
        <v>21</v>
      </c>
      <c r="J155" s="73">
        <f t="shared" si="14"/>
        <v>21.84</v>
      </c>
      <c r="K155" s="44">
        <v>20.0</v>
      </c>
      <c r="L155" s="46"/>
      <c r="M155" s="61" t="s">
        <v>24</v>
      </c>
      <c r="N155" s="61" t="s">
        <v>25</v>
      </c>
      <c r="O155" s="8"/>
      <c r="P155" s="73">
        <f t="shared" si="7"/>
        <v>8.16</v>
      </c>
      <c r="Q155" s="8"/>
      <c r="R155" s="8" t="s">
        <v>25</v>
      </c>
      <c r="S155" s="41" t="s">
        <v>505</v>
      </c>
      <c r="T155" s="41" t="s">
        <v>475</v>
      </c>
    </row>
    <row r="156" ht="15.75" customHeight="1">
      <c r="A156" s="8" t="s">
        <v>20</v>
      </c>
      <c r="B156" s="36" t="s">
        <v>37</v>
      </c>
      <c r="C156" s="42" t="s">
        <v>506</v>
      </c>
      <c r="D156" s="41">
        <v>1.0</v>
      </c>
      <c r="E156" s="43" t="s">
        <v>507</v>
      </c>
      <c r="F156" s="61">
        <v>0.0</v>
      </c>
      <c r="G156" s="62">
        <v>45244.0</v>
      </c>
      <c r="H156" s="52"/>
      <c r="I156" s="52">
        <f t="shared" si="15"/>
        <v>0</v>
      </c>
      <c r="J156" s="73">
        <f t="shared" si="14"/>
        <v>0</v>
      </c>
      <c r="K156" s="44">
        <v>40.0</v>
      </c>
      <c r="L156" s="46"/>
      <c r="M156" s="61" t="s">
        <v>24</v>
      </c>
      <c r="N156" s="61" t="s">
        <v>25</v>
      </c>
      <c r="O156" s="8"/>
      <c r="P156" s="73">
        <f t="shared" si="7"/>
        <v>-40</v>
      </c>
      <c r="Q156" s="8"/>
      <c r="R156" s="8" t="s">
        <v>25</v>
      </c>
      <c r="S156" s="41" t="s">
        <v>508</v>
      </c>
      <c r="T156" s="41" t="s">
        <v>475</v>
      </c>
    </row>
    <row r="157" ht="15.75" customHeight="1">
      <c r="A157" s="8" t="s">
        <v>20</v>
      </c>
      <c r="B157" s="36" t="s">
        <v>67</v>
      </c>
      <c r="C157" s="42" t="s">
        <v>509</v>
      </c>
      <c r="D157" s="41">
        <v>1.0</v>
      </c>
      <c r="E157" s="41"/>
      <c r="F157" s="61">
        <v>9000.0</v>
      </c>
      <c r="G157" s="62"/>
      <c r="H157" s="44">
        <v>4122.02</v>
      </c>
      <c r="I157" s="52">
        <f t="shared" si="15"/>
        <v>4163</v>
      </c>
      <c r="J157" s="73">
        <f t="shared" si="14"/>
        <v>4329.52</v>
      </c>
      <c r="K157" s="44">
        <v>2790.0</v>
      </c>
      <c r="L157" s="46"/>
      <c r="M157" s="61" t="s">
        <v>24</v>
      </c>
      <c r="N157" s="61" t="s">
        <v>25</v>
      </c>
      <c r="O157" s="8"/>
      <c r="P157" s="73">
        <f t="shared" si="7"/>
        <v>1880.48</v>
      </c>
      <c r="Q157" s="8"/>
      <c r="R157" s="8" t="s">
        <v>25</v>
      </c>
      <c r="S157" s="41" t="s">
        <v>510</v>
      </c>
      <c r="T157" s="41" t="s">
        <v>511</v>
      </c>
    </row>
    <row r="158" ht="15.75" customHeight="1">
      <c r="A158" s="8" t="s">
        <v>20</v>
      </c>
      <c r="B158" s="36" t="s">
        <v>37</v>
      </c>
      <c r="C158" s="42" t="s">
        <v>512</v>
      </c>
      <c r="D158" s="41">
        <v>1.0</v>
      </c>
      <c r="E158" s="49" t="s">
        <v>513</v>
      </c>
      <c r="F158" s="61">
        <v>0.0</v>
      </c>
      <c r="G158" s="62">
        <v>45246.0</v>
      </c>
      <c r="H158" s="52"/>
      <c r="I158" s="52">
        <f t="shared" si="15"/>
        <v>0</v>
      </c>
      <c r="J158" s="73">
        <f t="shared" si="14"/>
        <v>0</v>
      </c>
      <c r="K158" s="44">
        <v>315.0</v>
      </c>
      <c r="L158" s="46"/>
      <c r="M158" s="61" t="s">
        <v>24</v>
      </c>
      <c r="N158" s="61" t="s">
        <v>25</v>
      </c>
      <c r="O158" s="8"/>
      <c r="P158" s="73">
        <f t="shared" si="7"/>
        <v>-315</v>
      </c>
      <c r="Q158" s="8"/>
      <c r="R158" s="8" t="s">
        <v>25</v>
      </c>
      <c r="S158" s="41" t="s">
        <v>514</v>
      </c>
      <c r="T158" s="41" t="s">
        <v>475</v>
      </c>
    </row>
    <row r="159" ht="15.75" customHeight="1">
      <c r="A159" s="8" t="s">
        <v>20</v>
      </c>
      <c r="B159" s="36" t="s">
        <v>37</v>
      </c>
      <c r="C159" s="42" t="s">
        <v>515</v>
      </c>
      <c r="D159" s="41">
        <v>1.0</v>
      </c>
      <c r="E159" s="47" t="s">
        <v>516</v>
      </c>
      <c r="F159" s="61">
        <v>0.0</v>
      </c>
      <c r="G159" s="62">
        <v>45246.0</v>
      </c>
      <c r="H159" s="52"/>
      <c r="I159" s="52">
        <f t="shared" si="15"/>
        <v>0</v>
      </c>
      <c r="J159" s="73">
        <f t="shared" si="14"/>
        <v>0</v>
      </c>
      <c r="K159" s="52"/>
      <c r="L159" s="82"/>
      <c r="M159" s="61" t="s">
        <v>24</v>
      </c>
      <c r="N159" s="61" t="s">
        <v>25</v>
      </c>
      <c r="O159" s="8"/>
      <c r="P159" s="73">
        <f t="shared" si="7"/>
        <v>0</v>
      </c>
      <c r="Q159" s="8"/>
      <c r="R159" s="8" t="s">
        <v>25</v>
      </c>
      <c r="S159" s="41" t="s">
        <v>517</v>
      </c>
      <c r="T159" s="41" t="s">
        <v>475</v>
      </c>
    </row>
    <row r="160" ht="15.75" customHeight="1">
      <c r="A160" s="8" t="s">
        <v>20</v>
      </c>
      <c r="B160" s="36" t="s">
        <v>37</v>
      </c>
      <c r="C160" s="42" t="s">
        <v>518</v>
      </c>
      <c r="D160" s="41">
        <v>1.0</v>
      </c>
      <c r="E160" s="43" t="s">
        <v>519</v>
      </c>
      <c r="F160" s="61">
        <v>0.0</v>
      </c>
      <c r="G160" s="62">
        <v>45246.0</v>
      </c>
      <c r="H160" s="52"/>
      <c r="I160" s="52">
        <f t="shared" si="15"/>
        <v>0</v>
      </c>
      <c r="J160" s="73">
        <f t="shared" si="14"/>
        <v>0</v>
      </c>
      <c r="K160" s="44">
        <v>40.0</v>
      </c>
      <c r="L160" s="46"/>
      <c r="M160" s="61" t="s">
        <v>24</v>
      </c>
      <c r="N160" s="61" t="s">
        <v>25</v>
      </c>
      <c r="O160" s="8"/>
      <c r="P160" s="73">
        <f t="shared" si="7"/>
        <v>-40</v>
      </c>
      <c r="Q160" s="8"/>
      <c r="R160" s="8" t="s">
        <v>25</v>
      </c>
      <c r="S160" s="41" t="s">
        <v>520</v>
      </c>
      <c r="T160" s="41" t="s">
        <v>475</v>
      </c>
    </row>
    <row r="161" ht="15.75" customHeight="1">
      <c r="A161" s="8" t="s">
        <v>20</v>
      </c>
      <c r="B161" s="36" t="s">
        <v>37</v>
      </c>
      <c r="C161" s="42" t="s">
        <v>521</v>
      </c>
      <c r="D161" s="41">
        <v>1.0</v>
      </c>
      <c r="E161" s="43" t="s">
        <v>522</v>
      </c>
      <c r="F161" s="61">
        <v>0.0</v>
      </c>
      <c r="G161" s="62">
        <v>45246.0</v>
      </c>
      <c r="H161" s="52"/>
      <c r="I161" s="52">
        <f t="shared" si="15"/>
        <v>0</v>
      </c>
      <c r="J161" s="73">
        <f t="shared" si="14"/>
        <v>0</v>
      </c>
      <c r="K161" s="44">
        <v>40.0</v>
      </c>
      <c r="L161" s="46"/>
      <c r="M161" s="61" t="s">
        <v>24</v>
      </c>
      <c r="N161" s="61" t="s">
        <v>25</v>
      </c>
      <c r="O161" s="8"/>
      <c r="P161" s="73">
        <f t="shared" si="7"/>
        <v>-40</v>
      </c>
      <c r="Q161" s="8"/>
      <c r="R161" s="8" t="s">
        <v>25</v>
      </c>
      <c r="S161" s="41" t="s">
        <v>520</v>
      </c>
      <c r="T161" s="41" t="s">
        <v>475</v>
      </c>
    </row>
    <row r="162" ht="15.75" customHeight="1">
      <c r="A162" s="8" t="s">
        <v>20</v>
      </c>
      <c r="B162" s="36" t="s">
        <v>37</v>
      </c>
      <c r="C162" s="42" t="s">
        <v>523</v>
      </c>
      <c r="D162" s="41">
        <v>1.0</v>
      </c>
      <c r="E162" s="47" t="s">
        <v>524</v>
      </c>
      <c r="F162" s="61">
        <v>0.0</v>
      </c>
      <c r="G162" s="62">
        <v>45246.0</v>
      </c>
      <c r="H162" s="52"/>
      <c r="I162" s="52">
        <f t="shared" si="15"/>
        <v>0</v>
      </c>
      <c r="J162" s="73">
        <f t="shared" si="14"/>
        <v>0</v>
      </c>
      <c r="K162" s="44">
        <v>40.0</v>
      </c>
      <c r="L162" s="46"/>
      <c r="M162" s="61" t="s">
        <v>24</v>
      </c>
      <c r="N162" s="61" t="s">
        <v>25</v>
      </c>
      <c r="O162" s="8"/>
      <c r="P162" s="73">
        <f t="shared" si="7"/>
        <v>-40</v>
      </c>
      <c r="Q162" s="8"/>
      <c r="R162" s="8" t="s">
        <v>25</v>
      </c>
      <c r="S162" s="41" t="s">
        <v>525</v>
      </c>
      <c r="T162" s="41" t="s">
        <v>475</v>
      </c>
    </row>
    <row r="163" ht="15.75" customHeight="1">
      <c r="A163" s="8" t="s">
        <v>20</v>
      </c>
      <c r="B163" s="36" t="s">
        <v>37</v>
      </c>
      <c r="C163" s="42" t="s">
        <v>526</v>
      </c>
      <c r="D163" s="41">
        <v>1.0</v>
      </c>
      <c r="E163" s="47" t="s">
        <v>527</v>
      </c>
      <c r="F163" s="61">
        <v>0.0</v>
      </c>
      <c r="G163" s="62"/>
      <c r="H163" s="52"/>
      <c r="I163" s="52">
        <f t="shared" si="15"/>
        <v>0</v>
      </c>
      <c r="J163" s="73">
        <f t="shared" si="14"/>
        <v>0</v>
      </c>
      <c r="K163" s="52"/>
      <c r="L163" s="82"/>
      <c r="M163" s="61" t="s">
        <v>24</v>
      </c>
      <c r="N163" s="61" t="s">
        <v>25</v>
      </c>
      <c r="O163" s="8"/>
      <c r="P163" s="73">
        <f t="shared" si="7"/>
        <v>0</v>
      </c>
      <c r="Q163" s="8"/>
      <c r="R163" s="8" t="s">
        <v>25</v>
      </c>
      <c r="S163" s="83"/>
      <c r="T163" s="41" t="s">
        <v>475</v>
      </c>
    </row>
    <row r="164" ht="15.75" customHeight="1">
      <c r="A164" s="8" t="s">
        <v>20</v>
      </c>
      <c r="B164" s="36" t="s">
        <v>37</v>
      </c>
      <c r="C164" s="42" t="s">
        <v>528</v>
      </c>
      <c r="D164" s="41">
        <v>1.0</v>
      </c>
      <c r="E164" s="47" t="s">
        <v>527</v>
      </c>
      <c r="F164" s="61">
        <v>0.0</v>
      </c>
      <c r="G164" s="62"/>
      <c r="H164" s="44">
        <v>0.0</v>
      </c>
      <c r="I164" s="52">
        <f t="shared" si="15"/>
        <v>0</v>
      </c>
      <c r="J164" s="73">
        <f t="shared" si="14"/>
        <v>0</v>
      </c>
      <c r="K164" s="44">
        <v>12.0</v>
      </c>
      <c r="L164" s="46"/>
      <c r="M164" s="61" t="s">
        <v>24</v>
      </c>
      <c r="N164" s="61" t="s">
        <v>25</v>
      </c>
      <c r="O164" s="8"/>
      <c r="P164" s="73">
        <f t="shared" si="7"/>
        <v>-12</v>
      </c>
      <c r="Q164" s="8"/>
      <c r="R164" s="8" t="s">
        <v>25</v>
      </c>
      <c r="S164" s="41" t="s">
        <v>529</v>
      </c>
      <c r="T164" s="41" t="s">
        <v>475</v>
      </c>
    </row>
    <row r="165" ht="15.75" customHeight="1">
      <c r="A165" s="8" t="s">
        <v>20</v>
      </c>
      <c r="B165" s="36" t="s">
        <v>37</v>
      </c>
      <c r="C165" s="42" t="s">
        <v>530</v>
      </c>
      <c r="D165" s="41">
        <v>1.0</v>
      </c>
      <c r="E165" s="43" t="s">
        <v>531</v>
      </c>
      <c r="F165" s="61">
        <v>0.0</v>
      </c>
      <c r="G165" s="62"/>
      <c r="H165" s="52"/>
      <c r="I165" s="52">
        <f t="shared" si="15"/>
        <v>0</v>
      </c>
      <c r="J165" s="73">
        <f t="shared" si="14"/>
        <v>0</v>
      </c>
      <c r="K165" s="44">
        <v>40.0</v>
      </c>
      <c r="L165" s="46"/>
      <c r="M165" s="61" t="s">
        <v>24</v>
      </c>
      <c r="N165" s="61" t="s">
        <v>25</v>
      </c>
      <c r="O165" s="8"/>
      <c r="P165" s="73">
        <f t="shared" si="7"/>
        <v>-40</v>
      </c>
      <c r="Q165" s="8"/>
      <c r="R165" s="8" t="s">
        <v>25</v>
      </c>
      <c r="S165" s="41" t="s">
        <v>532</v>
      </c>
      <c r="T165" s="41" t="s">
        <v>475</v>
      </c>
    </row>
    <row r="166" ht="15.75" customHeight="1">
      <c r="A166" s="8" t="s">
        <v>20</v>
      </c>
      <c r="B166" s="36" t="s">
        <v>533</v>
      </c>
      <c r="C166" s="42" t="s">
        <v>534</v>
      </c>
      <c r="D166" s="41">
        <v>1.0</v>
      </c>
      <c r="E166" s="43" t="s">
        <v>535</v>
      </c>
      <c r="F166" s="61">
        <v>320.0</v>
      </c>
      <c r="G166" s="62">
        <v>45247.0</v>
      </c>
      <c r="H166" s="44">
        <v>225.18</v>
      </c>
      <c r="I166" s="52">
        <f t="shared" si="15"/>
        <v>227</v>
      </c>
      <c r="J166" s="73">
        <f t="shared" si="14"/>
        <v>236.08</v>
      </c>
      <c r="K166" s="44">
        <v>40.0</v>
      </c>
      <c r="L166" s="46"/>
      <c r="M166" s="61" t="s">
        <v>24</v>
      </c>
      <c r="N166" s="61" t="s">
        <v>25</v>
      </c>
      <c r="O166" s="8"/>
      <c r="P166" s="73">
        <f t="shared" si="7"/>
        <v>43.92</v>
      </c>
      <c r="Q166" s="8"/>
      <c r="R166" s="8" t="s">
        <v>25</v>
      </c>
      <c r="S166" s="41" t="s">
        <v>536</v>
      </c>
      <c r="T166" s="41" t="s">
        <v>475</v>
      </c>
    </row>
    <row r="167" ht="15.75" customHeight="1">
      <c r="A167" s="8" t="s">
        <v>20</v>
      </c>
      <c r="B167" s="36" t="s">
        <v>533</v>
      </c>
      <c r="C167" s="42" t="s">
        <v>537</v>
      </c>
      <c r="D167" s="41">
        <v>1.0</v>
      </c>
      <c r="E167" s="43" t="s">
        <v>538</v>
      </c>
      <c r="F167" s="61">
        <v>120.0</v>
      </c>
      <c r="G167" s="62">
        <v>45247.0</v>
      </c>
      <c r="H167" s="44">
        <v>74.14</v>
      </c>
      <c r="I167" s="52">
        <f t="shared" si="15"/>
        <v>75</v>
      </c>
      <c r="J167" s="73">
        <f t="shared" si="14"/>
        <v>78</v>
      </c>
      <c r="K167" s="44">
        <v>20.0</v>
      </c>
      <c r="L167" s="46"/>
      <c r="M167" s="61" t="s">
        <v>24</v>
      </c>
      <c r="N167" s="61" t="s">
        <v>25</v>
      </c>
      <c r="O167" s="8"/>
      <c r="P167" s="73">
        <f t="shared" si="7"/>
        <v>22</v>
      </c>
      <c r="Q167" s="8"/>
      <c r="R167" s="8" t="s">
        <v>25</v>
      </c>
      <c r="S167" s="41" t="s">
        <v>539</v>
      </c>
      <c r="T167" s="41" t="s">
        <v>475</v>
      </c>
    </row>
    <row r="168" ht="15.75" customHeight="1">
      <c r="A168" s="8" t="s">
        <v>20</v>
      </c>
      <c r="B168" s="36" t="s">
        <v>533</v>
      </c>
      <c r="C168" s="42" t="s">
        <v>540</v>
      </c>
      <c r="D168" s="41">
        <v>1.0</v>
      </c>
      <c r="E168" s="47" t="s">
        <v>541</v>
      </c>
      <c r="F168" s="61">
        <v>250.0</v>
      </c>
      <c r="G168" s="62">
        <v>45247.0</v>
      </c>
      <c r="H168" s="44">
        <v>99.95</v>
      </c>
      <c r="I168" s="52">
        <f t="shared" si="15"/>
        <v>101</v>
      </c>
      <c r="J168" s="73">
        <f t="shared" si="14"/>
        <v>105.04</v>
      </c>
      <c r="K168" s="44">
        <v>40.0</v>
      </c>
      <c r="L168" s="46"/>
      <c r="M168" s="61" t="s">
        <v>24</v>
      </c>
      <c r="N168" s="61" t="s">
        <v>25</v>
      </c>
      <c r="O168" s="8"/>
      <c r="P168" s="73">
        <f t="shared" si="7"/>
        <v>104.96</v>
      </c>
      <c r="Q168" s="8"/>
      <c r="R168" s="8" t="s">
        <v>25</v>
      </c>
      <c r="S168" s="41" t="s">
        <v>542</v>
      </c>
      <c r="T168" s="41" t="s">
        <v>475</v>
      </c>
    </row>
    <row r="169" ht="15.75" customHeight="1">
      <c r="A169" s="8" t="s">
        <v>20</v>
      </c>
      <c r="B169" s="36" t="s">
        <v>543</v>
      </c>
      <c r="C169" s="42" t="s">
        <v>544</v>
      </c>
      <c r="D169" s="41">
        <v>1.0</v>
      </c>
      <c r="E169" s="43" t="s">
        <v>545</v>
      </c>
      <c r="F169" s="61">
        <v>400.0</v>
      </c>
      <c r="G169" s="62">
        <v>45247.0</v>
      </c>
      <c r="H169" s="44">
        <v>280.82</v>
      </c>
      <c r="I169" s="52">
        <f t="shared" si="15"/>
        <v>284</v>
      </c>
      <c r="J169" s="73">
        <f t="shared" si="14"/>
        <v>295.36</v>
      </c>
      <c r="K169" s="44">
        <v>40.0</v>
      </c>
      <c r="L169" s="46"/>
      <c r="M169" s="61" t="s">
        <v>24</v>
      </c>
      <c r="N169" s="61" t="s">
        <v>25</v>
      </c>
      <c r="O169" s="8"/>
      <c r="P169" s="73">
        <f t="shared" si="7"/>
        <v>64.64</v>
      </c>
      <c r="Q169" s="8"/>
      <c r="R169" s="8" t="s">
        <v>25</v>
      </c>
      <c r="S169" s="59" t="s">
        <v>546</v>
      </c>
      <c r="T169" s="41" t="s">
        <v>475</v>
      </c>
    </row>
    <row r="170" ht="15.75" customHeight="1">
      <c r="A170" s="8" t="s">
        <v>20</v>
      </c>
      <c r="B170" s="36" t="s">
        <v>37</v>
      </c>
      <c r="C170" s="42" t="s">
        <v>547</v>
      </c>
      <c r="D170" s="41">
        <v>1.0</v>
      </c>
      <c r="E170" s="43" t="s">
        <v>548</v>
      </c>
      <c r="F170" s="61">
        <v>0.0</v>
      </c>
      <c r="G170" s="62">
        <v>45247.0</v>
      </c>
      <c r="H170" s="44">
        <v>0.0</v>
      </c>
      <c r="I170" s="52">
        <f t="shared" si="15"/>
        <v>0</v>
      </c>
      <c r="J170" s="73">
        <f t="shared" si="14"/>
        <v>0</v>
      </c>
      <c r="K170" s="44">
        <v>12.0</v>
      </c>
      <c r="L170" s="46"/>
      <c r="M170" s="61" t="s">
        <v>24</v>
      </c>
      <c r="N170" s="61" t="s">
        <v>25</v>
      </c>
      <c r="O170" s="8"/>
      <c r="P170" s="73">
        <f t="shared" si="7"/>
        <v>-12</v>
      </c>
      <c r="Q170" s="8"/>
      <c r="R170" s="8" t="s">
        <v>25</v>
      </c>
      <c r="S170" s="41" t="s">
        <v>549</v>
      </c>
      <c r="T170" s="41" t="s">
        <v>475</v>
      </c>
    </row>
    <row r="171" ht="15.75" customHeight="1">
      <c r="A171" s="8" t="s">
        <v>20</v>
      </c>
      <c r="B171" s="36" t="s">
        <v>550</v>
      </c>
      <c r="C171" s="42" t="s">
        <v>551</v>
      </c>
      <c r="D171" s="41">
        <v>1.0</v>
      </c>
      <c r="E171" s="49" t="s">
        <v>552</v>
      </c>
      <c r="F171" s="61">
        <v>380.0</v>
      </c>
      <c r="G171" s="62">
        <v>45252.0</v>
      </c>
      <c r="H171" s="44">
        <v>167.64</v>
      </c>
      <c r="I171" s="52">
        <f t="shared" si="15"/>
        <v>169</v>
      </c>
      <c r="J171" s="73">
        <f t="shared" si="14"/>
        <v>175.76</v>
      </c>
      <c r="K171" s="44">
        <v>23.0</v>
      </c>
      <c r="L171" s="46"/>
      <c r="M171" s="61" t="s">
        <v>24</v>
      </c>
      <c r="N171" s="61" t="s">
        <v>25</v>
      </c>
      <c r="O171" s="8"/>
      <c r="P171" s="73">
        <f t="shared" si="7"/>
        <v>181.24</v>
      </c>
      <c r="Q171" s="8"/>
      <c r="R171" s="8" t="s">
        <v>25</v>
      </c>
      <c r="S171" s="41" t="s">
        <v>553</v>
      </c>
      <c r="T171" s="41" t="s">
        <v>475</v>
      </c>
    </row>
    <row r="172" ht="15.75" customHeight="1">
      <c r="A172" s="8" t="s">
        <v>20</v>
      </c>
      <c r="B172" s="36" t="s">
        <v>37</v>
      </c>
      <c r="C172" s="42" t="s">
        <v>554</v>
      </c>
      <c r="D172" s="41">
        <v>1.0</v>
      </c>
      <c r="E172" s="49" t="s">
        <v>555</v>
      </c>
      <c r="F172" s="61">
        <v>0.0</v>
      </c>
      <c r="G172" s="62">
        <v>45252.0</v>
      </c>
      <c r="H172" s="44" t="s">
        <v>224</v>
      </c>
      <c r="I172" s="44" t="s">
        <v>224</v>
      </c>
      <c r="J172" s="84" t="s">
        <v>224</v>
      </c>
      <c r="K172" s="44">
        <v>135.0</v>
      </c>
      <c r="L172" s="46"/>
      <c r="M172" s="61" t="s">
        <v>24</v>
      </c>
      <c r="N172" s="61" t="s">
        <v>25</v>
      </c>
      <c r="O172" s="8"/>
      <c r="P172" s="73" t="str">
        <f t="shared" si="7"/>
        <v>#VALUE!</v>
      </c>
      <c r="Q172" s="8"/>
      <c r="R172" s="8" t="s">
        <v>25</v>
      </c>
      <c r="S172" s="41" t="s">
        <v>556</v>
      </c>
      <c r="T172" s="41" t="s">
        <v>475</v>
      </c>
    </row>
    <row r="173" ht="15.75" customHeight="1">
      <c r="A173" s="8" t="s">
        <v>20</v>
      </c>
      <c r="B173" s="36" t="s">
        <v>557</v>
      </c>
      <c r="C173" s="42" t="s">
        <v>558</v>
      </c>
      <c r="D173" s="41">
        <v>1.0</v>
      </c>
      <c r="E173" s="43" t="s">
        <v>559</v>
      </c>
      <c r="F173" s="61">
        <v>110.0</v>
      </c>
      <c r="G173" s="62">
        <v>45254.0</v>
      </c>
      <c r="H173" s="44">
        <v>0.0</v>
      </c>
      <c r="I173" s="52">
        <f t="shared" ref="I173:I175" si="16">ROUND(H173+H173*0.01,0)</f>
        <v>0</v>
      </c>
      <c r="J173" s="73">
        <f t="shared" ref="J173:J184" si="17">I173+(I173*0.04)</f>
        <v>0</v>
      </c>
      <c r="K173" s="44">
        <v>80.0</v>
      </c>
      <c r="L173" s="46"/>
      <c r="M173" s="61" t="s">
        <v>24</v>
      </c>
      <c r="N173" s="61" t="s">
        <v>25</v>
      </c>
      <c r="O173" s="8"/>
      <c r="P173" s="73">
        <f t="shared" si="7"/>
        <v>30</v>
      </c>
      <c r="Q173" s="8"/>
      <c r="R173" s="8" t="s">
        <v>25</v>
      </c>
      <c r="S173" s="43" t="s">
        <v>560</v>
      </c>
      <c r="T173" s="41" t="s">
        <v>475</v>
      </c>
    </row>
    <row r="174" ht="15.75" customHeight="1">
      <c r="A174" s="8" t="s">
        <v>20</v>
      </c>
      <c r="B174" s="36" t="s">
        <v>476</v>
      </c>
      <c r="C174" s="42" t="s">
        <v>561</v>
      </c>
      <c r="D174" s="41">
        <v>1.0</v>
      </c>
      <c r="E174" s="47" t="s">
        <v>562</v>
      </c>
      <c r="F174" s="61">
        <v>2500.0</v>
      </c>
      <c r="G174" s="62"/>
      <c r="H174" s="52">
        <f>'DETALLE DE PAGOS ENVIOS A APCAR'!B127+'DETALLE DE PAGOS ENVIOS A APCAR'!B128+'DETALLE DE PAGOS ENVIOS A APCAR'!B129+'DETALLE DE PAGOS ENVIOS A APCAR'!B131+('DETALLE DE PAGOS ENVIOS A APCAR'!B126/5)</f>
        <v>1635.008</v>
      </c>
      <c r="I174" s="52">
        <f t="shared" si="16"/>
        <v>1651</v>
      </c>
      <c r="J174" s="73">
        <f t="shared" si="17"/>
        <v>1717.04</v>
      </c>
      <c r="K174" s="44">
        <v>175.0</v>
      </c>
      <c r="L174" s="46"/>
      <c r="M174" s="61" t="s">
        <v>24</v>
      </c>
      <c r="N174" s="61" t="s">
        <v>25</v>
      </c>
      <c r="O174" s="8"/>
      <c r="P174" s="73">
        <f t="shared" si="7"/>
        <v>607.96</v>
      </c>
      <c r="Q174" s="8"/>
      <c r="R174" s="36" t="s">
        <v>25</v>
      </c>
      <c r="S174" s="41" t="s">
        <v>563</v>
      </c>
      <c r="T174" s="41" t="s">
        <v>475</v>
      </c>
    </row>
    <row r="175" ht="15.75" customHeight="1">
      <c r="A175" s="8" t="s">
        <v>20</v>
      </c>
      <c r="B175" s="36" t="s">
        <v>564</v>
      </c>
      <c r="C175" s="42" t="s">
        <v>565</v>
      </c>
      <c r="D175" s="41">
        <v>1.0</v>
      </c>
      <c r="E175" s="43" t="s">
        <v>566</v>
      </c>
      <c r="F175" s="61">
        <v>55.0</v>
      </c>
      <c r="G175" s="62">
        <v>45261.0</v>
      </c>
      <c r="H175" s="44">
        <v>0.0</v>
      </c>
      <c r="I175" s="52">
        <f t="shared" si="16"/>
        <v>0</v>
      </c>
      <c r="J175" s="73">
        <f t="shared" si="17"/>
        <v>0</v>
      </c>
      <c r="K175" s="44">
        <v>50.0</v>
      </c>
      <c r="L175" s="46"/>
      <c r="M175" s="61" t="s">
        <v>24</v>
      </c>
      <c r="N175" s="61" t="s">
        <v>25</v>
      </c>
      <c r="O175" s="8"/>
      <c r="P175" s="73">
        <f t="shared" si="7"/>
        <v>5</v>
      </c>
      <c r="Q175" s="8"/>
      <c r="R175" s="8" t="s">
        <v>25</v>
      </c>
      <c r="S175" s="41" t="s">
        <v>567</v>
      </c>
      <c r="T175" s="41" t="s">
        <v>475</v>
      </c>
    </row>
    <row r="176" ht="15.75" customHeight="1">
      <c r="A176" s="8" t="s">
        <v>20</v>
      </c>
      <c r="B176" s="36" t="s">
        <v>550</v>
      </c>
      <c r="C176" s="42" t="s">
        <v>568</v>
      </c>
      <c r="D176" s="41">
        <v>1.0</v>
      </c>
      <c r="E176" s="47" t="s">
        <v>569</v>
      </c>
      <c r="F176" s="61">
        <v>350.0</v>
      </c>
      <c r="G176" s="62">
        <v>45261.0</v>
      </c>
      <c r="H176" s="44">
        <v>204.54</v>
      </c>
      <c r="I176" s="44">
        <v>204.54</v>
      </c>
      <c r="J176" s="73">
        <f t="shared" si="17"/>
        <v>212.7216</v>
      </c>
      <c r="K176" s="44">
        <v>23.0</v>
      </c>
      <c r="L176" s="46"/>
      <c r="M176" s="61" t="s">
        <v>24</v>
      </c>
      <c r="N176" s="61" t="s">
        <v>25</v>
      </c>
      <c r="O176" s="8"/>
      <c r="P176" s="73">
        <f t="shared" si="7"/>
        <v>114.2784</v>
      </c>
      <c r="Q176" s="8"/>
      <c r="R176" s="8" t="s">
        <v>25</v>
      </c>
      <c r="S176" s="41" t="s">
        <v>570</v>
      </c>
      <c r="T176" s="41" t="s">
        <v>475</v>
      </c>
    </row>
    <row r="177" ht="15.75" customHeight="1">
      <c r="A177" s="8" t="s">
        <v>20</v>
      </c>
      <c r="B177" s="36" t="s">
        <v>571</v>
      </c>
      <c r="C177" s="42" t="s">
        <v>572</v>
      </c>
      <c r="D177" s="41">
        <v>1.0</v>
      </c>
      <c r="E177" s="47" t="s">
        <v>573</v>
      </c>
      <c r="F177" s="61">
        <v>1305.0</v>
      </c>
      <c r="G177" s="62"/>
      <c r="H177" s="44">
        <v>1001.3</v>
      </c>
      <c r="I177" s="52">
        <f t="shared" ref="I177:I179" si="18">ROUND(H177+H177*0.01,0)</f>
        <v>1011</v>
      </c>
      <c r="J177" s="73">
        <f t="shared" si="17"/>
        <v>1051.44</v>
      </c>
      <c r="K177" s="44">
        <v>135.0</v>
      </c>
      <c r="L177" s="46"/>
      <c r="M177" s="61" t="s">
        <v>24</v>
      </c>
      <c r="N177" s="61" t="s">
        <v>25</v>
      </c>
      <c r="O177" s="8"/>
      <c r="P177" s="73">
        <f t="shared" si="7"/>
        <v>118.56</v>
      </c>
      <c r="Q177" s="8"/>
      <c r="R177" s="8" t="s">
        <v>25</v>
      </c>
      <c r="S177" s="41" t="s">
        <v>574</v>
      </c>
      <c r="T177" s="41" t="s">
        <v>475</v>
      </c>
    </row>
    <row r="178" ht="15.75" customHeight="1">
      <c r="A178" s="8" t="s">
        <v>20</v>
      </c>
      <c r="B178" s="36" t="s">
        <v>571</v>
      </c>
      <c r="C178" s="42" t="s">
        <v>575</v>
      </c>
      <c r="D178" s="41">
        <v>1.0</v>
      </c>
      <c r="E178" s="47" t="s">
        <v>576</v>
      </c>
      <c r="F178" s="61">
        <v>470.0</v>
      </c>
      <c r="G178" s="62"/>
      <c r="H178" s="44">
        <v>363.0</v>
      </c>
      <c r="I178" s="52">
        <f t="shared" si="18"/>
        <v>367</v>
      </c>
      <c r="J178" s="73">
        <f t="shared" si="17"/>
        <v>381.68</v>
      </c>
      <c r="K178" s="44">
        <v>45.0</v>
      </c>
      <c r="L178" s="46"/>
      <c r="M178" s="61" t="s">
        <v>24</v>
      </c>
      <c r="N178" s="61" t="s">
        <v>25</v>
      </c>
      <c r="O178" s="8"/>
      <c r="P178" s="73">
        <f t="shared" si="7"/>
        <v>43.32</v>
      </c>
      <c r="Q178" s="8"/>
      <c r="R178" s="8" t="s">
        <v>25</v>
      </c>
      <c r="S178" s="41" t="s">
        <v>577</v>
      </c>
      <c r="T178" s="41" t="s">
        <v>475</v>
      </c>
    </row>
    <row r="179" ht="15.75" customHeight="1">
      <c r="A179" s="8" t="s">
        <v>20</v>
      </c>
      <c r="B179" s="36" t="s">
        <v>571</v>
      </c>
      <c r="C179" s="42" t="s">
        <v>578</v>
      </c>
      <c r="D179" s="41">
        <v>1.0</v>
      </c>
      <c r="E179" s="43" t="s">
        <v>579</v>
      </c>
      <c r="F179" s="61">
        <v>90.0</v>
      </c>
      <c r="G179" s="62">
        <v>45266.0</v>
      </c>
      <c r="H179" s="44">
        <v>56.99</v>
      </c>
      <c r="I179" s="52">
        <f t="shared" si="18"/>
        <v>58</v>
      </c>
      <c r="J179" s="73">
        <f t="shared" si="17"/>
        <v>60.32</v>
      </c>
      <c r="K179" s="44">
        <v>23.0</v>
      </c>
      <c r="L179" s="46"/>
      <c r="M179" s="61" t="s">
        <v>24</v>
      </c>
      <c r="N179" s="61" t="s">
        <v>25</v>
      </c>
      <c r="O179" s="8"/>
      <c r="P179" s="73">
        <f t="shared" si="7"/>
        <v>6.68</v>
      </c>
      <c r="Q179" s="8"/>
      <c r="R179" s="8" t="s">
        <v>25</v>
      </c>
      <c r="S179" s="41" t="s">
        <v>580</v>
      </c>
      <c r="T179" s="41" t="s">
        <v>475</v>
      </c>
    </row>
    <row r="180" ht="15.75" customHeight="1">
      <c r="A180" s="8" t="s">
        <v>20</v>
      </c>
      <c r="B180" s="36" t="s">
        <v>581</v>
      </c>
      <c r="C180" s="42" t="s">
        <v>582</v>
      </c>
      <c r="D180" s="41">
        <v>2.0</v>
      </c>
      <c r="E180" s="43" t="s">
        <v>583</v>
      </c>
      <c r="F180" s="61">
        <v>100.0</v>
      </c>
      <c r="G180" s="62">
        <v>45266.0</v>
      </c>
      <c r="H180" s="44">
        <v>71.22</v>
      </c>
      <c r="I180" s="44">
        <v>71.22</v>
      </c>
      <c r="J180" s="73">
        <f t="shared" si="17"/>
        <v>74.0688</v>
      </c>
      <c r="K180" s="44">
        <v>0.0</v>
      </c>
      <c r="L180" s="46"/>
      <c r="M180" s="61" t="s">
        <v>24</v>
      </c>
      <c r="N180" s="61" t="s">
        <v>25</v>
      </c>
      <c r="O180" s="8"/>
      <c r="P180" s="73">
        <f t="shared" si="7"/>
        <v>25.9312</v>
      </c>
      <c r="Q180" s="8"/>
      <c r="R180" s="8" t="s">
        <v>25</v>
      </c>
      <c r="S180" s="41" t="s">
        <v>584</v>
      </c>
      <c r="T180" s="41" t="s">
        <v>475</v>
      </c>
    </row>
    <row r="181" ht="15.75" customHeight="1">
      <c r="A181" s="8" t="s">
        <v>20</v>
      </c>
      <c r="B181" s="36" t="s">
        <v>37</v>
      </c>
      <c r="C181" s="42" t="s">
        <v>585</v>
      </c>
      <c r="D181" s="41">
        <v>1.0</v>
      </c>
      <c r="E181" s="49" t="s">
        <v>586</v>
      </c>
      <c r="F181" s="61">
        <v>0.0</v>
      </c>
      <c r="G181" s="62">
        <v>45267.0</v>
      </c>
      <c r="H181" s="44">
        <v>69.99</v>
      </c>
      <c r="I181" s="52">
        <f t="shared" ref="I181:I184" si="19">ROUND(H181+H181*0.01,0)</f>
        <v>71</v>
      </c>
      <c r="J181" s="73">
        <f t="shared" si="17"/>
        <v>73.84</v>
      </c>
      <c r="K181" s="44">
        <v>0.0</v>
      </c>
      <c r="L181" s="46"/>
      <c r="M181" s="61" t="s">
        <v>24</v>
      </c>
      <c r="N181" s="61" t="s">
        <v>25</v>
      </c>
      <c r="O181" s="8"/>
      <c r="P181" s="73">
        <f t="shared" si="7"/>
        <v>-73.84</v>
      </c>
      <c r="Q181" s="8"/>
      <c r="R181" s="8" t="s">
        <v>25</v>
      </c>
      <c r="S181" s="49" t="s">
        <v>587</v>
      </c>
      <c r="T181" s="41" t="s">
        <v>475</v>
      </c>
    </row>
    <row r="182" ht="15.75" customHeight="1">
      <c r="A182" s="8" t="s">
        <v>20</v>
      </c>
      <c r="B182" s="36" t="s">
        <v>571</v>
      </c>
      <c r="C182" s="42" t="s">
        <v>588</v>
      </c>
      <c r="D182" s="41">
        <v>1.0</v>
      </c>
      <c r="E182" s="43" t="s">
        <v>589</v>
      </c>
      <c r="F182" s="61">
        <v>190.0</v>
      </c>
      <c r="G182" s="62">
        <v>45268.0</v>
      </c>
      <c r="H182" s="44">
        <v>120.92</v>
      </c>
      <c r="I182" s="52">
        <f t="shared" si="19"/>
        <v>122</v>
      </c>
      <c r="J182" s="73">
        <f t="shared" si="17"/>
        <v>126.88</v>
      </c>
      <c r="K182" s="44">
        <v>45.0</v>
      </c>
      <c r="L182" s="46"/>
      <c r="M182" s="61" t="s">
        <v>24</v>
      </c>
      <c r="N182" s="61" t="s">
        <v>25</v>
      </c>
      <c r="O182" s="8"/>
      <c r="P182" s="73">
        <f t="shared" si="7"/>
        <v>18.12</v>
      </c>
      <c r="Q182" s="8"/>
      <c r="R182" s="8" t="s">
        <v>25</v>
      </c>
      <c r="S182" s="41" t="s">
        <v>590</v>
      </c>
      <c r="T182" s="41" t="s">
        <v>475</v>
      </c>
    </row>
    <row r="183" ht="15.75" customHeight="1">
      <c r="A183" s="8" t="s">
        <v>20</v>
      </c>
      <c r="B183" s="36" t="s">
        <v>591</v>
      </c>
      <c r="C183" s="42" t="s">
        <v>592</v>
      </c>
      <c r="D183" s="41">
        <v>1.0</v>
      </c>
      <c r="E183" s="43" t="s">
        <v>593</v>
      </c>
      <c r="F183" s="61">
        <v>1510.0</v>
      </c>
      <c r="G183" s="62">
        <v>45280.0</v>
      </c>
      <c r="H183" s="44">
        <v>920.04</v>
      </c>
      <c r="I183" s="52">
        <f t="shared" si="19"/>
        <v>929</v>
      </c>
      <c r="J183" s="73">
        <f t="shared" si="17"/>
        <v>966.16</v>
      </c>
      <c r="K183" s="44">
        <v>225.0</v>
      </c>
      <c r="L183" s="46"/>
      <c r="M183" s="61" t="s">
        <v>24</v>
      </c>
      <c r="N183" s="61" t="s">
        <v>25</v>
      </c>
      <c r="O183" s="8"/>
      <c r="P183" s="73">
        <f t="shared" si="7"/>
        <v>318.84</v>
      </c>
      <c r="Q183" s="8"/>
      <c r="R183" s="8" t="s">
        <v>25</v>
      </c>
      <c r="S183" s="85" t="s">
        <v>594</v>
      </c>
      <c r="T183" s="41" t="s">
        <v>475</v>
      </c>
    </row>
    <row r="184" ht="15.75" customHeight="1">
      <c r="A184" s="8" t="s">
        <v>20</v>
      </c>
      <c r="B184" s="36" t="s">
        <v>179</v>
      </c>
      <c r="C184" s="42" t="s">
        <v>595</v>
      </c>
      <c r="D184" s="41">
        <v>1.0</v>
      </c>
      <c r="E184" s="43" t="s">
        <v>596</v>
      </c>
      <c r="F184" s="61">
        <v>625.0</v>
      </c>
      <c r="G184" s="62">
        <v>45280.0</v>
      </c>
      <c r="H184" s="44">
        <v>349.8</v>
      </c>
      <c r="I184" s="52">
        <f t="shared" si="19"/>
        <v>353</v>
      </c>
      <c r="J184" s="73">
        <f t="shared" si="17"/>
        <v>367.12</v>
      </c>
      <c r="K184" s="44">
        <v>135.0</v>
      </c>
      <c r="L184" s="46"/>
      <c r="M184" s="61" t="s">
        <v>24</v>
      </c>
      <c r="N184" s="61" t="s">
        <v>25</v>
      </c>
      <c r="O184" s="8"/>
      <c r="P184" s="73">
        <f t="shared" si="7"/>
        <v>122.88</v>
      </c>
      <c r="Q184" s="8"/>
      <c r="R184" s="8" t="s">
        <v>25</v>
      </c>
      <c r="S184" s="86" t="s">
        <v>597</v>
      </c>
      <c r="T184" s="41" t="s">
        <v>475</v>
      </c>
    </row>
    <row r="185" ht="15.75" customHeight="1">
      <c r="A185" s="8" t="s">
        <v>20</v>
      </c>
      <c r="B185" s="36" t="s">
        <v>376</v>
      </c>
      <c r="C185" s="42" t="s">
        <v>598</v>
      </c>
      <c r="D185" s="41">
        <v>1.0</v>
      </c>
      <c r="E185" s="41"/>
      <c r="F185" s="61">
        <v>0.0</v>
      </c>
      <c r="G185" s="62">
        <v>45280.0</v>
      </c>
      <c r="H185" s="44">
        <v>136.96</v>
      </c>
      <c r="I185" s="44">
        <v>136.96</v>
      </c>
      <c r="J185" s="73"/>
      <c r="K185" s="52"/>
      <c r="L185" s="82"/>
      <c r="M185" s="61" t="s">
        <v>24</v>
      </c>
      <c r="N185" s="61" t="s">
        <v>25</v>
      </c>
      <c r="O185" s="8"/>
      <c r="P185" s="73"/>
      <c r="Q185" s="8"/>
      <c r="R185" s="8" t="s">
        <v>25</v>
      </c>
      <c r="S185" s="41" t="s">
        <v>599</v>
      </c>
      <c r="T185" s="41" t="s">
        <v>475</v>
      </c>
    </row>
    <row r="186" ht="15.75" customHeight="1">
      <c r="A186" s="8" t="s">
        <v>20</v>
      </c>
      <c r="B186" s="36" t="s">
        <v>67</v>
      </c>
      <c r="C186" s="42" t="s">
        <v>600</v>
      </c>
      <c r="D186" s="41">
        <v>1.0</v>
      </c>
      <c r="E186" s="47" t="s">
        <v>601</v>
      </c>
      <c r="F186" s="61">
        <f>J186+K186+20%</f>
        <v>1088.88</v>
      </c>
      <c r="G186" s="62">
        <v>45280.0</v>
      </c>
      <c r="H186" s="44">
        <v>907.84</v>
      </c>
      <c r="I186" s="52">
        <f t="shared" ref="I186:I211" si="20">ROUND(H186+H186*0.01,0)</f>
        <v>917</v>
      </c>
      <c r="J186" s="73">
        <f t="shared" ref="J186:J211" si="21">I186+(I186*0.04)</f>
        <v>953.68</v>
      </c>
      <c r="K186" s="44">
        <v>135.0</v>
      </c>
      <c r="L186" s="46"/>
      <c r="M186" s="61" t="s">
        <v>24</v>
      </c>
      <c r="N186" s="61" t="s">
        <v>25</v>
      </c>
      <c r="O186" s="8"/>
      <c r="P186" s="73">
        <f t="shared" ref="P186:P243" si="22">F186-(J186+K186)</f>
        <v>0.2</v>
      </c>
      <c r="Q186" s="8"/>
      <c r="R186" s="8" t="s">
        <v>25</v>
      </c>
      <c r="S186" s="41" t="s">
        <v>602</v>
      </c>
      <c r="T186" s="41" t="s">
        <v>475</v>
      </c>
    </row>
    <row r="187" ht="15.75" customHeight="1">
      <c r="A187" s="8" t="s">
        <v>20</v>
      </c>
      <c r="B187" s="36" t="s">
        <v>571</v>
      </c>
      <c r="C187" s="42" t="s">
        <v>603</v>
      </c>
      <c r="D187" s="41">
        <v>1.0</v>
      </c>
      <c r="E187" s="43" t="s">
        <v>604</v>
      </c>
      <c r="F187" s="61">
        <v>315.0</v>
      </c>
      <c r="G187" s="62">
        <v>45280.0</v>
      </c>
      <c r="H187" s="44">
        <v>229.3</v>
      </c>
      <c r="I187" s="52">
        <f t="shared" si="20"/>
        <v>232</v>
      </c>
      <c r="J187" s="73">
        <f t="shared" si="21"/>
        <v>241.28</v>
      </c>
      <c r="K187" s="44">
        <v>45.0</v>
      </c>
      <c r="L187" s="46"/>
      <c r="M187" s="61" t="s">
        <v>24</v>
      </c>
      <c r="N187" s="61" t="s">
        <v>25</v>
      </c>
      <c r="O187" s="8"/>
      <c r="P187" s="73">
        <f t="shared" si="22"/>
        <v>28.72</v>
      </c>
      <c r="Q187" s="8"/>
      <c r="R187" s="8" t="s">
        <v>25</v>
      </c>
      <c r="S187" s="41" t="s">
        <v>605</v>
      </c>
      <c r="T187" s="41" t="s">
        <v>475</v>
      </c>
    </row>
    <row r="188" ht="15.75" customHeight="1">
      <c r="A188" s="8" t="s">
        <v>20</v>
      </c>
      <c r="B188" s="36" t="s">
        <v>37</v>
      </c>
      <c r="C188" s="42" t="s">
        <v>606</v>
      </c>
      <c r="D188" s="41">
        <v>1.0</v>
      </c>
      <c r="E188" s="49" t="s">
        <v>607</v>
      </c>
      <c r="F188" s="61">
        <v>0.0</v>
      </c>
      <c r="G188" s="62">
        <v>45280.0</v>
      </c>
      <c r="H188" s="44">
        <v>38.0</v>
      </c>
      <c r="I188" s="52">
        <f t="shared" si="20"/>
        <v>38</v>
      </c>
      <c r="J188" s="73">
        <f t="shared" si="21"/>
        <v>39.52</v>
      </c>
      <c r="K188" s="44">
        <v>225.0</v>
      </c>
      <c r="L188" s="46"/>
      <c r="M188" s="61" t="s">
        <v>24</v>
      </c>
      <c r="N188" s="61" t="s">
        <v>25</v>
      </c>
      <c r="O188" s="8"/>
      <c r="P188" s="73">
        <f t="shared" si="22"/>
        <v>-264.52</v>
      </c>
      <c r="Q188" s="8"/>
      <c r="R188" s="36" t="s">
        <v>25</v>
      </c>
      <c r="S188" s="41" t="s">
        <v>608</v>
      </c>
      <c r="T188" s="41" t="s">
        <v>475</v>
      </c>
    </row>
    <row r="189" ht="15.75" customHeight="1">
      <c r="A189" s="8" t="s">
        <v>20</v>
      </c>
      <c r="B189" s="36" t="s">
        <v>67</v>
      </c>
      <c r="C189" s="42" t="s">
        <v>609</v>
      </c>
      <c r="D189" s="41">
        <v>1.0</v>
      </c>
      <c r="E189" s="43" t="s">
        <v>610</v>
      </c>
      <c r="F189" s="61">
        <f t="shared" ref="F189:F190" si="23">J189+K189+20%</f>
        <v>48.16</v>
      </c>
      <c r="G189" s="62">
        <v>45280.0</v>
      </c>
      <c r="H189" s="44">
        <v>23.94</v>
      </c>
      <c r="I189" s="52">
        <f t="shared" si="20"/>
        <v>24</v>
      </c>
      <c r="J189" s="73">
        <f t="shared" si="21"/>
        <v>24.96</v>
      </c>
      <c r="K189" s="44">
        <v>23.0</v>
      </c>
      <c r="L189" s="46"/>
      <c r="M189" s="61" t="s">
        <v>24</v>
      </c>
      <c r="N189" s="61" t="s">
        <v>25</v>
      </c>
      <c r="O189" s="8"/>
      <c r="P189" s="73">
        <f t="shared" si="22"/>
        <v>0.2</v>
      </c>
      <c r="Q189" s="8"/>
      <c r="R189" s="8" t="s">
        <v>25</v>
      </c>
      <c r="S189" s="41" t="s">
        <v>611</v>
      </c>
      <c r="T189" s="41" t="s">
        <v>475</v>
      </c>
    </row>
    <row r="190" ht="15.75" customHeight="1">
      <c r="A190" s="8" t="s">
        <v>20</v>
      </c>
      <c r="B190" s="36" t="s">
        <v>67</v>
      </c>
      <c r="C190" s="42" t="s">
        <v>540</v>
      </c>
      <c r="D190" s="41">
        <v>1.0</v>
      </c>
      <c r="E190" s="47" t="s">
        <v>612</v>
      </c>
      <c r="F190" s="61">
        <f t="shared" si="23"/>
        <v>153.36</v>
      </c>
      <c r="G190" s="62">
        <v>45280.0</v>
      </c>
      <c r="H190" s="44">
        <v>102.5</v>
      </c>
      <c r="I190" s="52">
        <f t="shared" si="20"/>
        <v>104</v>
      </c>
      <c r="J190" s="73">
        <f t="shared" si="21"/>
        <v>108.16</v>
      </c>
      <c r="K190" s="44">
        <v>45.0</v>
      </c>
      <c r="L190" s="46"/>
      <c r="M190" s="61" t="s">
        <v>24</v>
      </c>
      <c r="N190" s="61" t="s">
        <v>25</v>
      </c>
      <c r="O190" s="8"/>
      <c r="P190" s="73">
        <f t="shared" si="22"/>
        <v>0.2</v>
      </c>
      <c r="Q190" s="8"/>
      <c r="R190" s="8" t="s">
        <v>25</v>
      </c>
      <c r="S190" s="41" t="s">
        <v>613</v>
      </c>
      <c r="T190" s="41" t="s">
        <v>475</v>
      </c>
    </row>
    <row r="191" ht="15.75" customHeight="1">
      <c r="A191" s="8" t="s">
        <v>20</v>
      </c>
      <c r="B191" s="36" t="s">
        <v>105</v>
      </c>
      <c r="C191" s="42" t="s">
        <v>614</v>
      </c>
      <c r="D191" s="41">
        <v>2.0</v>
      </c>
      <c r="E191" s="43" t="s">
        <v>615</v>
      </c>
      <c r="F191" s="61">
        <v>130.0</v>
      </c>
      <c r="G191" s="62">
        <v>45280.0</v>
      </c>
      <c r="H191" s="44">
        <v>56.9</v>
      </c>
      <c r="I191" s="52">
        <f t="shared" si="20"/>
        <v>57</v>
      </c>
      <c r="J191" s="73">
        <f t="shared" si="21"/>
        <v>59.28</v>
      </c>
      <c r="K191" s="44">
        <v>50.0</v>
      </c>
      <c r="L191" s="46"/>
      <c r="M191" s="61" t="s">
        <v>24</v>
      </c>
      <c r="N191" s="61" t="s">
        <v>25</v>
      </c>
      <c r="O191" s="8"/>
      <c r="P191" s="73">
        <f t="shared" si="22"/>
        <v>20.72</v>
      </c>
      <c r="Q191" s="8"/>
      <c r="R191" s="8" t="s">
        <v>25</v>
      </c>
      <c r="S191" s="41" t="s">
        <v>616</v>
      </c>
      <c r="T191" s="41" t="s">
        <v>475</v>
      </c>
    </row>
    <row r="192" ht="15.75" customHeight="1">
      <c r="A192" s="8" t="s">
        <v>20</v>
      </c>
      <c r="B192" s="36" t="s">
        <v>37</v>
      </c>
      <c r="C192" s="42" t="s">
        <v>617</v>
      </c>
      <c r="D192" s="41">
        <v>1.0</v>
      </c>
      <c r="E192" s="47" t="s">
        <v>618</v>
      </c>
      <c r="F192" s="61">
        <v>0.0</v>
      </c>
      <c r="G192" s="62">
        <v>45280.0</v>
      </c>
      <c r="H192" s="44">
        <v>644.0</v>
      </c>
      <c r="I192" s="52">
        <f t="shared" si="20"/>
        <v>650</v>
      </c>
      <c r="J192" s="73">
        <f t="shared" si="21"/>
        <v>676</v>
      </c>
      <c r="K192" s="44">
        <v>1035.0</v>
      </c>
      <c r="L192" s="46"/>
      <c r="M192" s="61" t="s">
        <v>24</v>
      </c>
      <c r="N192" s="61" t="s">
        <v>25</v>
      </c>
      <c r="O192" s="8"/>
      <c r="P192" s="73">
        <f t="shared" si="22"/>
        <v>-1711</v>
      </c>
      <c r="Q192" s="8"/>
      <c r="R192" s="8" t="s">
        <v>25</v>
      </c>
      <c r="S192" s="41" t="s">
        <v>619</v>
      </c>
      <c r="T192" s="41" t="s">
        <v>475</v>
      </c>
    </row>
    <row r="193" ht="15.75" customHeight="1">
      <c r="A193" s="8" t="s">
        <v>20</v>
      </c>
      <c r="B193" s="36" t="s">
        <v>37</v>
      </c>
      <c r="C193" s="42" t="s">
        <v>620</v>
      </c>
      <c r="D193" s="41">
        <v>1.0</v>
      </c>
      <c r="E193" s="47" t="s">
        <v>621</v>
      </c>
      <c r="F193" s="61">
        <v>0.0</v>
      </c>
      <c r="G193" s="62">
        <v>45280.0</v>
      </c>
      <c r="H193" s="44">
        <v>2079.98</v>
      </c>
      <c r="I193" s="52">
        <f t="shared" si="20"/>
        <v>2101</v>
      </c>
      <c r="J193" s="73">
        <f t="shared" si="21"/>
        <v>2185.04</v>
      </c>
      <c r="K193" s="44">
        <v>405.0</v>
      </c>
      <c r="L193" s="46"/>
      <c r="M193" s="61" t="s">
        <v>24</v>
      </c>
      <c r="N193" s="61" t="s">
        <v>25</v>
      </c>
      <c r="O193" s="8"/>
      <c r="P193" s="73">
        <f t="shared" si="22"/>
        <v>-2590.04</v>
      </c>
      <c r="Q193" s="8"/>
      <c r="R193" s="8" t="s">
        <v>25</v>
      </c>
      <c r="S193" s="41" t="s">
        <v>622</v>
      </c>
      <c r="T193" s="41" t="s">
        <v>475</v>
      </c>
    </row>
    <row r="194" ht="15.75" customHeight="1">
      <c r="A194" s="8" t="s">
        <v>20</v>
      </c>
      <c r="B194" s="36" t="s">
        <v>67</v>
      </c>
      <c r="C194" s="42" t="s">
        <v>623</v>
      </c>
      <c r="D194" s="41">
        <v>1.0</v>
      </c>
      <c r="E194" s="43" t="s">
        <v>624</v>
      </c>
      <c r="F194" s="61">
        <v>290.0</v>
      </c>
      <c r="G194" s="62">
        <v>45280.0</v>
      </c>
      <c r="H194" s="44">
        <v>146.83</v>
      </c>
      <c r="I194" s="52">
        <f t="shared" si="20"/>
        <v>148</v>
      </c>
      <c r="J194" s="73">
        <f t="shared" si="21"/>
        <v>153.92</v>
      </c>
      <c r="K194" s="87">
        <v>135.0</v>
      </c>
      <c r="L194" s="88"/>
      <c r="M194" s="61" t="s">
        <v>24</v>
      </c>
      <c r="N194" s="61" t="s">
        <v>25</v>
      </c>
      <c r="O194" s="8"/>
      <c r="P194" s="73">
        <f t="shared" si="22"/>
        <v>1.08</v>
      </c>
      <c r="Q194" s="8"/>
      <c r="R194" s="8" t="s">
        <v>25</v>
      </c>
      <c r="S194" s="41" t="s">
        <v>625</v>
      </c>
      <c r="T194" s="41" t="s">
        <v>475</v>
      </c>
    </row>
    <row r="195" ht="15.75" customHeight="1">
      <c r="A195" s="8" t="s">
        <v>20</v>
      </c>
      <c r="B195" s="36" t="s">
        <v>626</v>
      </c>
      <c r="C195" s="42" t="s">
        <v>627</v>
      </c>
      <c r="D195" s="41">
        <v>1.0</v>
      </c>
      <c r="E195" s="47" t="s">
        <v>628</v>
      </c>
      <c r="F195" s="61">
        <v>239.0</v>
      </c>
      <c r="G195" s="62">
        <v>45283.0</v>
      </c>
      <c r="H195" s="44">
        <v>139.0</v>
      </c>
      <c r="I195" s="52">
        <f t="shared" si="20"/>
        <v>140</v>
      </c>
      <c r="J195" s="73">
        <f t="shared" si="21"/>
        <v>145.6</v>
      </c>
      <c r="K195" s="44">
        <v>0.0</v>
      </c>
      <c r="L195" s="46"/>
      <c r="M195" s="61" t="s">
        <v>24</v>
      </c>
      <c r="N195" s="61" t="s">
        <v>25</v>
      </c>
      <c r="O195" s="8"/>
      <c r="P195" s="73">
        <f t="shared" si="22"/>
        <v>93.4</v>
      </c>
      <c r="Q195" s="8"/>
      <c r="R195" s="8" t="s">
        <v>25</v>
      </c>
      <c r="S195" s="41" t="s">
        <v>629</v>
      </c>
      <c r="T195" s="41" t="s">
        <v>475</v>
      </c>
    </row>
    <row r="196" ht="15.75" customHeight="1">
      <c r="A196" s="8" t="s">
        <v>20</v>
      </c>
      <c r="B196" s="36" t="s">
        <v>626</v>
      </c>
      <c r="C196" s="42" t="s">
        <v>630</v>
      </c>
      <c r="D196" s="41">
        <v>1.0</v>
      </c>
      <c r="E196" s="43" t="s">
        <v>631</v>
      </c>
      <c r="F196" s="61">
        <v>400.0</v>
      </c>
      <c r="G196" s="62">
        <v>45283.0</v>
      </c>
      <c r="H196" s="44">
        <v>219.99</v>
      </c>
      <c r="I196" s="52">
        <f t="shared" si="20"/>
        <v>222</v>
      </c>
      <c r="J196" s="73">
        <f t="shared" si="21"/>
        <v>230.88</v>
      </c>
      <c r="K196" s="44">
        <v>90.0</v>
      </c>
      <c r="L196" s="46"/>
      <c r="M196" s="61" t="s">
        <v>24</v>
      </c>
      <c r="N196" s="61" t="s">
        <v>25</v>
      </c>
      <c r="O196" s="8"/>
      <c r="P196" s="73">
        <f t="shared" si="22"/>
        <v>79.12</v>
      </c>
      <c r="Q196" s="8"/>
      <c r="R196" s="8" t="s">
        <v>25</v>
      </c>
      <c r="S196" s="41" t="s">
        <v>632</v>
      </c>
      <c r="T196" s="41" t="s">
        <v>475</v>
      </c>
    </row>
    <row r="197" ht="15.75" customHeight="1">
      <c r="A197" s="8" t="s">
        <v>20</v>
      </c>
      <c r="B197" s="36" t="s">
        <v>626</v>
      </c>
      <c r="C197" s="42" t="s">
        <v>633</v>
      </c>
      <c r="D197" s="41">
        <v>2.0</v>
      </c>
      <c r="E197" s="47" t="s">
        <v>634</v>
      </c>
      <c r="F197" s="61">
        <v>45.0</v>
      </c>
      <c r="G197" s="62">
        <v>45283.0</v>
      </c>
      <c r="H197" s="44">
        <v>29.25</v>
      </c>
      <c r="I197" s="52">
        <f t="shared" si="20"/>
        <v>30</v>
      </c>
      <c r="J197" s="73">
        <f t="shared" si="21"/>
        <v>31.2</v>
      </c>
      <c r="K197" s="44">
        <v>0.0</v>
      </c>
      <c r="L197" s="46"/>
      <c r="M197" s="61" t="s">
        <v>24</v>
      </c>
      <c r="N197" s="61" t="s">
        <v>25</v>
      </c>
      <c r="O197" s="8"/>
      <c r="P197" s="73">
        <f t="shared" si="22"/>
        <v>13.8</v>
      </c>
      <c r="Q197" s="8"/>
      <c r="R197" s="8" t="s">
        <v>25</v>
      </c>
      <c r="S197" s="47" t="s">
        <v>635</v>
      </c>
      <c r="T197" s="41" t="s">
        <v>475</v>
      </c>
    </row>
    <row r="198" ht="15.75" customHeight="1">
      <c r="A198" s="8" t="s">
        <v>20</v>
      </c>
      <c r="B198" s="36" t="s">
        <v>626</v>
      </c>
      <c r="C198" s="42" t="s">
        <v>636</v>
      </c>
      <c r="D198" s="41">
        <v>1.0</v>
      </c>
      <c r="E198" s="47" t="s">
        <v>637</v>
      </c>
      <c r="F198" s="61">
        <v>205.0</v>
      </c>
      <c r="G198" s="62">
        <v>45283.0</v>
      </c>
      <c r="H198" s="44">
        <v>110.49</v>
      </c>
      <c r="I198" s="52">
        <f t="shared" si="20"/>
        <v>112</v>
      </c>
      <c r="J198" s="73">
        <f t="shared" si="21"/>
        <v>116.48</v>
      </c>
      <c r="K198" s="44">
        <v>45.0</v>
      </c>
      <c r="L198" s="46"/>
      <c r="M198" s="61" t="s">
        <v>24</v>
      </c>
      <c r="N198" s="61" t="s">
        <v>25</v>
      </c>
      <c r="O198" s="8"/>
      <c r="P198" s="73">
        <f t="shared" si="22"/>
        <v>43.52</v>
      </c>
      <c r="Q198" s="8"/>
      <c r="R198" s="8" t="s">
        <v>25</v>
      </c>
      <c r="S198" s="47" t="s">
        <v>638</v>
      </c>
      <c r="T198" s="41" t="s">
        <v>475</v>
      </c>
    </row>
    <row r="199" ht="15.75" customHeight="1">
      <c r="A199" s="8" t="s">
        <v>20</v>
      </c>
      <c r="B199" s="36" t="s">
        <v>557</v>
      </c>
      <c r="C199" s="42" t="s">
        <v>639</v>
      </c>
      <c r="D199" s="41">
        <v>1.0</v>
      </c>
      <c r="E199" s="47" t="s">
        <v>640</v>
      </c>
      <c r="F199" s="61">
        <v>20.0</v>
      </c>
      <c r="G199" s="62">
        <v>45283.0</v>
      </c>
      <c r="H199" s="44">
        <v>50.27</v>
      </c>
      <c r="I199" s="52">
        <f t="shared" si="20"/>
        <v>51</v>
      </c>
      <c r="J199" s="73">
        <f t="shared" si="21"/>
        <v>53.04</v>
      </c>
      <c r="K199" s="44">
        <v>0.0</v>
      </c>
      <c r="L199" s="46"/>
      <c r="M199" s="61" t="s">
        <v>24</v>
      </c>
      <c r="N199" s="61" t="s">
        <v>25</v>
      </c>
      <c r="O199" s="8"/>
      <c r="P199" s="73">
        <f t="shared" si="22"/>
        <v>-33.04</v>
      </c>
      <c r="Q199" s="8"/>
      <c r="R199" s="8" t="s">
        <v>25</v>
      </c>
      <c r="S199" s="41" t="s">
        <v>641</v>
      </c>
      <c r="T199" s="41" t="s">
        <v>475</v>
      </c>
    </row>
    <row r="200" ht="15.75" customHeight="1">
      <c r="A200" s="8" t="s">
        <v>20</v>
      </c>
      <c r="B200" s="36" t="s">
        <v>557</v>
      </c>
      <c r="C200" s="42" t="s">
        <v>642</v>
      </c>
      <c r="D200" s="41">
        <v>2.0</v>
      </c>
      <c r="E200" s="43" t="s">
        <v>643</v>
      </c>
      <c r="F200" s="61">
        <v>20.0</v>
      </c>
      <c r="G200" s="62">
        <v>45283.0</v>
      </c>
      <c r="H200" s="44">
        <v>73.68</v>
      </c>
      <c r="I200" s="52">
        <f t="shared" si="20"/>
        <v>74</v>
      </c>
      <c r="J200" s="73">
        <f t="shared" si="21"/>
        <v>76.96</v>
      </c>
      <c r="K200" s="44">
        <v>22.5</v>
      </c>
      <c r="L200" s="46"/>
      <c r="M200" s="61" t="s">
        <v>24</v>
      </c>
      <c r="N200" s="61" t="s">
        <v>25</v>
      </c>
      <c r="O200" s="8"/>
      <c r="P200" s="73">
        <f t="shared" si="22"/>
        <v>-79.46</v>
      </c>
      <c r="Q200" s="8"/>
      <c r="R200" s="8" t="s">
        <v>25</v>
      </c>
      <c r="S200" s="41" t="s">
        <v>644</v>
      </c>
      <c r="T200" s="41" t="s">
        <v>475</v>
      </c>
    </row>
    <row r="201" ht="15.75" customHeight="1">
      <c r="A201" s="8" t="s">
        <v>20</v>
      </c>
      <c r="B201" s="36" t="s">
        <v>557</v>
      </c>
      <c r="C201" s="42" t="s">
        <v>645</v>
      </c>
      <c r="D201" s="41">
        <v>2.0</v>
      </c>
      <c r="E201" s="43" t="s">
        <v>646</v>
      </c>
      <c r="F201" s="61">
        <v>20.0</v>
      </c>
      <c r="G201" s="62">
        <v>45283.0</v>
      </c>
      <c r="H201" s="44">
        <v>243.18</v>
      </c>
      <c r="I201" s="52">
        <f t="shared" si="20"/>
        <v>246</v>
      </c>
      <c r="J201" s="73">
        <f t="shared" si="21"/>
        <v>255.84</v>
      </c>
      <c r="K201" s="44">
        <v>22.5</v>
      </c>
      <c r="L201" s="46"/>
      <c r="M201" s="61" t="s">
        <v>24</v>
      </c>
      <c r="N201" s="61" t="s">
        <v>25</v>
      </c>
      <c r="O201" s="8"/>
      <c r="P201" s="73">
        <f t="shared" si="22"/>
        <v>-258.34</v>
      </c>
      <c r="Q201" s="8"/>
      <c r="R201" s="8" t="s">
        <v>25</v>
      </c>
      <c r="S201" s="41" t="s">
        <v>647</v>
      </c>
      <c r="T201" s="41" t="s">
        <v>475</v>
      </c>
    </row>
    <row r="202" ht="15.75" customHeight="1">
      <c r="A202" s="8" t="s">
        <v>20</v>
      </c>
      <c r="B202" s="36" t="s">
        <v>37</v>
      </c>
      <c r="C202" s="42" t="s">
        <v>648</v>
      </c>
      <c r="D202" s="41">
        <v>1.0</v>
      </c>
      <c r="E202" s="47" t="s">
        <v>649</v>
      </c>
      <c r="F202" s="61">
        <v>0.0</v>
      </c>
      <c r="G202" s="62">
        <v>45286.0</v>
      </c>
      <c r="H202" s="44">
        <v>50.26</v>
      </c>
      <c r="I202" s="52">
        <f t="shared" si="20"/>
        <v>51</v>
      </c>
      <c r="J202" s="73">
        <f t="shared" si="21"/>
        <v>53.04</v>
      </c>
      <c r="K202" s="44">
        <v>113.0</v>
      </c>
      <c r="L202" s="46"/>
      <c r="M202" s="61" t="s">
        <v>24</v>
      </c>
      <c r="N202" s="61" t="s">
        <v>25</v>
      </c>
      <c r="O202" s="8"/>
      <c r="P202" s="73">
        <f t="shared" si="22"/>
        <v>-166.04</v>
      </c>
      <c r="Q202" s="8"/>
      <c r="R202" s="8" t="s">
        <v>25</v>
      </c>
      <c r="S202" s="41" t="s">
        <v>650</v>
      </c>
      <c r="T202" s="41" t="s">
        <v>475</v>
      </c>
    </row>
    <row r="203" ht="15.75" customHeight="1">
      <c r="A203" s="8" t="s">
        <v>20</v>
      </c>
      <c r="B203" s="36" t="s">
        <v>37</v>
      </c>
      <c r="C203" s="42" t="s">
        <v>651</v>
      </c>
      <c r="D203" s="41">
        <v>1.0</v>
      </c>
      <c r="E203" s="47" t="s">
        <v>652</v>
      </c>
      <c r="F203" s="61">
        <v>0.0</v>
      </c>
      <c r="G203" s="62">
        <v>45286.0</v>
      </c>
      <c r="H203" s="44">
        <v>151.64</v>
      </c>
      <c r="I203" s="52">
        <f t="shared" si="20"/>
        <v>153</v>
      </c>
      <c r="J203" s="73">
        <f t="shared" si="21"/>
        <v>159.12</v>
      </c>
      <c r="K203" s="44">
        <v>270.0</v>
      </c>
      <c r="L203" s="46"/>
      <c r="M203" s="61" t="s">
        <v>24</v>
      </c>
      <c r="N203" s="61" t="s">
        <v>25</v>
      </c>
      <c r="O203" s="8"/>
      <c r="P203" s="73">
        <f t="shared" si="22"/>
        <v>-429.12</v>
      </c>
      <c r="Q203" s="8"/>
      <c r="R203" s="8" t="s">
        <v>25</v>
      </c>
      <c r="S203" s="41" t="s">
        <v>653</v>
      </c>
      <c r="T203" s="41" t="s">
        <v>475</v>
      </c>
    </row>
    <row r="204" ht="15.75" customHeight="1">
      <c r="A204" s="8" t="s">
        <v>20</v>
      </c>
      <c r="B204" s="36" t="s">
        <v>626</v>
      </c>
      <c r="C204" s="42" t="s">
        <v>654</v>
      </c>
      <c r="D204" s="41">
        <v>1.0</v>
      </c>
      <c r="E204" s="43" t="s">
        <v>655</v>
      </c>
      <c r="F204" s="61">
        <v>480.0</v>
      </c>
      <c r="G204" s="62">
        <v>45286.0</v>
      </c>
      <c r="H204" s="44">
        <v>192.07</v>
      </c>
      <c r="I204" s="52">
        <f t="shared" si="20"/>
        <v>194</v>
      </c>
      <c r="J204" s="73">
        <f t="shared" si="21"/>
        <v>201.76</v>
      </c>
      <c r="K204" s="44">
        <v>180.0</v>
      </c>
      <c r="L204" s="46"/>
      <c r="M204" s="61" t="s">
        <v>24</v>
      </c>
      <c r="N204" s="61" t="s">
        <v>25</v>
      </c>
      <c r="O204" s="8"/>
      <c r="P204" s="73">
        <f t="shared" si="22"/>
        <v>98.24</v>
      </c>
      <c r="Q204" s="8"/>
      <c r="R204" s="8" t="s">
        <v>25</v>
      </c>
      <c r="S204" s="41" t="s">
        <v>656</v>
      </c>
      <c r="T204" s="41" t="s">
        <v>475</v>
      </c>
    </row>
    <row r="205" ht="15.75" customHeight="1">
      <c r="A205" s="8" t="s">
        <v>20</v>
      </c>
      <c r="B205" s="36" t="s">
        <v>657</v>
      </c>
      <c r="C205" s="42" t="s">
        <v>658</v>
      </c>
      <c r="D205" s="41">
        <v>1.0</v>
      </c>
      <c r="E205" s="43" t="s">
        <v>659</v>
      </c>
      <c r="F205" s="61">
        <v>1260.0</v>
      </c>
      <c r="G205" s="62">
        <v>45287.0</v>
      </c>
      <c r="H205" s="44">
        <v>885.96</v>
      </c>
      <c r="I205" s="52">
        <f t="shared" si="20"/>
        <v>895</v>
      </c>
      <c r="J205" s="73">
        <f t="shared" si="21"/>
        <v>930.8</v>
      </c>
      <c r="K205" s="44">
        <v>45.0</v>
      </c>
      <c r="L205" s="46"/>
      <c r="M205" s="61" t="s">
        <v>24</v>
      </c>
      <c r="N205" s="61" t="s">
        <v>25</v>
      </c>
      <c r="O205" s="8"/>
      <c r="P205" s="73">
        <f t="shared" si="22"/>
        <v>284.2</v>
      </c>
      <c r="Q205" s="8"/>
      <c r="R205" s="8" t="s">
        <v>25</v>
      </c>
      <c r="S205" s="41" t="s">
        <v>660</v>
      </c>
      <c r="T205" s="41" t="s">
        <v>475</v>
      </c>
    </row>
    <row r="206" ht="15.75" customHeight="1">
      <c r="A206" s="8" t="s">
        <v>20</v>
      </c>
      <c r="B206" s="36" t="s">
        <v>67</v>
      </c>
      <c r="C206" s="42" t="s">
        <v>661</v>
      </c>
      <c r="D206" s="41">
        <v>1.0</v>
      </c>
      <c r="E206" s="43" t="s">
        <v>662</v>
      </c>
      <c r="F206" s="61">
        <v>210.0</v>
      </c>
      <c r="G206" s="62">
        <v>45294.0</v>
      </c>
      <c r="H206" s="44">
        <v>128.39</v>
      </c>
      <c r="I206" s="52">
        <f t="shared" si="20"/>
        <v>130</v>
      </c>
      <c r="J206" s="73">
        <f t="shared" si="21"/>
        <v>135.2</v>
      </c>
      <c r="K206" s="44">
        <v>45.0</v>
      </c>
      <c r="L206" s="46"/>
      <c r="M206" s="61" t="s">
        <v>24</v>
      </c>
      <c r="N206" s="61" t="s">
        <v>25</v>
      </c>
      <c r="O206" s="8"/>
      <c r="P206" s="73">
        <f t="shared" si="22"/>
        <v>29.8</v>
      </c>
      <c r="Q206" s="8"/>
      <c r="R206" s="8" t="s">
        <v>25</v>
      </c>
      <c r="S206" s="41" t="s">
        <v>663</v>
      </c>
      <c r="T206" s="41" t="s">
        <v>475</v>
      </c>
    </row>
    <row r="207" ht="15.75" customHeight="1">
      <c r="A207" s="8" t="s">
        <v>20</v>
      </c>
      <c r="B207" s="36" t="s">
        <v>550</v>
      </c>
      <c r="C207" s="42" t="s">
        <v>551</v>
      </c>
      <c r="D207" s="41">
        <v>1.0</v>
      </c>
      <c r="E207" s="43" t="s">
        <v>664</v>
      </c>
      <c r="F207" s="61">
        <v>380.0</v>
      </c>
      <c r="G207" s="62">
        <v>45295.0</v>
      </c>
      <c r="H207" s="44">
        <v>233.36</v>
      </c>
      <c r="I207" s="52">
        <f t="shared" si="20"/>
        <v>236</v>
      </c>
      <c r="J207" s="73">
        <f t="shared" si="21"/>
        <v>245.44</v>
      </c>
      <c r="K207" s="44">
        <v>90.0</v>
      </c>
      <c r="L207" s="46"/>
      <c r="M207" s="61" t="s">
        <v>24</v>
      </c>
      <c r="N207" s="61" t="s">
        <v>25</v>
      </c>
      <c r="O207" s="8"/>
      <c r="P207" s="73">
        <f t="shared" si="22"/>
        <v>44.56</v>
      </c>
      <c r="Q207" s="8"/>
      <c r="R207" s="8" t="s">
        <v>25</v>
      </c>
      <c r="S207" s="43" t="s">
        <v>665</v>
      </c>
      <c r="T207" s="41" t="s">
        <v>475</v>
      </c>
    </row>
    <row r="208" ht="15.75" customHeight="1">
      <c r="A208" s="8" t="s">
        <v>20</v>
      </c>
      <c r="B208" s="36" t="s">
        <v>37</v>
      </c>
      <c r="C208" s="42" t="s">
        <v>666</v>
      </c>
      <c r="D208" s="41">
        <v>1.0</v>
      </c>
      <c r="E208" s="47" t="s">
        <v>667</v>
      </c>
      <c r="F208" s="61">
        <v>0.0</v>
      </c>
      <c r="G208" s="62">
        <v>45297.0</v>
      </c>
      <c r="H208" s="44">
        <v>974.34</v>
      </c>
      <c r="I208" s="52">
        <f t="shared" si="20"/>
        <v>984</v>
      </c>
      <c r="J208" s="73">
        <f t="shared" si="21"/>
        <v>1023.36</v>
      </c>
      <c r="K208" s="44">
        <v>180.0</v>
      </c>
      <c r="L208" s="46"/>
      <c r="M208" s="61" t="s">
        <v>24</v>
      </c>
      <c r="N208" s="61" t="s">
        <v>25</v>
      </c>
      <c r="O208" s="8"/>
      <c r="P208" s="73">
        <f t="shared" si="22"/>
        <v>-1203.36</v>
      </c>
      <c r="Q208" s="8"/>
      <c r="R208" s="8" t="s">
        <v>25</v>
      </c>
      <c r="S208" s="41" t="s">
        <v>668</v>
      </c>
      <c r="T208" s="41" t="s">
        <v>475</v>
      </c>
    </row>
    <row r="209" ht="15.75" customHeight="1">
      <c r="A209" s="8" t="s">
        <v>20</v>
      </c>
      <c r="B209" s="36" t="s">
        <v>37</v>
      </c>
      <c r="C209" s="42" t="s">
        <v>669</v>
      </c>
      <c r="D209" s="41">
        <v>1.0</v>
      </c>
      <c r="E209" s="47" t="s">
        <v>670</v>
      </c>
      <c r="F209" s="61">
        <v>0.0</v>
      </c>
      <c r="G209" s="62">
        <v>45297.0</v>
      </c>
      <c r="H209" s="44">
        <v>162.64</v>
      </c>
      <c r="I209" s="52">
        <f t="shared" si="20"/>
        <v>164</v>
      </c>
      <c r="J209" s="73">
        <f t="shared" si="21"/>
        <v>170.56</v>
      </c>
      <c r="K209" s="44">
        <v>0.0</v>
      </c>
      <c r="L209" s="46"/>
      <c r="M209" s="61" t="s">
        <v>24</v>
      </c>
      <c r="N209" s="61" t="s">
        <v>25</v>
      </c>
      <c r="O209" s="8"/>
      <c r="P209" s="73">
        <f t="shared" si="22"/>
        <v>-170.56</v>
      </c>
      <c r="Q209" s="8"/>
      <c r="R209" s="8" t="s">
        <v>25</v>
      </c>
      <c r="S209" s="41" t="s">
        <v>671</v>
      </c>
      <c r="T209" s="41" t="s">
        <v>475</v>
      </c>
    </row>
    <row r="210" ht="15.75" customHeight="1">
      <c r="A210" s="8" t="s">
        <v>20</v>
      </c>
      <c r="B210" s="36" t="s">
        <v>533</v>
      </c>
      <c r="C210" s="42" t="s">
        <v>672</v>
      </c>
      <c r="D210" s="41">
        <v>1.0</v>
      </c>
      <c r="E210" s="47" t="s">
        <v>673</v>
      </c>
      <c r="F210" s="61">
        <v>300.0</v>
      </c>
      <c r="G210" s="62">
        <v>45298.0</v>
      </c>
      <c r="H210" s="44">
        <v>169.02</v>
      </c>
      <c r="I210" s="52">
        <f t="shared" si="20"/>
        <v>171</v>
      </c>
      <c r="J210" s="73">
        <f t="shared" si="21"/>
        <v>177.84</v>
      </c>
      <c r="K210" s="44">
        <v>90.0</v>
      </c>
      <c r="L210" s="46"/>
      <c r="M210" s="61" t="s">
        <v>24</v>
      </c>
      <c r="N210" s="61" t="s">
        <v>25</v>
      </c>
      <c r="O210" s="8"/>
      <c r="P210" s="73">
        <f t="shared" si="22"/>
        <v>32.16</v>
      </c>
      <c r="Q210" s="8"/>
      <c r="R210" s="8" t="s">
        <v>25</v>
      </c>
      <c r="S210" s="41" t="s">
        <v>674</v>
      </c>
      <c r="T210" s="41" t="s">
        <v>475</v>
      </c>
    </row>
    <row r="211" ht="15.75" customHeight="1">
      <c r="A211" s="8" t="s">
        <v>20</v>
      </c>
      <c r="B211" s="36" t="s">
        <v>179</v>
      </c>
      <c r="C211" s="42" t="s">
        <v>675</v>
      </c>
      <c r="D211" s="41">
        <v>1.0</v>
      </c>
      <c r="E211" s="43" t="s">
        <v>676</v>
      </c>
      <c r="F211" s="61">
        <v>1350.0</v>
      </c>
      <c r="G211" s="62">
        <v>45304.0</v>
      </c>
      <c r="H211" s="44">
        <v>818.95</v>
      </c>
      <c r="I211" s="52">
        <f t="shared" si="20"/>
        <v>827</v>
      </c>
      <c r="J211" s="73">
        <f t="shared" si="21"/>
        <v>860.08</v>
      </c>
      <c r="K211" s="44">
        <v>90.0</v>
      </c>
      <c r="L211" s="46"/>
      <c r="M211" s="61" t="s">
        <v>24</v>
      </c>
      <c r="N211" s="61" t="s">
        <v>25</v>
      </c>
      <c r="O211" s="8"/>
      <c r="P211" s="73">
        <f t="shared" si="22"/>
        <v>399.92</v>
      </c>
      <c r="Q211" s="8"/>
      <c r="R211" s="8" t="s">
        <v>25</v>
      </c>
      <c r="S211" s="41" t="s">
        <v>677</v>
      </c>
      <c r="T211" s="41" t="s">
        <v>475</v>
      </c>
    </row>
    <row r="212" ht="15.75" customHeight="1">
      <c r="A212" s="8" t="s">
        <v>20</v>
      </c>
      <c r="B212" s="36" t="s">
        <v>533</v>
      </c>
      <c r="C212" s="42" t="s">
        <v>678</v>
      </c>
      <c r="D212" s="41">
        <v>1.0</v>
      </c>
      <c r="E212" s="43" t="s">
        <v>679</v>
      </c>
      <c r="F212" s="61">
        <v>20.0</v>
      </c>
      <c r="G212" s="62">
        <v>45304.0</v>
      </c>
      <c r="H212" s="44">
        <v>17.74</v>
      </c>
      <c r="I212" s="44">
        <v>17.74</v>
      </c>
      <c r="J212" s="44">
        <v>17.74</v>
      </c>
      <c r="K212" s="44">
        <v>0.0</v>
      </c>
      <c r="L212" s="46"/>
      <c r="M212" s="61" t="s">
        <v>24</v>
      </c>
      <c r="N212" s="61" t="s">
        <v>25</v>
      </c>
      <c r="O212" s="8"/>
      <c r="P212" s="73">
        <f t="shared" si="22"/>
        <v>2.26</v>
      </c>
      <c r="Q212" s="8"/>
      <c r="R212" s="36" t="s">
        <v>25</v>
      </c>
      <c r="S212" s="41" t="s">
        <v>680</v>
      </c>
      <c r="T212" s="41" t="s">
        <v>475</v>
      </c>
    </row>
    <row r="213" ht="15.75" customHeight="1">
      <c r="A213" s="8" t="s">
        <v>20</v>
      </c>
      <c r="B213" s="36" t="s">
        <v>37</v>
      </c>
      <c r="C213" s="42" t="s">
        <v>681</v>
      </c>
      <c r="D213" s="41">
        <v>1.0</v>
      </c>
      <c r="E213" s="43" t="s">
        <v>682</v>
      </c>
      <c r="F213" s="61">
        <v>0.0</v>
      </c>
      <c r="G213" s="62">
        <v>45309.0</v>
      </c>
      <c r="H213" s="44">
        <v>283.55</v>
      </c>
      <c r="I213" s="52">
        <f t="shared" ref="I213:I217" si="24">ROUND(H213+H213*0.01,0)</f>
        <v>286</v>
      </c>
      <c r="J213" s="73">
        <f t="shared" ref="J213:J214" si="25">I213+(I213*0.04)</f>
        <v>297.44</v>
      </c>
      <c r="K213" s="44">
        <v>45.0</v>
      </c>
      <c r="L213" s="46"/>
      <c r="M213" s="61" t="s">
        <v>24</v>
      </c>
      <c r="N213" s="61" t="s">
        <v>25</v>
      </c>
      <c r="O213" s="8"/>
      <c r="P213" s="73">
        <f t="shared" si="22"/>
        <v>-342.44</v>
      </c>
      <c r="Q213" s="8"/>
      <c r="R213" s="8" t="s">
        <v>25</v>
      </c>
      <c r="S213" s="41" t="s">
        <v>683</v>
      </c>
      <c r="T213" s="41" t="s">
        <v>475</v>
      </c>
    </row>
    <row r="214" ht="15.75" customHeight="1">
      <c r="A214" s="8" t="s">
        <v>20</v>
      </c>
      <c r="B214" s="36" t="s">
        <v>67</v>
      </c>
      <c r="C214" s="42" t="s">
        <v>684</v>
      </c>
      <c r="D214" s="41">
        <v>1.0</v>
      </c>
      <c r="E214" s="43" t="s">
        <v>685</v>
      </c>
      <c r="F214" s="61">
        <v>250.0</v>
      </c>
      <c r="G214" s="62">
        <v>45310.0</v>
      </c>
      <c r="H214" s="44">
        <v>148.72</v>
      </c>
      <c r="I214" s="52">
        <f t="shared" si="24"/>
        <v>150</v>
      </c>
      <c r="J214" s="73">
        <f t="shared" si="25"/>
        <v>156</v>
      </c>
      <c r="K214" s="44">
        <v>90.0</v>
      </c>
      <c r="L214" s="46"/>
      <c r="M214" s="61" t="s">
        <v>24</v>
      </c>
      <c r="N214" s="61" t="s">
        <v>25</v>
      </c>
      <c r="O214" s="8"/>
      <c r="P214" s="73">
        <f t="shared" si="22"/>
        <v>4</v>
      </c>
      <c r="Q214" s="8"/>
      <c r="R214" s="36" t="s">
        <v>25</v>
      </c>
      <c r="S214" s="41" t="s">
        <v>686</v>
      </c>
      <c r="T214" s="41" t="s">
        <v>475</v>
      </c>
    </row>
    <row r="215" ht="15.75" customHeight="1">
      <c r="A215" s="8" t="s">
        <v>20</v>
      </c>
      <c r="B215" s="36" t="s">
        <v>476</v>
      </c>
      <c r="C215" s="42" t="s">
        <v>687</v>
      </c>
      <c r="D215" s="41">
        <v>1.0</v>
      </c>
      <c r="E215" s="43" t="s">
        <v>688</v>
      </c>
      <c r="F215" s="61">
        <f>J215+K215</f>
        <v>1876</v>
      </c>
      <c r="G215" s="62">
        <v>45309.0</v>
      </c>
      <c r="H215" s="44">
        <v>1233.76</v>
      </c>
      <c r="I215" s="52">
        <f t="shared" si="24"/>
        <v>1246</v>
      </c>
      <c r="J215" s="44">
        <v>1246.0</v>
      </c>
      <c r="K215" s="44">
        <v>630.0</v>
      </c>
      <c r="L215" s="46"/>
      <c r="M215" s="61" t="s">
        <v>24</v>
      </c>
      <c r="N215" s="61" t="s">
        <v>25</v>
      </c>
      <c r="O215" s="8"/>
      <c r="P215" s="73">
        <f t="shared" si="22"/>
        <v>0</v>
      </c>
      <c r="Q215" s="8"/>
      <c r="R215" s="36" t="s">
        <v>25</v>
      </c>
      <c r="S215" s="41" t="s">
        <v>689</v>
      </c>
      <c r="T215" s="41" t="s">
        <v>475</v>
      </c>
    </row>
    <row r="216" ht="15.75" customHeight="1">
      <c r="A216" s="8" t="s">
        <v>20</v>
      </c>
      <c r="B216" s="36" t="s">
        <v>37</v>
      </c>
      <c r="C216" s="42" t="s">
        <v>690</v>
      </c>
      <c r="D216" s="41">
        <v>2.0</v>
      </c>
      <c r="E216" s="43" t="s">
        <v>691</v>
      </c>
      <c r="F216" s="61">
        <v>0.0</v>
      </c>
      <c r="G216" s="62"/>
      <c r="H216" s="52"/>
      <c r="I216" s="52">
        <f t="shared" si="24"/>
        <v>0</v>
      </c>
      <c r="J216" s="73">
        <f>I216+(I216*0.04)</f>
        <v>0</v>
      </c>
      <c r="K216" s="44">
        <v>45.0</v>
      </c>
      <c r="L216" s="46"/>
      <c r="M216" s="61" t="s">
        <v>24</v>
      </c>
      <c r="N216" s="61" t="s">
        <v>25</v>
      </c>
      <c r="O216" s="8"/>
      <c r="P216" s="73">
        <f t="shared" si="22"/>
        <v>-45</v>
      </c>
      <c r="Q216" s="8"/>
      <c r="R216" s="36" t="s">
        <v>25</v>
      </c>
      <c r="S216" s="89">
        <v>7.89414411915E11</v>
      </c>
      <c r="T216" s="41" t="s">
        <v>692</v>
      </c>
    </row>
    <row r="217" ht="15.75" customHeight="1">
      <c r="A217" s="8" t="s">
        <v>20</v>
      </c>
      <c r="B217" s="36" t="s">
        <v>693</v>
      </c>
      <c r="C217" s="42" t="s">
        <v>694</v>
      </c>
      <c r="D217" s="41">
        <v>1.0</v>
      </c>
      <c r="E217" s="43" t="s">
        <v>695</v>
      </c>
      <c r="F217" s="61">
        <v>120.0</v>
      </c>
      <c r="G217" s="62">
        <v>45315.0</v>
      </c>
      <c r="H217" s="44">
        <v>70.6</v>
      </c>
      <c r="I217" s="52">
        <f t="shared" si="24"/>
        <v>71</v>
      </c>
      <c r="J217" s="44">
        <v>71.0</v>
      </c>
      <c r="K217" s="44">
        <v>45.0</v>
      </c>
      <c r="L217" s="46"/>
      <c r="M217" s="61" t="s">
        <v>24</v>
      </c>
      <c r="N217" s="61" t="s">
        <v>25</v>
      </c>
      <c r="O217" s="8"/>
      <c r="P217" s="73">
        <f t="shared" si="22"/>
        <v>4</v>
      </c>
      <c r="Q217" s="8"/>
      <c r="R217" s="36" t="s">
        <v>25</v>
      </c>
      <c r="S217" s="41" t="s">
        <v>696</v>
      </c>
      <c r="T217" s="41" t="s">
        <v>692</v>
      </c>
    </row>
    <row r="218" ht="15.75" customHeight="1">
      <c r="A218" s="8" t="s">
        <v>20</v>
      </c>
      <c r="B218" s="36" t="s">
        <v>476</v>
      </c>
      <c r="C218" s="42" t="s">
        <v>697</v>
      </c>
      <c r="D218" s="41">
        <v>1.0</v>
      </c>
      <c r="E218" s="41"/>
      <c r="F218" s="61">
        <v>0.0</v>
      </c>
      <c r="G218" s="62">
        <v>45320.0</v>
      </c>
      <c r="H218" s="44">
        <v>80.25</v>
      </c>
      <c r="I218" s="44">
        <v>80.25</v>
      </c>
      <c r="J218" s="44">
        <v>80.25</v>
      </c>
      <c r="K218" s="44">
        <v>90.0</v>
      </c>
      <c r="L218" s="46"/>
      <c r="M218" s="61" t="s">
        <v>24</v>
      </c>
      <c r="N218" s="61" t="s">
        <v>25</v>
      </c>
      <c r="O218" s="8"/>
      <c r="P218" s="73">
        <f t="shared" si="22"/>
        <v>-170.25</v>
      </c>
      <c r="Q218" s="8"/>
      <c r="R218" s="36" t="s">
        <v>25</v>
      </c>
      <c r="S218" s="41" t="s">
        <v>698</v>
      </c>
      <c r="T218" s="41" t="s">
        <v>475</v>
      </c>
    </row>
    <row r="219" ht="15.75" customHeight="1">
      <c r="A219" s="8" t="s">
        <v>20</v>
      </c>
      <c r="B219" s="36" t="s">
        <v>699</v>
      </c>
      <c r="C219" s="42" t="s">
        <v>700</v>
      </c>
      <c r="D219" s="41">
        <v>1.0</v>
      </c>
      <c r="E219" s="17" t="s">
        <v>472</v>
      </c>
      <c r="F219" s="61">
        <v>60.0</v>
      </c>
      <c r="G219" s="62">
        <v>45321.0</v>
      </c>
      <c r="H219" s="44">
        <v>0.0</v>
      </c>
      <c r="I219" s="52">
        <f t="shared" ref="I219:I220" si="26">ROUND(H219+H219*0.01,0)</f>
        <v>0</v>
      </c>
      <c r="J219" s="73">
        <f t="shared" ref="J219:J220" si="27">I219+(I219*0.04)</f>
        <v>0</v>
      </c>
      <c r="K219" s="44">
        <v>45.0</v>
      </c>
      <c r="L219" s="46"/>
      <c r="M219" s="61" t="s">
        <v>24</v>
      </c>
      <c r="N219" s="61" t="s">
        <v>25</v>
      </c>
      <c r="O219" s="8"/>
      <c r="P219" s="73">
        <f t="shared" si="22"/>
        <v>15</v>
      </c>
      <c r="Q219" s="8"/>
      <c r="R219" s="36" t="s">
        <v>25</v>
      </c>
      <c r="S219" s="41" t="s">
        <v>65</v>
      </c>
      <c r="T219" s="41" t="s">
        <v>475</v>
      </c>
    </row>
    <row r="220" ht="15.75" customHeight="1">
      <c r="A220" s="8" t="s">
        <v>20</v>
      </c>
      <c r="B220" s="36" t="s">
        <v>701</v>
      </c>
      <c r="C220" s="42" t="s">
        <v>702</v>
      </c>
      <c r="D220" s="41">
        <v>1.0</v>
      </c>
      <c r="E220" s="43" t="s">
        <v>703</v>
      </c>
      <c r="F220" s="61">
        <v>220.0</v>
      </c>
      <c r="G220" s="62">
        <v>45321.0</v>
      </c>
      <c r="H220" s="44">
        <v>100.57</v>
      </c>
      <c r="I220" s="52">
        <f t="shared" si="26"/>
        <v>102</v>
      </c>
      <c r="J220" s="73">
        <f t="shared" si="27"/>
        <v>106.08</v>
      </c>
      <c r="K220" s="44">
        <v>45.0</v>
      </c>
      <c r="L220" s="46"/>
      <c r="M220" s="61" t="s">
        <v>24</v>
      </c>
      <c r="N220" s="61" t="s">
        <v>25</v>
      </c>
      <c r="O220" s="8"/>
      <c r="P220" s="73">
        <f t="shared" si="22"/>
        <v>68.92</v>
      </c>
      <c r="Q220" s="8"/>
      <c r="R220" s="36" t="s">
        <v>25</v>
      </c>
      <c r="S220" s="41" t="s">
        <v>704</v>
      </c>
      <c r="T220" s="41" t="s">
        <v>475</v>
      </c>
    </row>
    <row r="221" ht="15.75" customHeight="1">
      <c r="A221" s="8" t="s">
        <v>20</v>
      </c>
      <c r="B221" s="36" t="s">
        <v>37</v>
      </c>
      <c r="C221" s="42" t="s">
        <v>705</v>
      </c>
      <c r="D221" s="41">
        <v>1.0</v>
      </c>
      <c r="E221" s="43" t="s">
        <v>706</v>
      </c>
      <c r="F221" s="61">
        <v>0.0</v>
      </c>
      <c r="G221" s="62">
        <v>45321.0</v>
      </c>
      <c r="H221" s="44">
        <v>272.85</v>
      </c>
      <c r="I221" s="44">
        <v>0.0</v>
      </c>
      <c r="J221" s="84">
        <v>0.0</v>
      </c>
      <c r="K221" s="44">
        <v>90.0</v>
      </c>
      <c r="L221" s="46"/>
      <c r="M221" s="61" t="s">
        <v>24</v>
      </c>
      <c r="N221" s="61" t="s">
        <v>25</v>
      </c>
      <c r="O221" s="8"/>
      <c r="P221" s="73">
        <f t="shared" si="22"/>
        <v>-90</v>
      </c>
      <c r="Q221" s="8"/>
      <c r="R221" s="36" t="s">
        <v>25</v>
      </c>
      <c r="S221" s="41" t="s">
        <v>707</v>
      </c>
      <c r="T221" s="41" t="s">
        <v>475</v>
      </c>
    </row>
    <row r="222" ht="15.75" customHeight="1">
      <c r="A222" s="8" t="s">
        <v>20</v>
      </c>
      <c r="B222" s="36" t="s">
        <v>571</v>
      </c>
      <c r="C222" s="42" t="s">
        <v>708</v>
      </c>
      <c r="D222" s="41">
        <v>1.0</v>
      </c>
      <c r="E222" s="43" t="s">
        <v>709</v>
      </c>
      <c r="F222" s="61">
        <v>550.0</v>
      </c>
      <c r="G222" s="62">
        <v>45322.0</v>
      </c>
      <c r="H222" s="44">
        <v>392.15</v>
      </c>
      <c r="I222" s="52">
        <f t="shared" ref="I222:I225" si="28">ROUND(H222+H222*0.01,0)</f>
        <v>396</v>
      </c>
      <c r="J222" s="73">
        <f t="shared" ref="J222:J225" si="29">I222+(I222*0.04)</f>
        <v>411.84</v>
      </c>
      <c r="K222" s="44">
        <v>90.0</v>
      </c>
      <c r="L222" s="46"/>
      <c r="M222" s="61" t="s">
        <v>24</v>
      </c>
      <c r="N222" s="61" t="s">
        <v>25</v>
      </c>
      <c r="O222" s="8"/>
      <c r="P222" s="73">
        <f t="shared" si="22"/>
        <v>48.16</v>
      </c>
      <c r="Q222" s="8"/>
      <c r="R222" s="36" t="s">
        <v>25</v>
      </c>
      <c r="S222" s="41" t="s">
        <v>710</v>
      </c>
      <c r="T222" s="41" t="s">
        <v>475</v>
      </c>
    </row>
    <row r="223" ht="15.75" customHeight="1">
      <c r="A223" s="8" t="s">
        <v>20</v>
      </c>
      <c r="B223" s="36" t="s">
        <v>571</v>
      </c>
      <c r="C223" s="42" t="s">
        <v>711</v>
      </c>
      <c r="D223" s="41">
        <v>1.0</v>
      </c>
      <c r="E223" s="47" t="s">
        <v>712</v>
      </c>
      <c r="F223" s="61">
        <v>180.0</v>
      </c>
      <c r="G223" s="62">
        <v>45322.0</v>
      </c>
      <c r="H223" s="44">
        <v>114.21</v>
      </c>
      <c r="I223" s="52">
        <f t="shared" si="28"/>
        <v>115</v>
      </c>
      <c r="J223" s="73">
        <f t="shared" si="29"/>
        <v>119.6</v>
      </c>
      <c r="K223" s="44">
        <v>45.0</v>
      </c>
      <c r="L223" s="46"/>
      <c r="M223" s="61" t="s">
        <v>24</v>
      </c>
      <c r="N223" s="61" t="s">
        <v>25</v>
      </c>
      <c r="O223" s="8"/>
      <c r="P223" s="73">
        <f t="shared" si="22"/>
        <v>15.4</v>
      </c>
      <c r="Q223" s="8"/>
      <c r="R223" s="36" t="s">
        <v>25</v>
      </c>
      <c r="S223" s="41" t="s">
        <v>713</v>
      </c>
      <c r="T223" s="41" t="s">
        <v>714</v>
      </c>
    </row>
    <row r="224" ht="15.75" customHeight="1">
      <c r="A224" s="8" t="s">
        <v>20</v>
      </c>
      <c r="B224" s="36" t="s">
        <v>179</v>
      </c>
      <c r="C224" s="42" t="s">
        <v>715</v>
      </c>
      <c r="D224" s="41">
        <v>1.0</v>
      </c>
      <c r="E224" s="43" t="s">
        <v>716</v>
      </c>
      <c r="F224" s="61">
        <v>690.0</v>
      </c>
      <c r="G224" s="62">
        <v>45323.0</v>
      </c>
      <c r="H224" s="44">
        <v>527.97</v>
      </c>
      <c r="I224" s="52">
        <f t="shared" si="28"/>
        <v>533</v>
      </c>
      <c r="J224" s="73">
        <f t="shared" si="29"/>
        <v>554.32</v>
      </c>
      <c r="K224" s="44">
        <v>111.0</v>
      </c>
      <c r="L224" s="46"/>
      <c r="M224" s="61" t="s">
        <v>24</v>
      </c>
      <c r="N224" s="61" t="s">
        <v>25</v>
      </c>
      <c r="O224" s="8"/>
      <c r="P224" s="73">
        <f t="shared" si="22"/>
        <v>24.68</v>
      </c>
      <c r="Q224" s="8"/>
      <c r="R224" s="36" t="s">
        <v>25</v>
      </c>
      <c r="S224" s="41" t="s">
        <v>717</v>
      </c>
      <c r="T224" s="41" t="s">
        <v>718</v>
      </c>
    </row>
    <row r="225" ht="15.75" customHeight="1">
      <c r="A225" s="8" t="s">
        <v>20</v>
      </c>
      <c r="B225" s="36" t="s">
        <v>657</v>
      </c>
      <c r="C225" s="42" t="s">
        <v>719</v>
      </c>
      <c r="D225" s="41">
        <v>1.0</v>
      </c>
      <c r="E225" s="47" t="s">
        <v>720</v>
      </c>
      <c r="F225" s="61">
        <v>1200.0</v>
      </c>
      <c r="G225" s="62">
        <v>45325.0</v>
      </c>
      <c r="H225" s="44">
        <v>744.0</v>
      </c>
      <c r="I225" s="52">
        <f t="shared" si="28"/>
        <v>751</v>
      </c>
      <c r="J225" s="73">
        <f t="shared" si="29"/>
        <v>781.04</v>
      </c>
      <c r="K225" s="44">
        <v>135.0</v>
      </c>
      <c r="L225" s="46"/>
      <c r="M225" s="61" t="s">
        <v>24</v>
      </c>
      <c r="N225" s="61" t="s">
        <v>25</v>
      </c>
      <c r="O225" s="8"/>
      <c r="P225" s="73">
        <f t="shared" si="22"/>
        <v>283.96</v>
      </c>
      <c r="Q225" s="8"/>
      <c r="R225" s="36" t="s">
        <v>25</v>
      </c>
      <c r="S225" s="90" t="s">
        <v>721</v>
      </c>
      <c r="T225" s="41" t="s">
        <v>722</v>
      </c>
    </row>
    <row r="226" ht="15.75" customHeight="1">
      <c r="A226" s="8" t="s">
        <v>20</v>
      </c>
      <c r="B226" s="36" t="s">
        <v>37</v>
      </c>
      <c r="C226" s="42" t="s">
        <v>723</v>
      </c>
      <c r="D226" s="41">
        <v>1.0</v>
      </c>
      <c r="E226" s="43" t="s">
        <v>724</v>
      </c>
      <c r="F226" s="61">
        <v>0.0</v>
      </c>
      <c r="G226" s="62">
        <v>45327.0</v>
      </c>
      <c r="H226" s="44">
        <v>63.0</v>
      </c>
      <c r="I226" s="44">
        <v>63.0</v>
      </c>
      <c r="J226" s="44">
        <v>63.0</v>
      </c>
      <c r="K226" s="44">
        <v>15.0</v>
      </c>
      <c r="L226" s="46"/>
      <c r="M226" s="61" t="s">
        <v>24</v>
      </c>
      <c r="N226" s="61" t="s">
        <v>25</v>
      </c>
      <c r="O226" s="8"/>
      <c r="P226" s="73">
        <f t="shared" si="22"/>
        <v>-78</v>
      </c>
      <c r="Q226" s="8"/>
      <c r="R226" s="36" t="s">
        <v>25</v>
      </c>
      <c r="S226" s="41" t="s">
        <v>725</v>
      </c>
      <c r="T226" s="41" t="s">
        <v>718</v>
      </c>
    </row>
    <row r="227" ht="15.75" customHeight="1">
      <c r="A227" s="8" t="s">
        <v>20</v>
      </c>
      <c r="B227" s="36" t="s">
        <v>37</v>
      </c>
      <c r="C227" s="42" t="s">
        <v>726</v>
      </c>
      <c r="D227" s="41">
        <v>1.0</v>
      </c>
      <c r="E227" s="47" t="s">
        <v>727</v>
      </c>
      <c r="F227" s="61">
        <v>0.0</v>
      </c>
      <c r="G227" s="62">
        <v>45327.0</v>
      </c>
      <c r="H227" s="44">
        <v>523.0</v>
      </c>
      <c r="I227" s="44">
        <v>523.0</v>
      </c>
      <c r="J227" s="44">
        <v>523.0</v>
      </c>
      <c r="K227" s="44">
        <v>135.0</v>
      </c>
      <c r="L227" s="46"/>
      <c r="M227" s="61" t="s">
        <v>24</v>
      </c>
      <c r="N227" s="61" t="s">
        <v>25</v>
      </c>
      <c r="O227" s="8"/>
      <c r="P227" s="73">
        <f t="shared" si="22"/>
        <v>-658</v>
      </c>
      <c r="Q227" s="8"/>
      <c r="R227" s="36" t="s">
        <v>25</v>
      </c>
      <c r="S227" s="41" t="s">
        <v>728</v>
      </c>
      <c r="T227" s="41" t="s">
        <v>718</v>
      </c>
    </row>
    <row r="228" ht="15.75" customHeight="1">
      <c r="A228" s="8" t="s">
        <v>20</v>
      </c>
      <c r="B228" s="36" t="s">
        <v>37</v>
      </c>
      <c r="C228" s="42" t="s">
        <v>729</v>
      </c>
      <c r="D228" s="41">
        <v>1.0</v>
      </c>
      <c r="E228" s="47" t="s">
        <v>730</v>
      </c>
      <c r="F228" s="61">
        <v>0.0</v>
      </c>
      <c r="G228" s="62">
        <v>45327.0</v>
      </c>
      <c r="H228" s="44">
        <v>68.98</v>
      </c>
      <c r="I228" s="44">
        <v>68.98</v>
      </c>
      <c r="J228" s="44">
        <v>68.98</v>
      </c>
      <c r="K228" s="44">
        <v>15.0</v>
      </c>
      <c r="L228" s="46"/>
      <c r="M228" s="61" t="s">
        <v>24</v>
      </c>
      <c r="N228" s="61" t="s">
        <v>25</v>
      </c>
      <c r="O228" s="8"/>
      <c r="P228" s="73">
        <f t="shared" si="22"/>
        <v>-83.98</v>
      </c>
      <c r="Q228" s="8"/>
      <c r="R228" s="36" t="s">
        <v>25</v>
      </c>
      <c r="S228" s="41" t="s">
        <v>731</v>
      </c>
      <c r="T228" s="41" t="s">
        <v>718</v>
      </c>
    </row>
    <row r="229" ht="15.75" customHeight="1">
      <c r="A229" s="8" t="s">
        <v>20</v>
      </c>
      <c r="B229" s="36" t="s">
        <v>732</v>
      </c>
      <c r="C229" s="42" t="s">
        <v>733</v>
      </c>
      <c r="D229" s="41">
        <v>1.0</v>
      </c>
      <c r="E229" s="43" t="s">
        <v>734</v>
      </c>
      <c r="F229" s="61">
        <v>490.0</v>
      </c>
      <c r="G229" s="81">
        <v>45329.0</v>
      </c>
      <c r="H229" s="44">
        <v>341.6</v>
      </c>
      <c r="I229" s="52">
        <f t="shared" ref="I229:I233" si="30">ROUND(H229+H229*0.01,0)</f>
        <v>345</v>
      </c>
      <c r="J229" s="73">
        <f t="shared" ref="J229:J233" si="31">I229+(I229*0.04)</f>
        <v>358.8</v>
      </c>
      <c r="K229" s="44">
        <v>90.0</v>
      </c>
      <c r="L229" s="46"/>
      <c r="M229" s="61" t="s">
        <v>24</v>
      </c>
      <c r="N229" s="61" t="s">
        <v>25</v>
      </c>
      <c r="O229" s="8"/>
      <c r="P229" s="73">
        <f t="shared" si="22"/>
        <v>41.2</v>
      </c>
      <c r="Q229" s="8"/>
      <c r="R229" s="36" t="s">
        <v>25</v>
      </c>
      <c r="S229" s="41" t="s">
        <v>735</v>
      </c>
      <c r="T229" s="41" t="s">
        <v>718</v>
      </c>
    </row>
    <row r="230" ht="15.75" customHeight="1">
      <c r="A230" s="8" t="s">
        <v>20</v>
      </c>
      <c r="B230" s="36" t="s">
        <v>657</v>
      </c>
      <c r="C230" s="42" t="s">
        <v>736</v>
      </c>
      <c r="D230" s="41">
        <v>1.0</v>
      </c>
      <c r="E230" s="43" t="s">
        <v>737</v>
      </c>
      <c r="F230" s="61">
        <v>250.0</v>
      </c>
      <c r="G230" s="62">
        <v>45335.0</v>
      </c>
      <c r="H230" s="44">
        <v>95.23</v>
      </c>
      <c r="I230" s="52">
        <f t="shared" si="30"/>
        <v>96</v>
      </c>
      <c r="J230" s="73">
        <f t="shared" si="31"/>
        <v>99.84</v>
      </c>
      <c r="K230" s="44">
        <v>90.0</v>
      </c>
      <c r="L230" s="46"/>
      <c r="M230" s="61" t="s">
        <v>24</v>
      </c>
      <c r="N230" s="61" t="s">
        <v>25</v>
      </c>
      <c r="O230" s="8"/>
      <c r="P230" s="73">
        <f t="shared" si="22"/>
        <v>60.16</v>
      </c>
      <c r="Q230" s="8"/>
      <c r="R230" s="36" t="s">
        <v>25</v>
      </c>
      <c r="S230" s="41" t="s">
        <v>738</v>
      </c>
      <c r="T230" s="41" t="s">
        <v>718</v>
      </c>
    </row>
    <row r="231" ht="15.75" customHeight="1">
      <c r="A231" s="8" t="s">
        <v>20</v>
      </c>
      <c r="B231" s="36" t="s">
        <v>657</v>
      </c>
      <c r="C231" s="42" t="s">
        <v>739</v>
      </c>
      <c r="D231" s="41">
        <v>1.0</v>
      </c>
      <c r="E231" s="43" t="s">
        <v>740</v>
      </c>
      <c r="F231" s="61">
        <v>555.0</v>
      </c>
      <c r="G231" s="62">
        <v>45335.0</v>
      </c>
      <c r="H231" s="44">
        <v>321.0</v>
      </c>
      <c r="I231" s="52">
        <f t="shared" si="30"/>
        <v>324</v>
      </c>
      <c r="J231" s="73">
        <f t="shared" si="31"/>
        <v>336.96</v>
      </c>
      <c r="K231" s="44">
        <v>45.0</v>
      </c>
      <c r="L231" s="46"/>
      <c r="M231" s="61" t="s">
        <v>24</v>
      </c>
      <c r="N231" s="61" t="s">
        <v>25</v>
      </c>
      <c r="O231" s="8"/>
      <c r="P231" s="73">
        <f t="shared" si="22"/>
        <v>173.04</v>
      </c>
      <c r="Q231" s="8"/>
      <c r="R231" s="36" t="s">
        <v>25</v>
      </c>
      <c r="S231" s="41" t="s">
        <v>741</v>
      </c>
      <c r="T231" s="41" t="s">
        <v>692</v>
      </c>
    </row>
    <row r="232" ht="15.75" customHeight="1">
      <c r="A232" s="8" t="s">
        <v>20</v>
      </c>
      <c r="B232" s="36" t="s">
        <v>657</v>
      </c>
      <c r="C232" s="42" t="s">
        <v>742</v>
      </c>
      <c r="D232" s="41">
        <v>1.0</v>
      </c>
      <c r="E232" s="43" t="s">
        <v>743</v>
      </c>
      <c r="F232" s="61">
        <v>300.0</v>
      </c>
      <c r="G232" s="62">
        <v>45335.0</v>
      </c>
      <c r="H232" s="44">
        <v>180.92</v>
      </c>
      <c r="I232" s="52">
        <f t="shared" si="30"/>
        <v>183</v>
      </c>
      <c r="J232" s="73">
        <f t="shared" si="31"/>
        <v>190.32</v>
      </c>
      <c r="K232" s="44">
        <v>30.0</v>
      </c>
      <c r="L232" s="46"/>
      <c r="M232" s="61" t="s">
        <v>24</v>
      </c>
      <c r="N232" s="61" t="s">
        <v>25</v>
      </c>
      <c r="O232" s="8"/>
      <c r="P232" s="73">
        <f t="shared" si="22"/>
        <v>79.68</v>
      </c>
      <c r="Q232" s="8"/>
      <c r="R232" s="36" t="s">
        <v>25</v>
      </c>
      <c r="S232" s="41" t="s">
        <v>744</v>
      </c>
      <c r="T232" s="41" t="s">
        <v>718</v>
      </c>
    </row>
    <row r="233" ht="15.75" customHeight="1">
      <c r="A233" s="8" t="s">
        <v>20</v>
      </c>
      <c r="B233" s="36" t="s">
        <v>550</v>
      </c>
      <c r="C233" s="42" t="s">
        <v>745</v>
      </c>
      <c r="D233" s="41">
        <v>1.0</v>
      </c>
      <c r="E233" s="47" t="s">
        <v>746</v>
      </c>
      <c r="F233" s="61">
        <v>300.0</v>
      </c>
      <c r="G233" s="62">
        <v>45331.0</v>
      </c>
      <c r="H233" s="44">
        <v>137.9</v>
      </c>
      <c r="I233" s="52">
        <f t="shared" si="30"/>
        <v>139</v>
      </c>
      <c r="J233" s="73">
        <f t="shared" si="31"/>
        <v>144.56</v>
      </c>
      <c r="K233" s="44">
        <v>15.0</v>
      </c>
      <c r="L233" s="46"/>
      <c r="M233" s="61" t="s">
        <v>24</v>
      </c>
      <c r="N233" s="61" t="s">
        <v>25</v>
      </c>
      <c r="O233" s="8"/>
      <c r="P233" s="73">
        <f t="shared" si="22"/>
        <v>140.44</v>
      </c>
      <c r="Q233" s="8"/>
      <c r="R233" s="36" t="s">
        <v>25</v>
      </c>
      <c r="S233" s="41" t="s">
        <v>747</v>
      </c>
      <c r="T233" s="41" t="s">
        <v>748</v>
      </c>
    </row>
    <row r="234" ht="15.75" customHeight="1">
      <c r="A234" s="8" t="s">
        <v>20</v>
      </c>
      <c r="B234" s="36" t="s">
        <v>37</v>
      </c>
      <c r="C234" s="42" t="s">
        <v>749</v>
      </c>
      <c r="D234" s="41">
        <v>1.0</v>
      </c>
      <c r="E234" s="43" t="s">
        <v>750</v>
      </c>
      <c r="F234" s="61">
        <v>0.0</v>
      </c>
      <c r="G234" s="62">
        <v>45331.0</v>
      </c>
      <c r="H234" s="44">
        <v>49.0</v>
      </c>
      <c r="I234" s="44">
        <v>49.0</v>
      </c>
      <c r="J234" s="44">
        <v>49.0</v>
      </c>
      <c r="K234" s="44">
        <v>0.0</v>
      </c>
      <c r="L234" s="46"/>
      <c r="M234" s="61" t="s">
        <v>24</v>
      </c>
      <c r="N234" s="61" t="s">
        <v>25</v>
      </c>
      <c r="O234" s="8"/>
      <c r="P234" s="73">
        <f t="shared" si="22"/>
        <v>-49</v>
      </c>
      <c r="Q234" s="8"/>
      <c r="R234" s="36" t="s">
        <v>25</v>
      </c>
      <c r="S234" s="41" t="s">
        <v>751</v>
      </c>
      <c r="T234" s="41" t="s">
        <v>475</v>
      </c>
    </row>
    <row r="235" ht="15.75" customHeight="1">
      <c r="A235" s="8" t="s">
        <v>20</v>
      </c>
      <c r="B235" s="36" t="s">
        <v>37</v>
      </c>
      <c r="C235" s="42" t="s">
        <v>752</v>
      </c>
      <c r="D235" s="41">
        <v>1.0</v>
      </c>
      <c r="E235" s="43" t="s">
        <v>750</v>
      </c>
      <c r="F235" s="61">
        <v>0.0</v>
      </c>
      <c r="G235" s="62">
        <v>45331.0</v>
      </c>
      <c r="H235" s="44">
        <v>39.95</v>
      </c>
      <c r="I235" s="44">
        <v>39.95</v>
      </c>
      <c r="J235" s="44">
        <v>39.95</v>
      </c>
      <c r="K235" s="44">
        <v>0.0</v>
      </c>
      <c r="L235" s="46"/>
      <c r="M235" s="61" t="s">
        <v>24</v>
      </c>
      <c r="N235" s="61" t="s">
        <v>25</v>
      </c>
      <c r="O235" s="8"/>
      <c r="P235" s="73">
        <f t="shared" si="22"/>
        <v>-39.95</v>
      </c>
      <c r="Q235" s="8"/>
      <c r="R235" s="36" t="s">
        <v>25</v>
      </c>
      <c r="S235" s="41" t="s">
        <v>751</v>
      </c>
      <c r="T235" s="41" t="s">
        <v>475</v>
      </c>
    </row>
    <row r="236" ht="15.75" customHeight="1">
      <c r="A236" s="8" t="s">
        <v>20</v>
      </c>
      <c r="B236" s="36" t="s">
        <v>37</v>
      </c>
      <c r="C236" s="42" t="s">
        <v>753</v>
      </c>
      <c r="D236" s="41">
        <v>1.0</v>
      </c>
      <c r="E236" s="43" t="s">
        <v>754</v>
      </c>
      <c r="F236" s="61">
        <v>0.0</v>
      </c>
      <c r="G236" s="62">
        <v>45331.0</v>
      </c>
      <c r="H236" s="44">
        <v>303.24</v>
      </c>
      <c r="I236" s="44">
        <v>303.24</v>
      </c>
      <c r="J236" s="44">
        <v>303.24</v>
      </c>
      <c r="K236" s="44">
        <v>0.0</v>
      </c>
      <c r="L236" s="46"/>
      <c r="M236" s="61" t="s">
        <v>24</v>
      </c>
      <c r="N236" s="61" t="s">
        <v>25</v>
      </c>
      <c r="O236" s="8"/>
      <c r="P236" s="73">
        <f t="shared" si="22"/>
        <v>-303.24</v>
      </c>
      <c r="Q236" s="8"/>
      <c r="R236" s="36" t="s">
        <v>25</v>
      </c>
      <c r="S236" s="41" t="s">
        <v>755</v>
      </c>
      <c r="T236" s="41" t="s">
        <v>756</v>
      </c>
    </row>
    <row r="237" ht="15.75" customHeight="1">
      <c r="A237" s="8" t="s">
        <v>20</v>
      </c>
      <c r="B237" s="36" t="s">
        <v>37</v>
      </c>
      <c r="C237" s="42" t="s">
        <v>757</v>
      </c>
      <c r="D237" s="41">
        <v>1.0</v>
      </c>
      <c r="E237" s="41"/>
      <c r="F237" s="61"/>
      <c r="G237" s="62"/>
      <c r="H237" s="44"/>
      <c r="I237" s="52">
        <f t="shared" ref="I237:I243" si="32">ROUND(H237+H237*0.01,0)</f>
        <v>0</v>
      </c>
      <c r="J237" s="73">
        <f t="shared" ref="J237:J243" si="33">I237+(I237*0.04)</f>
        <v>0</v>
      </c>
      <c r="K237" s="44">
        <v>45.0</v>
      </c>
      <c r="L237" s="46"/>
      <c r="M237" s="61" t="s">
        <v>24</v>
      </c>
      <c r="N237" s="61" t="s">
        <v>25</v>
      </c>
      <c r="O237" s="8"/>
      <c r="P237" s="73">
        <f t="shared" si="22"/>
        <v>-45</v>
      </c>
      <c r="Q237" s="8"/>
      <c r="R237" s="36" t="s">
        <v>25</v>
      </c>
      <c r="S237" s="41" t="s">
        <v>758</v>
      </c>
      <c r="T237" s="41" t="s">
        <v>756</v>
      </c>
    </row>
    <row r="238" ht="15.75" customHeight="1">
      <c r="A238" s="8" t="s">
        <v>20</v>
      </c>
      <c r="B238" s="36" t="s">
        <v>37</v>
      </c>
      <c r="C238" s="42" t="s">
        <v>759</v>
      </c>
      <c r="D238" s="41">
        <v>1.0</v>
      </c>
      <c r="E238" s="41"/>
      <c r="F238" s="61"/>
      <c r="G238" s="62"/>
      <c r="H238" s="44"/>
      <c r="I238" s="52">
        <f t="shared" si="32"/>
        <v>0</v>
      </c>
      <c r="J238" s="73">
        <f t="shared" si="33"/>
        <v>0</v>
      </c>
      <c r="K238" s="44">
        <v>90.0</v>
      </c>
      <c r="L238" s="46"/>
      <c r="M238" s="61" t="s">
        <v>24</v>
      </c>
      <c r="N238" s="61" t="s">
        <v>25</v>
      </c>
      <c r="O238" s="8"/>
      <c r="P238" s="73">
        <f t="shared" si="22"/>
        <v>-90</v>
      </c>
      <c r="Q238" s="8"/>
      <c r="R238" s="36" t="s">
        <v>25</v>
      </c>
      <c r="S238" s="41" t="s">
        <v>760</v>
      </c>
      <c r="T238" s="41" t="s">
        <v>756</v>
      </c>
    </row>
    <row r="239" ht="15.75" customHeight="1">
      <c r="A239" s="8" t="s">
        <v>20</v>
      </c>
      <c r="B239" s="36" t="s">
        <v>761</v>
      </c>
      <c r="C239" s="42" t="s">
        <v>762</v>
      </c>
      <c r="D239" s="41">
        <v>1.0</v>
      </c>
      <c r="E239" s="43" t="s">
        <v>763</v>
      </c>
      <c r="F239" s="61">
        <v>580.0</v>
      </c>
      <c r="G239" s="62">
        <v>45341.0</v>
      </c>
      <c r="H239" s="44">
        <v>254.99</v>
      </c>
      <c r="I239" s="52">
        <f t="shared" si="32"/>
        <v>258</v>
      </c>
      <c r="J239" s="73">
        <f t="shared" si="33"/>
        <v>268.32</v>
      </c>
      <c r="K239" s="44">
        <v>180.0</v>
      </c>
      <c r="L239" s="46"/>
      <c r="M239" s="61" t="s">
        <v>24</v>
      </c>
      <c r="N239" s="61" t="s">
        <v>25</v>
      </c>
      <c r="O239" s="8"/>
      <c r="P239" s="73">
        <f t="shared" si="22"/>
        <v>131.68</v>
      </c>
      <c r="Q239" s="8"/>
      <c r="R239" s="36" t="s">
        <v>25</v>
      </c>
      <c r="S239" s="41" t="s">
        <v>764</v>
      </c>
      <c r="T239" s="41" t="s">
        <v>748</v>
      </c>
    </row>
    <row r="240" ht="15.75" customHeight="1">
      <c r="A240" s="8" t="s">
        <v>20</v>
      </c>
      <c r="B240" s="36" t="s">
        <v>67</v>
      </c>
      <c r="C240" s="42" t="s">
        <v>765</v>
      </c>
      <c r="D240" s="41">
        <v>1.0</v>
      </c>
      <c r="E240" s="47" t="s">
        <v>766</v>
      </c>
      <c r="F240" s="61">
        <f>I240+K240</f>
        <v>279</v>
      </c>
      <c r="G240" s="62">
        <v>45338.0</v>
      </c>
      <c r="H240" s="44">
        <v>98.5</v>
      </c>
      <c r="I240" s="52">
        <f t="shared" si="32"/>
        <v>99</v>
      </c>
      <c r="J240" s="73">
        <f t="shared" si="33"/>
        <v>102.96</v>
      </c>
      <c r="K240" s="44">
        <v>180.0</v>
      </c>
      <c r="L240" s="46"/>
      <c r="M240" s="61" t="s">
        <v>24</v>
      </c>
      <c r="N240" s="61" t="s">
        <v>25</v>
      </c>
      <c r="O240" s="8"/>
      <c r="P240" s="73">
        <f t="shared" si="22"/>
        <v>-3.96</v>
      </c>
      <c r="Q240" s="8"/>
      <c r="R240" s="36" t="s">
        <v>25</v>
      </c>
      <c r="S240" s="41" t="s">
        <v>767</v>
      </c>
      <c r="T240" s="41" t="s">
        <v>692</v>
      </c>
    </row>
    <row r="241" ht="15.75" customHeight="1">
      <c r="A241" s="8" t="s">
        <v>20</v>
      </c>
      <c r="B241" s="36" t="s">
        <v>768</v>
      </c>
      <c r="C241" s="42" t="s">
        <v>769</v>
      </c>
      <c r="D241" s="41">
        <v>1.0</v>
      </c>
      <c r="E241" s="47" t="s">
        <v>770</v>
      </c>
      <c r="F241" s="61">
        <v>700.0</v>
      </c>
      <c r="G241" s="62">
        <v>45342.0</v>
      </c>
      <c r="H241" s="44">
        <v>294.99</v>
      </c>
      <c r="I241" s="52">
        <f t="shared" si="32"/>
        <v>298</v>
      </c>
      <c r="J241" s="73">
        <f t="shared" si="33"/>
        <v>309.92</v>
      </c>
      <c r="K241" s="44">
        <v>135.0</v>
      </c>
      <c r="L241" s="46"/>
      <c r="M241" s="61" t="s">
        <v>24</v>
      </c>
      <c r="N241" s="61" t="s">
        <v>25</v>
      </c>
      <c r="O241" s="8"/>
      <c r="P241" s="73">
        <f t="shared" si="22"/>
        <v>255.08</v>
      </c>
      <c r="Q241" s="8"/>
      <c r="R241" s="36" t="s">
        <v>25</v>
      </c>
      <c r="S241" s="41" t="s">
        <v>771</v>
      </c>
      <c r="T241" s="41" t="s">
        <v>692</v>
      </c>
    </row>
    <row r="242" ht="15.75" customHeight="1">
      <c r="A242" s="8" t="s">
        <v>20</v>
      </c>
      <c r="B242" s="36" t="s">
        <v>476</v>
      </c>
      <c r="C242" s="42" t="s">
        <v>772</v>
      </c>
      <c r="D242" s="41">
        <v>2.0</v>
      </c>
      <c r="E242" s="47" t="s">
        <v>773</v>
      </c>
      <c r="F242" s="61">
        <v>500.0</v>
      </c>
      <c r="G242" s="62">
        <v>45345.0</v>
      </c>
      <c r="H242" s="44">
        <v>174.48</v>
      </c>
      <c r="I242" s="52">
        <f t="shared" si="32"/>
        <v>176</v>
      </c>
      <c r="J242" s="73">
        <f t="shared" si="33"/>
        <v>183.04</v>
      </c>
      <c r="K242" s="44">
        <v>135.0</v>
      </c>
      <c r="L242" s="46"/>
      <c r="M242" s="61" t="s">
        <v>24</v>
      </c>
      <c r="N242" s="61" t="s">
        <v>25</v>
      </c>
      <c r="O242" s="8"/>
      <c r="P242" s="73">
        <f t="shared" si="22"/>
        <v>181.96</v>
      </c>
      <c r="Q242" s="8"/>
      <c r="R242" s="36" t="s">
        <v>25</v>
      </c>
      <c r="S242" s="41" t="s">
        <v>774</v>
      </c>
      <c r="T242" s="41" t="s">
        <v>756</v>
      </c>
    </row>
    <row r="243" ht="15.75" customHeight="1">
      <c r="A243" s="8" t="s">
        <v>20</v>
      </c>
      <c r="B243" s="36" t="s">
        <v>37</v>
      </c>
      <c r="C243" s="42" t="s">
        <v>775</v>
      </c>
      <c r="D243" s="41">
        <v>1.0</v>
      </c>
      <c r="E243" s="43" t="s">
        <v>776</v>
      </c>
      <c r="F243" s="61">
        <v>0.0</v>
      </c>
      <c r="G243" s="62">
        <v>45345.0</v>
      </c>
      <c r="H243" s="44"/>
      <c r="I243" s="52">
        <f t="shared" si="32"/>
        <v>0</v>
      </c>
      <c r="J243" s="73">
        <f t="shared" si="33"/>
        <v>0</v>
      </c>
      <c r="K243" s="44">
        <v>45.0</v>
      </c>
      <c r="L243" s="46"/>
      <c r="M243" s="61" t="s">
        <v>24</v>
      </c>
      <c r="N243" s="61" t="s">
        <v>25</v>
      </c>
      <c r="O243" s="8"/>
      <c r="P243" s="73">
        <f t="shared" si="22"/>
        <v>-45</v>
      </c>
      <c r="Q243" s="8"/>
      <c r="R243" s="36" t="s">
        <v>25</v>
      </c>
      <c r="S243" s="41" t="s">
        <v>777</v>
      </c>
      <c r="T243" s="41" t="s">
        <v>692</v>
      </c>
    </row>
    <row r="244" ht="15.75" customHeight="1">
      <c r="A244" s="8" t="s">
        <v>20</v>
      </c>
      <c r="B244" s="36" t="s">
        <v>37</v>
      </c>
      <c r="C244" s="42" t="s">
        <v>778</v>
      </c>
      <c r="D244" s="41">
        <v>1.0</v>
      </c>
      <c r="E244" s="43" t="s">
        <v>776</v>
      </c>
      <c r="F244" s="61">
        <v>0.0</v>
      </c>
      <c r="G244" s="62"/>
      <c r="H244" s="44"/>
      <c r="I244" s="52"/>
      <c r="J244" s="73"/>
      <c r="K244" s="44">
        <v>20.0</v>
      </c>
      <c r="L244" s="46"/>
      <c r="M244" s="61" t="s">
        <v>24</v>
      </c>
      <c r="N244" s="61" t="s">
        <v>25</v>
      </c>
      <c r="O244" s="8"/>
      <c r="P244" s="73"/>
      <c r="Q244" s="8"/>
      <c r="R244" s="36" t="s">
        <v>25</v>
      </c>
      <c r="S244" s="41" t="s">
        <v>779</v>
      </c>
      <c r="T244" s="41" t="s">
        <v>756</v>
      </c>
    </row>
    <row r="245" ht="15.75" customHeight="1">
      <c r="A245" s="8" t="s">
        <v>20</v>
      </c>
      <c r="B245" s="36" t="s">
        <v>37</v>
      </c>
      <c r="C245" s="42" t="s">
        <v>780</v>
      </c>
      <c r="D245" s="41">
        <v>1.0</v>
      </c>
      <c r="E245" s="43" t="s">
        <v>781</v>
      </c>
      <c r="F245" s="61">
        <v>0.0</v>
      </c>
      <c r="G245" s="62">
        <v>45345.0</v>
      </c>
      <c r="H245" s="44"/>
      <c r="I245" s="52">
        <f t="shared" ref="I245:I246" si="34">ROUND(H245+H245*0.01,0)</f>
        <v>0</v>
      </c>
      <c r="J245" s="73">
        <f t="shared" ref="J245:J246" si="35">I245+(I245*0.04)</f>
        <v>0</v>
      </c>
      <c r="K245" s="44">
        <v>0.0</v>
      </c>
      <c r="L245" s="46"/>
      <c r="M245" s="61" t="s">
        <v>24</v>
      </c>
      <c r="N245" s="61" t="s">
        <v>25</v>
      </c>
      <c r="O245" s="8"/>
      <c r="P245" s="73">
        <f t="shared" ref="P245:P246" si="36">F245-(J245+K245)</f>
        <v>0</v>
      </c>
      <c r="Q245" s="8"/>
      <c r="R245" s="36" t="s">
        <v>25</v>
      </c>
      <c r="S245" s="41" t="s">
        <v>782</v>
      </c>
      <c r="T245" s="41" t="s">
        <v>783</v>
      </c>
    </row>
    <row r="246" ht="15.75" customHeight="1">
      <c r="A246" s="8" t="s">
        <v>20</v>
      </c>
      <c r="B246" s="36" t="s">
        <v>37</v>
      </c>
      <c r="C246" s="42" t="s">
        <v>784</v>
      </c>
      <c r="D246" s="41">
        <v>1.0</v>
      </c>
      <c r="E246" s="43" t="s">
        <v>785</v>
      </c>
      <c r="F246" s="61">
        <v>30.0</v>
      </c>
      <c r="G246" s="62">
        <v>45345.0</v>
      </c>
      <c r="H246" s="44">
        <v>23.41</v>
      </c>
      <c r="I246" s="52">
        <f t="shared" si="34"/>
        <v>24</v>
      </c>
      <c r="J246" s="73">
        <f t="shared" si="35"/>
        <v>24.96</v>
      </c>
      <c r="K246" s="44">
        <v>0.0</v>
      </c>
      <c r="L246" s="46"/>
      <c r="M246" s="61" t="s">
        <v>24</v>
      </c>
      <c r="N246" s="61" t="s">
        <v>25</v>
      </c>
      <c r="O246" s="8"/>
      <c r="P246" s="73">
        <f t="shared" si="36"/>
        <v>5.04</v>
      </c>
      <c r="Q246" s="8"/>
      <c r="R246" s="36" t="s">
        <v>25</v>
      </c>
      <c r="S246" s="41" t="s">
        <v>786</v>
      </c>
      <c r="T246" s="41" t="s">
        <v>756</v>
      </c>
    </row>
    <row r="247" ht="15.75" customHeight="1">
      <c r="A247" s="8" t="s">
        <v>20</v>
      </c>
      <c r="B247" s="36" t="s">
        <v>37</v>
      </c>
      <c r="C247" s="42" t="s">
        <v>787</v>
      </c>
      <c r="D247" s="41">
        <v>1.0</v>
      </c>
      <c r="E247" s="41"/>
      <c r="F247" s="61">
        <v>0.0</v>
      </c>
      <c r="G247" s="62"/>
      <c r="H247" s="44"/>
      <c r="I247" s="52"/>
      <c r="J247" s="73"/>
      <c r="K247" s="44">
        <v>25.0</v>
      </c>
      <c r="L247" s="46"/>
      <c r="M247" s="61" t="s">
        <v>24</v>
      </c>
      <c r="N247" s="61" t="s">
        <v>25</v>
      </c>
      <c r="O247" s="8"/>
      <c r="P247" s="73"/>
      <c r="Q247" s="8"/>
      <c r="R247" s="36" t="s">
        <v>25</v>
      </c>
      <c r="S247" s="41" t="s">
        <v>788</v>
      </c>
      <c r="T247" s="41" t="s">
        <v>756</v>
      </c>
    </row>
    <row r="248" ht="15.75" customHeight="1">
      <c r="A248" s="8" t="s">
        <v>20</v>
      </c>
      <c r="B248" s="36" t="s">
        <v>789</v>
      </c>
      <c r="C248" s="42" t="s">
        <v>790</v>
      </c>
      <c r="D248" s="41">
        <v>1.0</v>
      </c>
      <c r="E248" s="47" t="s">
        <v>791</v>
      </c>
      <c r="F248" s="61">
        <v>420.0</v>
      </c>
      <c r="G248" s="62">
        <v>45346.0</v>
      </c>
      <c r="H248" s="44">
        <v>183.55</v>
      </c>
      <c r="I248" s="52">
        <f t="shared" ref="I248:I257" si="37">ROUND(H248+H248*0.01,0)</f>
        <v>185</v>
      </c>
      <c r="J248" s="73">
        <f t="shared" ref="J248:J257" si="38">I248+(I248*0.04)</f>
        <v>192.4</v>
      </c>
      <c r="K248" s="44">
        <v>45.0</v>
      </c>
      <c r="L248" s="46"/>
      <c r="M248" s="61" t="s">
        <v>24</v>
      </c>
      <c r="N248" s="61" t="s">
        <v>25</v>
      </c>
      <c r="O248" s="8"/>
      <c r="P248" s="73">
        <f t="shared" ref="P248:P370" si="39">F248-(J248+K248)</f>
        <v>182.6</v>
      </c>
      <c r="Q248" s="8"/>
      <c r="R248" s="36" t="s">
        <v>25</v>
      </c>
      <c r="S248" s="91" t="s">
        <v>792</v>
      </c>
      <c r="T248" s="41" t="s">
        <v>756</v>
      </c>
    </row>
    <row r="249" ht="15.75" customHeight="1">
      <c r="A249" s="8" t="s">
        <v>20</v>
      </c>
      <c r="B249" s="36" t="s">
        <v>789</v>
      </c>
      <c r="C249" s="42" t="s">
        <v>793</v>
      </c>
      <c r="D249" s="41">
        <v>1.0</v>
      </c>
      <c r="E249" s="43" t="s">
        <v>794</v>
      </c>
      <c r="F249" s="61">
        <v>480.0</v>
      </c>
      <c r="G249" s="62">
        <v>45346.0</v>
      </c>
      <c r="H249" s="44">
        <v>171.2</v>
      </c>
      <c r="I249" s="52">
        <f t="shared" si="37"/>
        <v>173</v>
      </c>
      <c r="J249" s="73">
        <f t="shared" si="38"/>
        <v>179.92</v>
      </c>
      <c r="K249" s="44">
        <v>135.0</v>
      </c>
      <c r="L249" s="46"/>
      <c r="M249" s="61" t="s">
        <v>24</v>
      </c>
      <c r="N249" s="61" t="s">
        <v>25</v>
      </c>
      <c r="O249" s="8"/>
      <c r="P249" s="73">
        <f t="shared" si="39"/>
        <v>165.08</v>
      </c>
      <c r="Q249" s="8"/>
      <c r="R249" s="36" t="s">
        <v>25</v>
      </c>
      <c r="S249" s="41" t="s">
        <v>795</v>
      </c>
      <c r="T249" s="41" t="s">
        <v>714</v>
      </c>
    </row>
    <row r="250" ht="15.75" customHeight="1">
      <c r="A250" s="8" t="s">
        <v>20</v>
      </c>
      <c r="B250" s="36" t="s">
        <v>789</v>
      </c>
      <c r="C250" s="42" t="s">
        <v>796</v>
      </c>
      <c r="D250" s="41">
        <v>1.0</v>
      </c>
      <c r="E250" s="43" t="s">
        <v>797</v>
      </c>
      <c r="F250" s="61">
        <v>790.0</v>
      </c>
      <c r="G250" s="62">
        <v>45346.0</v>
      </c>
      <c r="H250" s="44">
        <v>432.16</v>
      </c>
      <c r="I250" s="52">
        <f t="shared" si="37"/>
        <v>436</v>
      </c>
      <c r="J250" s="73">
        <f t="shared" si="38"/>
        <v>453.44</v>
      </c>
      <c r="K250" s="44">
        <v>90.0</v>
      </c>
      <c r="L250" s="46"/>
      <c r="M250" s="61" t="s">
        <v>24</v>
      </c>
      <c r="N250" s="61" t="s">
        <v>25</v>
      </c>
      <c r="O250" s="8"/>
      <c r="P250" s="73">
        <f t="shared" si="39"/>
        <v>246.56</v>
      </c>
      <c r="Q250" s="8"/>
      <c r="R250" s="36" t="s">
        <v>25</v>
      </c>
      <c r="S250" s="41" t="s">
        <v>798</v>
      </c>
      <c r="T250" s="41" t="s">
        <v>714</v>
      </c>
    </row>
    <row r="251" ht="15.75" customHeight="1">
      <c r="A251" s="8" t="s">
        <v>20</v>
      </c>
      <c r="B251" s="36" t="s">
        <v>789</v>
      </c>
      <c r="C251" s="42" t="s">
        <v>762</v>
      </c>
      <c r="D251" s="41">
        <v>1.0</v>
      </c>
      <c r="E251" s="43" t="s">
        <v>799</v>
      </c>
      <c r="F251" s="61">
        <v>470.0</v>
      </c>
      <c r="G251" s="62">
        <v>45346.0</v>
      </c>
      <c r="H251" s="44">
        <v>174.95</v>
      </c>
      <c r="I251" s="52">
        <f t="shared" si="37"/>
        <v>177</v>
      </c>
      <c r="J251" s="73">
        <f t="shared" si="38"/>
        <v>184.08</v>
      </c>
      <c r="K251" s="44">
        <v>180.0</v>
      </c>
      <c r="L251" s="46"/>
      <c r="M251" s="61" t="s">
        <v>24</v>
      </c>
      <c r="N251" s="61" t="s">
        <v>25</v>
      </c>
      <c r="O251" s="8"/>
      <c r="P251" s="73">
        <f t="shared" si="39"/>
        <v>105.92</v>
      </c>
      <c r="Q251" s="8"/>
      <c r="R251" s="36" t="s">
        <v>25</v>
      </c>
      <c r="S251" s="41" t="s">
        <v>800</v>
      </c>
      <c r="T251" s="41" t="s">
        <v>714</v>
      </c>
    </row>
    <row r="252" ht="15.75" customHeight="1">
      <c r="A252" s="8" t="s">
        <v>20</v>
      </c>
      <c r="B252" s="36" t="s">
        <v>37</v>
      </c>
      <c r="C252" s="42" t="s">
        <v>801</v>
      </c>
      <c r="D252" s="41">
        <v>1.0</v>
      </c>
      <c r="E252" s="43" t="s">
        <v>802</v>
      </c>
      <c r="F252" s="61">
        <v>0.0</v>
      </c>
      <c r="G252" s="62">
        <v>45352.0</v>
      </c>
      <c r="H252" s="44"/>
      <c r="I252" s="52">
        <f t="shared" si="37"/>
        <v>0</v>
      </c>
      <c r="J252" s="73">
        <f t="shared" si="38"/>
        <v>0</v>
      </c>
      <c r="K252" s="44">
        <v>0.0</v>
      </c>
      <c r="L252" s="46"/>
      <c r="M252" s="61" t="s">
        <v>24</v>
      </c>
      <c r="N252" s="61" t="s">
        <v>25</v>
      </c>
      <c r="O252" s="8"/>
      <c r="P252" s="73">
        <f t="shared" si="39"/>
        <v>0</v>
      </c>
      <c r="Q252" s="8"/>
      <c r="R252" s="36" t="s">
        <v>25</v>
      </c>
      <c r="S252" s="41" t="s">
        <v>803</v>
      </c>
      <c r="T252" s="41" t="s">
        <v>692</v>
      </c>
    </row>
    <row r="253" ht="15.75" customHeight="1">
      <c r="A253" s="8" t="s">
        <v>20</v>
      </c>
      <c r="B253" s="36" t="s">
        <v>67</v>
      </c>
      <c r="C253" s="42" t="s">
        <v>804</v>
      </c>
      <c r="D253" s="41">
        <v>1.0</v>
      </c>
      <c r="E253" s="47" t="s">
        <v>805</v>
      </c>
      <c r="F253" s="61">
        <v>3265.0</v>
      </c>
      <c r="G253" s="62">
        <v>45355.0</v>
      </c>
      <c r="H253" s="44">
        <v>2298.51</v>
      </c>
      <c r="I253" s="52">
        <f t="shared" si="37"/>
        <v>2321</v>
      </c>
      <c r="J253" s="73">
        <f t="shared" si="38"/>
        <v>2413.84</v>
      </c>
      <c r="K253" s="44">
        <v>270.0</v>
      </c>
      <c r="L253" s="46"/>
      <c r="M253" s="61" t="s">
        <v>24</v>
      </c>
      <c r="N253" s="61" t="s">
        <v>25</v>
      </c>
      <c r="O253" s="8"/>
      <c r="P253" s="73">
        <f t="shared" si="39"/>
        <v>581.16</v>
      </c>
      <c r="Q253" s="8"/>
      <c r="R253" s="36" t="s">
        <v>25</v>
      </c>
      <c r="S253" s="41" t="s">
        <v>806</v>
      </c>
      <c r="T253" s="41" t="s">
        <v>692</v>
      </c>
    </row>
    <row r="254" ht="15.75" customHeight="1">
      <c r="A254" s="8" t="s">
        <v>20</v>
      </c>
      <c r="B254" s="36" t="s">
        <v>807</v>
      </c>
      <c r="C254" s="42" t="s">
        <v>808</v>
      </c>
      <c r="D254" s="41">
        <v>1.0</v>
      </c>
      <c r="E254" s="41"/>
      <c r="F254" s="61">
        <v>0.0</v>
      </c>
      <c r="G254" s="62"/>
      <c r="H254" s="44">
        <v>0.0</v>
      </c>
      <c r="I254" s="52">
        <f t="shared" si="37"/>
        <v>0</v>
      </c>
      <c r="J254" s="73">
        <f t="shared" si="38"/>
        <v>0</v>
      </c>
      <c r="K254" s="44">
        <v>0.0</v>
      </c>
      <c r="L254" s="46"/>
      <c r="M254" s="61" t="s">
        <v>24</v>
      </c>
      <c r="N254" s="61" t="s">
        <v>25</v>
      </c>
      <c r="O254" s="8"/>
      <c r="P254" s="73">
        <f t="shared" si="39"/>
        <v>0</v>
      </c>
      <c r="Q254" s="8"/>
      <c r="R254" s="36" t="s">
        <v>25</v>
      </c>
      <c r="S254" s="41" t="s">
        <v>809</v>
      </c>
      <c r="T254" s="41" t="s">
        <v>692</v>
      </c>
    </row>
    <row r="255" ht="15.75" customHeight="1">
      <c r="A255" s="8" t="s">
        <v>20</v>
      </c>
      <c r="B255" s="36" t="s">
        <v>71</v>
      </c>
      <c r="C255" s="42" t="s">
        <v>810</v>
      </c>
      <c r="D255" s="41">
        <v>1.0</v>
      </c>
      <c r="E255" s="43" t="s">
        <v>811</v>
      </c>
      <c r="F255" s="61">
        <v>180.0</v>
      </c>
      <c r="G255" s="62">
        <v>45357.0</v>
      </c>
      <c r="H255" s="44">
        <v>68.48</v>
      </c>
      <c r="I255" s="52">
        <f t="shared" si="37"/>
        <v>69</v>
      </c>
      <c r="J255" s="73">
        <f t="shared" si="38"/>
        <v>71.76</v>
      </c>
      <c r="K255" s="44">
        <v>45.0</v>
      </c>
      <c r="L255" s="46"/>
      <c r="M255" s="61" t="s">
        <v>24</v>
      </c>
      <c r="N255" s="61" t="s">
        <v>25</v>
      </c>
      <c r="O255" s="8"/>
      <c r="P255" s="73">
        <f t="shared" si="39"/>
        <v>63.24</v>
      </c>
      <c r="Q255" s="8"/>
      <c r="R255" s="36" t="s">
        <v>25</v>
      </c>
      <c r="S255" s="41" t="s">
        <v>812</v>
      </c>
      <c r="T255" s="41" t="s">
        <v>692</v>
      </c>
    </row>
    <row r="256" ht="15.75" customHeight="1">
      <c r="A256" s="8" t="s">
        <v>20</v>
      </c>
      <c r="B256" s="36" t="s">
        <v>533</v>
      </c>
      <c r="C256" s="42" t="s">
        <v>813</v>
      </c>
      <c r="D256" s="41">
        <v>1.0</v>
      </c>
      <c r="E256" s="43" t="s">
        <v>814</v>
      </c>
      <c r="F256" s="61">
        <v>380.0</v>
      </c>
      <c r="G256" s="62">
        <v>45361.0</v>
      </c>
      <c r="H256" s="44">
        <v>144.45</v>
      </c>
      <c r="I256" s="52">
        <f t="shared" si="37"/>
        <v>146</v>
      </c>
      <c r="J256" s="73">
        <f t="shared" si="38"/>
        <v>151.84</v>
      </c>
      <c r="K256" s="44">
        <v>135.0</v>
      </c>
      <c r="L256" s="46"/>
      <c r="M256" s="61" t="s">
        <v>24</v>
      </c>
      <c r="N256" s="61" t="s">
        <v>25</v>
      </c>
      <c r="O256" s="8"/>
      <c r="P256" s="73">
        <f t="shared" si="39"/>
        <v>93.16</v>
      </c>
      <c r="Q256" s="8"/>
      <c r="R256" s="36" t="s">
        <v>25</v>
      </c>
      <c r="S256" s="41" t="s">
        <v>815</v>
      </c>
      <c r="T256" s="41" t="s">
        <v>692</v>
      </c>
    </row>
    <row r="257" ht="15.75" customHeight="1">
      <c r="A257" s="8" t="s">
        <v>20</v>
      </c>
      <c r="B257" s="36" t="s">
        <v>37</v>
      </c>
      <c r="C257" s="42" t="s">
        <v>816</v>
      </c>
      <c r="D257" s="41">
        <v>1.0</v>
      </c>
      <c r="E257" s="43" t="s">
        <v>817</v>
      </c>
      <c r="F257" s="61"/>
      <c r="G257" s="62">
        <v>45361.0</v>
      </c>
      <c r="H257" s="44"/>
      <c r="I257" s="52">
        <f t="shared" si="37"/>
        <v>0</v>
      </c>
      <c r="J257" s="73">
        <f t="shared" si="38"/>
        <v>0</v>
      </c>
      <c r="K257" s="44">
        <v>200.0</v>
      </c>
      <c r="L257" s="46"/>
      <c r="M257" s="61" t="s">
        <v>24</v>
      </c>
      <c r="N257" s="61" t="s">
        <v>25</v>
      </c>
      <c r="O257" s="8"/>
      <c r="P257" s="73">
        <f t="shared" si="39"/>
        <v>-200</v>
      </c>
      <c r="Q257" s="8"/>
      <c r="R257" s="36" t="s">
        <v>25</v>
      </c>
      <c r="S257" s="41" t="s">
        <v>818</v>
      </c>
      <c r="T257" s="41"/>
    </row>
    <row r="258" ht="15.75" customHeight="1">
      <c r="A258" s="8" t="s">
        <v>20</v>
      </c>
      <c r="B258" s="36" t="s">
        <v>819</v>
      </c>
      <c r="C258" s="42" t="s">
        <v>820</v>
      </c>
      <c r="D258" s="41">
        <v>1.0</v>
      </c>
      <c r="E258" s="41"/>
      <c r="F258" s="61">
        <v>150.0</v>
      </c>
      <c r="G258" s="62">
        <v>45362.0</v>
      </c>
      <c r="H258" s="44">
        <v>0.0</v>
      </c>
      <c r="I258" s="44">
        <v>0.0</v>
      </c>
      <c r="J258" s="84">
        <v>0.0</v>
      </c>
      <c r="K258" s="44">
        <v>135.0</v>
      </c>
      <c r="L258" s="46"/>
      <c r="M258" s="61" t="s">
        <v>24</v>
      </c>
      <c r="N258" s="61" t="s">
        <v>25</v>
      </c>
      <c r="O258" s="8"/>
      <c r="P258" s="73">
        <f t="shared" si="39"/>
        <v>15</v>
      </c>
      <c r="Q258" s="8"/>
      <c r="R258" s="36" t="s">
        <v>25</v>
      </c>
      <c r="S258" s="41" t="s">
        <v>821</v>
      </c>
      <c r="T258" s="41" t="s">
        <v>748</v>
      </c>
    </row>
    <row r="259" ht="15.75" customHeight="1">
      <c r="A259" s="8" t="s">
        <v>20</v>
      </c>
      <c r="B259" s="36" t="s">
        <v>819</v>
      </c>
      <c r="C259" s="42" t="s">
        <v>822</v>
      </c>
      <c r="D259" s="41">
        <v>1.0</v>
      </c>
      <c r="E259" s="41"/>
      <c r="F259" s="61">
        <v>150.0</v>
      </c>
      <c r="G259" s="62">
        <v>45362.0</v>
      </c>
      <c r="H259" s="44">
        <v>0.0</v>
      </c>
      <c r="I259" s="52">
        <f t="shared" ref="I259:I263" si="40">ROUND(H259+H259*0.01,0)</f>
        <v>0</v>
      </c>
      <c r="J259" s="73">
        <f t="shared" ref="J259:J263" si="41">I259+(I259*0.04)</f>
        <v>0</v>
      </c>
      <c r="K259" s="44">
        <v>135.0</v>
      </c>
      <c r="L259" s="46"/>
      <c r="M259" s="61" t="s">
        <v>24</v>
      </c>
      <c r="N259" s="61" t="s">
        <v>25</v>
      </c>
      <c r="O259" s="8"/>
      <c r="P259" s="73">
        <f t="shared" si="39"/>
        <v>15</v>
      </c>
      <c r="Q259" s="8"/>
      <c r="R259" s="36" t="s">
        <v>25</v>
      </c>
      <c r="S259" s="41" t="s">
        <v>823</v>
      </c>
      <c r="T259" s="41" t="s">
        <v>748</v>
      </c>
    </row>
    <row r="260" ht="15.75" customHeight="1">
      <c r="A260" s="8" t="s">
        <v>20</v>
      </c>
      <c r="B260" s="36" t="s">
        <v>533</v>
      </c>
      <c r="C260" s="42" t="s">
        <v>824</v>
      </c>
      <c r="D260" s="41">
        <v>1.0</v>
      </c>
      <c r="E260" s="43" t="s">
        <v>825</v>
      </c>
      <c r="F260" s="61">
        <v>150.0</v>
      </c>
      <c r="G260" s="62">
        <v>45362.0</v>
      </c>
      <c r="H260" s="44">
        <v>77.13</v>
      </c>
      <c r="I260" s="52">
        <f t="shared" si="40"/>
        <v>78</v>
      </c>
      <c r="J260" s="73">
        <f t="shared" si="41"/>
        <v>81.12</v>
      </c>
      <c r="K260" s="44">
        <v>0.0</v>
      </c>
      <c r="L260" s="46"/>
      <c r="M260" s="61" t="s">
        <v>24</v>
      </c>
      <c r="N260" s="61" t="s">
        <v>25</v>
      </c>
      <c r="O260" s="8"/>
      <c r="P260" s="73">
        <f t="shared" si="39"/>
        <v>68.88</v>
      </c>
      <c r="Q260" s="8"/>
      <c r="R260" s="36" t="s">
        <v>25</v>
      </c>
      <c r="S260" s="41" t="s">
        <v>826</v>
      </c>
      <c r="T260" s="41" t="s">
        <v>692</v>
      </c>
    </row>
    <row r="261" ht="15.75" customHeight="1">
      <c r="A261" s="8" t="s">
        <v>20</v>
      </c>
      <c r="B261" s="36" t="s">
        <v>179</v>
      </c>
      <c r="C261" s="42" t="s">
        <v>827</v>
      </c>
      <c r="D261" s="41">
        <v>1.0</v>
      </c>
      <c r="E261" s="41"/>
      <c r="F261" s="61">
        <v>880.0</v>
      </c>
      <c r="G261" s="62">
        <v>45362.0</v>
      </c>
      <c r="H261" s="44">
        <v>345.6</v>
      </c>
      <c r="I261" s="52">
        <f t="shared" si="40"/>
        <v>349</v>
      </c>
      <c r="J261" s="73">
        <f t="shared" si="41"/>
        <v>362.96</v>
      </c>
      <c r="K261" s="44">
        <v>360.0</v>
      </c>
      <c r="L261" s="46"/>
      <c r="M261" s="61" t="s">
        <v>24</v>
      </c>
      <c r="N261" s="61" t="s">
        <v>25</v>
      </c>
      <c r="O261" s="8"/>
      <c r="P261" s="73">
        <f t="shared" si="39"/>
        <v>157.04</v>
      </c>
      <c r="Q261" s="8"/>
      <c r="R261" s="36" t="s">
        <v>25</v>
      </c>
      <c r="S261" s="41" t="s">
        <v>828</v>
      </c>
      <c r="T261" s="41" t="s">
        <v>692</v>
      </c>
    </row>
    <row r="262" ht="15.75" customHeight="1">
      <c r="A262" s="8" t="s">
        <v>20</v>
      </c>
      <c r="B262" s="36" t="s">
        <v>829</v>
      </c>
      <c r="C262" s="42" t="s">
        <v>830</v>
      </c>
      <c r="D262" s="41">
        <v>1.0</v>
      </c>
      <c r="E262" s="49" t="s">
        <v>831</v>
      </c>
      <c r="F262" s="61">
        <v>120.0</v>
      </c>
      <c r="G262" s="62">
        <v>45359.0</v>
      </c>
      <c r="H262" s="44"/>
      <c r="I262" s="52">
        <f t="shared" si="40"/>
        <v>0</v>
      </c>
      <c r="J262" s="73">
        <f t="shared" si="41"/>
        <v>0</v>
      </c>
      <c r="K262" s="44">
        <v>90.0</v>
      </c>
      <c r="L262" s="46"/>
      <c r="M262" s="61" t="s">
        <v>24</v>
      </c>
      <c r="N262" s="61" t="s">
        <v>25</v>
      </c>
      <c r="O262" s="8"/>
      <c r="P262" s="73">
        <f t="shared" si="39"/>
        <v>30</v>
      </c>
      <c r="Q262" s="8"/>
      <c r="R262" s="36" t="s">
        <v>25</v>
      </c>
      <c r="S262" s="41" t="s">
        <v>832</v>
      </c>
      <c r="T262" s="41" t="s">
        <v>692</v>
      </c>
    </row>
    <row r="263" ht="15.75" customHeight="1">
      <c r="A263" s="8" t="s">
        <v>20</v>
      </c>
      <c r="B263" s="36" t="s">
        <v>829</v>
      </c>
      <c r="C263" s="42" t="s">
        <v>833</v>
      </c>
      <c r="D263" s="41">
        <v>1.0</v>
      </c>
      <c r="E263" s="41"/>
      <c r="F263" s="61">
        <v>60.0</v>
      </c>
      <c r="G263" s="62">
        <v>45359.0</v>
      </c>
      <c r="H263" s="44"/>
      <c r="I263" s="52">
        <f t="shared" si="40"/>
        <v>0</v>
      </c>
      <c r="J263" s="73">
        <f t="shared" si="41"/>
        <v>0</v>
      </c>
      <c r="K263" s="44">
        <v>45.0</v>
      </c>
      <c r="L263" s="46"/>
      <c r="M263" s="61" t="s">
        <v>24</v>
      </c>
      <c r="N263" s="61" t="s">
        <v>25</v>
      </c>
      <c r="O263" s="8"/>
      <c r="P263" s="73">
        <f t="shared" si="39"/>
        <v>15</v>
      </c>
      <c r="Q263" s="8"/>
      <c r="R263" s="36" t="s">
        <v>25</v>
      </c>
      <c r="S263" s="41" t="s">
        <v>834</v>
      </c>
      <c r="T263" s="41" t="s">
        <v>748</v>
      </c>
    </row>
    <row r="264" ht="15.75" customHeight="1">
      <c r="A264" s="8" t="s">
        <v>20</v>
      </c>
      <c r="B264" s="17" t="s">
        <v>835</v>
      </c>
      <c r="C264" s="42" t="s">
        <v>836</v>
      </c>
      <c r="D264" s="41">
        <v>1.0</v>
      </c>
      <c r="E264" s="47" t="s">
        <v>837</v>
      </c>
      <c r="F264" s="61">
        <v>1910.0</v>
      </c>
      <c r="G264" s="62">
        <v>45362.0</v>
      </c>
      <c r="H264" s="44">
        <v>1710.0</v>
      </c>
      <c r="I264" s="44">
        <v>1710.0</v>
      </c>
      <c r="J264" s="44">
        <v>1710.0</v>
      </c>
      <c r="K264" s="44">
        <v>150.0</v>
      </c>
      <c r="L264" s="46"/>
      <c r="M264" s="61" t="s">
        <v>24</v>
      </c>
      <c r="N264" s="61" t="s">
        <v>25</v>
      </c>
      <c r="O264" s="8"/>
      <c r="P264" s="73">
        <f t="shared" si="39"/>
        <v>50</v>
      </c>
      <c r="Q264" s="8"/>
      <c r="R264" s="36" t="s">
        <v>25</v>
      </c>
      <c r="S264" s="92" t="s">
        <v>838</v>
      </c>
      <c r="T264" s="41" t="s">
        <v>748</v>
      </c>
    </row>
    <row r="265" ht="15.75" customHeight="1">
      <c r="A265" s="8" t="s">
        <v>20</v>
      </c>
      <c r="B265" s="36" t="s">
        <v>835</v>
      </c>
      <c r="C265" s="17" t="s">
        <v>839</v>
      </c>
      <c r="D265" s="41">
        <v>1.0</v>
      </c>
      <c r="E265" s="47" t="s">
        <v>840</v>
      </c>
      <c r="F265" s="61">
        <v>585.0</v>
      </c>
      <c r="G265" s="62">
        <v>45362.0</v>
      </c>
      <c r="H265" s="44">
        <v>413.98</v>
      </c>
      <c r="I265" s="52">
        <f t="shared" ref="I265:I266" si="42">ROUND(H265+H265*0.01,0)</f>
        <v>418</v>
      </c>
      <c r="J265" s="73">
        <f t="shared" ref="J265:J266" si="43">I265+(I265*0.04)</f>
        <v>434.72</v>
      </c>
      <c r="K265" s="44">
        <v>45.0</v>
      </c>
      <c r="L265" s="46"/>
      <c r="M265" s="61" t="s">
        <v>24</v>
      </c>
      <c r="N265" s="61" t="s">
        <v>25</v>
      </c>
      <c r="O265" s="8"/>
      <c r="P265" s="73">
        <f t="shared" si="39"/>
        <v>105.28</v>
      </c>
      <c r="Q265" s="8"/>
      <c r="R265" s="36" t="s">
        <v>25</v>
      </c>
      <c r="S265" s="93" t="s">
        <v>838</v>
      </c>
      <c r="T265" s="41" t="s">
        <v>748</v>
      </c>
    </row>
    <row r="266" ht="15.75" customHeight="1">
      <c r="A266" s="8" t="s">
        <v>20</v>
      </c>
      <c r="B266" s="36" t="s">
        <v>841</v>
      </c>
      <c r="C266" s="42" t="s">
        <v>842</v>
      </c>
      <c r="D266" s="41">
        <v>1.0</v>
      </c>
      <c r="E266" s="41"/>
      <c r="F266" s="61">
        <v>20.0</v>
      </c>
      <c r="G266" s="62">
        <v>45365.0</v>
      </c>
      <c r="H266" s="44">
        <v>0.0</v>
      </c>
      <c r="I266" s="52">
        <f t="shared" si="42"/>
        <v>0</v>
      </c>
      <c r="J266" s="73">
        <f t="shared" si="43"/>
        <v>0</v>
      </c>
      <c r="K266" s="44">
        <v>15.0</v>
      </c>
      <c r="L266" s="46"/>
      <c r="M266" s="61" t="s">
        <v>24</v>
      </c>
      <c r="N266" s="61" t="s">
        <v>25</v>
      </c>
      <c r="O266" s="8"/>
      <c r="P266" s="73">
        <f t="shared" si="39"/>
        <v>5</v>
      </c>
      <c r="Q266" s="8"/>
      <c r="R266" s="36" t="s">
        <v>25</v>
      </c>
      <c r="S266" s="41" t="s">
        <v>843</v>
      </c>
      <c r="T266" s="41" t="s">
        <v>748</v>
      </c>
    </row>
    <row r="267" ht="15.75" customHeight="1">
      <c r="A267" s="8" t="s">
        <v>20</v>
      </c>
      <c r="B267" s="36" t="s">
        <v>841</v>
      </c>
      <c r="C267" s="42" t="s">
        <v>844</v>
      </c>
      <c r="D267" s="41">
        <v>1.0</v>
      </c>
      <c r="E267" s="41"/>
      <c r="F267" s="61">
        <v>55.0</v>
      </c>
      <c r="G267" s="62">
        <v>45365.0</v>
      </c>
      <c r="H267" s="44">
        <v>0.0</v>
      </c>
      <c r="I267" s="44">
        <v>0.0</v>
      </c>
      <c r="J267" s="84">
        <v>0.0</v>
      </c>
      <c r="K267" s="44">
        <v>45.0</v>
      </c>
      <c r="L267" s="46"/>
      <c r="M267" s="61" t="s">
        <v>24</v>
      </c>
      <c r="N267" s="61" t="s">
        <v>25</v>
      </c>
      <c r="O267" s="8"/>
      <c r="P267" s="73">
        <f t="shared" si="39"/>
        <v>10</v>
      </c>
      <c r="Q267" s="8"/>
      <c r="R267" s="36" t="s">
        <v>25</v>
      </c>
      <c r="S267" s="41" t="s">
        <v>843</v>
      </c>
      <c r="T267" s="41" t="s">
        <v>748</v>
      </c>
    </row>
    <row r="268" ht="15.75" customHeight="1">
      <c r="A268" s="8" t="s">
        <v>20</v>
      </c>
      <c r="B268" s="36" t="s">
        <v>71</v>
      </c>
      <c r="C268" s="42" t="s">
        <v>845</v>
      </c>
      <c r="D268" s="41">
        <v>1.0</v>
      </c>
      <c r="E268" s="41"/>
      <c r="F268" s="61">
        <v>65.0</v>
      </c>
      <c r="G268" s="62"/>
      <c r="H268" s="44"/>
      <c r="I268" s="52">
        <f t="shared" ref="I268:I274" si="44">ROUND(H268+H268*0.01,0)</f>
        <v>0</v>
      </c>
      <c r="J268" s="73">
        <f t="shared" ref="J268:J274" si="45">I268+(I268*0.04)</f>
        <v>0</v>
      </c>
      <c r="K268" s="44">
        <v>45.0</v>
      </c>
      <c r="L268" s="46"/>
      <c r="M268" s="61" t="s">
        <v>24</v>
      </c>
      <c r="N268" s="61" t="s">
        <v>25</v>
      </c>
      <c r="O268" s="8"/>
      <c r="P268" s="73">
        <f t="shared" si="39"/>
        <v>20</v>
      </c>
      <c r="Q268" s="8"/>
      <c r="R268" s="36" t="s">
        <v>25</v>
      </c>
      <c r="S268" s="41" t="s">
        <v>846</v>
      </c>
      <c r="T268" s="41" t="s">
        <v>748</v>
      </c>
    </row>
    <row r="269" ht="15.75" customHeight="1">
      <c r="A269" s="8" t="s">
        <v>20</v>
      </c>
      <c r="B269" s="36" t="s">
        <v>37</v>
      </c>
      <c r="C269" s="42" t="s">
        <v>847</v>
      </c>
      <c r="D269" s="41">
        <v>1.0</v>
      </c>
      <c r="E269" s="43" t="s">
        <v>848</v>
      </c>
      <c r="F269" s="61">
        <v>0.0</v>
      </c>
      <c r="G269" s="62">
        <v>45365.0</v>
      </c>
      <c r="H269" s="44"/>
      <c r="I269" s="52">
        <f t="shared" si="44"/>
        <v>0</v>
      </c>
      <c r="J269" s="73">
        <f t="shared" si="45"/>
        <v>0</v>
      </c>
      <c r="K269" s="44">
        <v>90.0</v>
      </c>
      <c r="L269" s="46"/>
      <c r="M269" s="61" t="s">
        <v>24</v>
      </c>
      <c r="N269" s="61" t="s">
        <v>25</v>
      </c>
      <c r="O269" s="8"/>
      <c r="P269" s="73">
        <f t="shared" si="39"/>
        <v>-90</v>
      </c>
      <c r="Q269" s="8"/>
      <c r="R269" s="36" t="s">
        <v>25</v>
      </c>
      <c r="S269" s="41" t="s">
        <v>849</v>
      </c>
      <c r="T269" s="41" t="s">
        <v>748</v>
      </c>
    </row>
    <row r="270" ht="15.75" customHeight="1">
      <c r="A270" s="8" t="s">
        <v>20</v>
      </c>
      <c r="B270" s="36" t="s">
        <v>850</v>
      </c>
      <c r="C270" s="42" t="s">
        <v>851</v>
      </c>
      <c r="D270" s="41">
        <v>1.0</v>
      </c>
      <c r="E270" s="43" t="s">
        <v>852</v>
      </c>
      <c r="F270" s="61">
        <v>135.0</v>
      </c>
      <c r="G270" s="62">
        <v>45365.0</v>
      </c>
      <c r="H270" s="44">
        <v>66.33</v>
      </c>
      <c r="I270" s="52">
        <f t="shared" si="44"/>
        <v>67</v>
      </c>
      <c r="J270" s="73">
        <f t="shared" si="45"/>
        <v>69.68</v>
      </c>
      <c r="K270" s="44">
        <v>15.0</v>
      </c>
      <c r="L270" s="46"/>
      <c r="M270" s="61" t="s">
        <v>24</v>
      </c>
      <c r="N270" s="61" t="s">
        <v>25</v>
      </c>
      <c r="O270" s="8"/>
      <c r="P270" s="73">
        <f t="shared" si="39"/>
        <v>50.32</v>
      </c>
      <c r="Q270" s="8"/>
      <c r="R270" s="36" t="s">
        <v>25</v>
      </c>
      <c r="S270" s="41" t="s">
        <v>853</v>
      </c>
      <c r="T270" s="41" t="s">
        <v>748</v>
      </c>
    </row>
    <row r="271" ht="15.75" customHeight="1">
      <c r="A271" s="8" t="s">
        <v>20</v>
      </c>
      <c r="B271" s="36" t="s">
        <v>850</v>
      </c>
      <c r="C271" s="42" t="s">
        <v>854</v>
      </c>
      <c r="D271" s="41">
        <v>1.0</v>
      </c>
      <c r="E271" s="47" t="s">
        <v>855</v>
      </c>
      <c r="F271" s="61">
        <v>135.0</v>
      </c>
      <c r="G271" s="62">
        <v>45365.0</v>
      </c>
      <c r="H271" s="44">
        <v>90.95</v>
      </c>
      <c r="I271" s="52">
        <f t="shared" si="44"/>
        <v>92</v>
      </c>
      <c r="J271" s="73">
        <f t="shared" si="45"/>
        <v>95.68</v>
      </c>
      <c r="K271" s="44">
        <v>0.0</v>
      </c>
      <c r="L271" s="46"/>
      <c r="M271" s="61" t="s">
        <v>24</v>
      </c>
      <c r="N271" s="61" t="s">
        <v>25</v>
      </c>
      <c r="O271" s="8"/>
      <c r="P271" s="73">
        <f t="shared" si="39"/>
        <v>39.32</v>
      </c>
      <c r="Q271" s="8"/>
      <c r="R271" s="36" t="s">
        <v>25</v>
      </c>
      <c r="S271" s="41" t="s">
        <v>856</v>
      </c>
      <c r="T271" s="41" t="s">
        <v>748</v>
      </c>
    </row>
    <row r="272" ht="15.75" customHeight="1">
      <c r="A272" s="8" t="s">
        <v>20</v>
      </c>
      <c r="B272" s="36" t="s">
        <v>37</v>
      </c>
      <c r="C272" s="42" t="s">
        <v>857</v>
      </c>
      <c r="D272" s="41">
        <v>1.0</v>
      </c>
      <c r="E272" s="43" t="s">
        <v>858</v>
      </c>
      <c r="F272" s="61">
        <v>0.0</v>
      </c>
      <c r="G272" s="62"/>
      <c r="H272" s="44"/>
      <c r="I272" s="52">
        <f t="shared" si="44"/>
        <v>0</v>
      </c>
      <c r="J272" s="73">
        <f t="shared" si="45"/>
        <v>0</v>
      </c>
      <c r="K272" s="44">
        <v>15.0</v>
      </c>
      <c r="L272" s="46"/>
      <c r="M272" s="61" t="s">
        <v>24</v>
      </c>
      <c r="N272" s="61" t="s">
        <v>25</v>
      </c>
      <c r="O272" s="8"/>
      <c r="P272" s="73">
        <f t="shared" si="39"/>
        <v>-15</v>
      </c>
      <c r="Q272" s="8"/>
      <c r="R272" s="36" t="s">
        <v>25</v>
      </c>
      <c r="S272" s="94" t="s">
        <v>859</v>
      </c>
      <c r="T272" s="41" t="s">
        <v>748</v>
      </c>
    </row>
    <row r="273" ht="15.75" customHeight="1">
      <c r="A273" s="8" t="s">
        <v>20</v>
      </c>
      <c r="B273" s="36" t="s">
        <v>860</v>
      </c>
      <c r="C273" s="42" t="s">
        <v>861</v>
      </c>
      <c r="D273" s="41">
        <v>1.0</v>
      </c>
      <c r="E273" s="41"/>
      <c r="F273" s="61">
        <v>55.0</v>
      </c>
      <c r="G273" s="62"/>
      <c r="H273" s="44"/>
      <c r="I273" s="52">
        <f t="shared" si="44"/>
        <v>0</v>
      </c>
      <c r="J273" s="73">
        <f t="shared" si="45"/>
        <v>0</v>
      </c>
      <c r="K273" s="44">
        <v>50.0</v>
      </c>
      <c r="L273" s="46"/>
      <c r="M273" s="61" t="s">
        <v>24</v>
      </c>
      <c r="N273" s="61" t="s">
        <v>25</v>
      </c>
      <c r="O273" s="8"/>
      <c r="P273" s="73">
        <f t="shared" si="39"/>
        <v>5</v>
      </c>
      <c r="Q273" s="8"/>
      <c r="R273" s="36" t="s">
        <v>25</v>
      </c>
      <c r="S273" s="41" t="s">
        <v>862</v>
      </c>
      <c r="T273" s="41" t="s">
        <v>748</v>
      </c>
    </row>
    <row r="274" ht="15.75" customHeight="1">
      <c r="A274" s="8" t="s">
        <v>20</v>
      </c>
      <c r="B274" s="36" t="s">
        <v>860</v>
      </c>
      <c r="C274" s="42" t="s">
        <v>863</v>
      </c>
      <c r="D274" s="41">
        <v>1.0</v>
      </c>
      <c r="E274" s="41"/>
      <c r="F274" s="61">
        <v>50.0</v>
      </c>
      <c r="G274" s="62"/>
      <c r="H274" s="44"/>
      <c r="I274" s="52">
        <f t="shared" si="44"/>
        <v>0</v>
      </c>
      <c r="J274" s="73">
        <f t="shared" si="45"/>
        <v>0</v>
      </c>
      <c r="K274" s="44">
        <v>45.0</v>
      </c>
      <c r="L274" s="46"/>
      <c r="M274" s="61" t="s">
        <v>24</v>
      </c>
      <c r="N274" s="61" t="s">
        <v>25</v>
      </c>
      <c r="O274" s="8"/>
      <c r="P274" s="73">
        <f t="shared" si="39"/>
        <v>5</v>
      </c>
      <c r="Q274" s="8"/>
      <c r="R274" s="36" t="s">
        <v>25</v>
      </c>
      <c r="S274" s="89">
        <v>2.7227963591E11</v>
      </c>
      <c r="T274" s="41" t="s">
        <v>748</v>
      </c>
    </row>
    <row r="275" ht="15.75" customHeight="1">
      <c r="A275" s="8" t="s">
        <v>20</v>
      </c>
      <c r="B275" s="36" t="s">
        <v>864</v>
      </c>
      <c r="C275" s="42" t="s">
        <v>865</v>
      </c>
      <c r="D275" s="41">
        <v>1.0</v>
      </c>
      <c r="E275" s="47" t="s">
        <v>866</v>
      </c>
      <c r="F275" s="61">
        <v>290.0</v>
      </c>
      <c r="G275" s="62">
        <v>45369.0</v>
      </c>
      <c r="H275" s="44">
        <v>233.0</v>
      </c>
      <c r="I275" s="44">
        <v>233.0</v>
      </c>
      <c r="J275" s="84">
        <v>233.0</v>
      </c>
      <c r="K275" s="44">
        <v>22.0</v>
      </c>
      <c r="L275" s="46"/>
      <c r="M275" s="61" t="s">
        <v>24</v>
      </c>
      <c r="N275" s="61" t="s">
        <v>25</v>
      </c>
      <c r="O275" s="8" t="s">
        <v>867</v>
      </c>
      <c r="P275" s="73">
        <f t="shared" si="39"/>
        <v>35</v>
      </c>
      <c r="Q275" s="8"/>
      <c r="R275" s="36" t="s">
        <v>25</v>
      </c>
      <c r="S275" s="41" t="s">
        <v>868</v>
      </c>
      <c r="T275" s="41" t="s">
        <v>748</v>
      </c>
    </row>
    <row r="276" ht="15.75" customHeight="1">
      <c r="A276" s="8" t="s">
        <v>20</v>
      </c>
      <c r="B276" s="36" t="s">
        <v>869</v>
      </c>
      <c r="C276" s="42" t="s">
        <v>870</v>
      </c>
      <c r="D276" s="41">
        <v>1.0</v>
      </c>
      <c r="E276" s="47" t="s">
        <v>871</v>
      </c>
      <c r="F276" s="61">
        <v>120.0</v>
      </c>
      <c r="G276" s="62">
        <v>45369.0</v>
      </c>
      <c r="H276" s="44">
        <v>75.05</v>
      </c>
      <c r="I276" s="44">
        <v>75.05</v>
      </c>
      <c r="J276" s="44">
        <v>75.05</v>
      </c>
      <c r="K276" s="44">
        <v>22.0</v>
      </c>
      <c r="L276" s="46"/>
      <c r="M276" s="61" t="s">
        <v>24</v>
      </c>
      <c r="N276" s="61" t="s">
        <v>25</v>
      </c>
      <c r="O276" s="8"/>
      <c r="P276" s="73">
        <f t="shared" si="39"/>
        <v>22.95</v>
      </c>
      <c r="Q276" s="8"/>
      <c r="R276" s="36" t="s">
        <v>25</v>
      </c>
      <c r="S276" s="47" t="s">
        <v>872</v>
      </c>
      <c r="T276" s="41" t="s">
        <v>748</v>
      </c>
    </row>
    <row r="277" ht="15.75" customHeight="1">
      <c r="A277" s="8" t="s">
        <v>20</v>
      </c>
      <c r="B277" s="36" t="s">
        <v>657</v>
      </c>
      <c r="C277" s="42" t="s">
        <v>873</v>
      </c>
      <c r="D277" s="41">
        <v>2.0</v>
      </c>
      <c r="E277" s="47" t="s">
        <v>874</v>
      </c>
      <c r="F277" s="61">
        <v>225.0</v>
      </c>
      <c r="G277" s="62">
        <v>45370.0</v>
      </c>
      <c r="H277" s="44">
        <v>174.35</v>
      </c>
      <c r="I277" s="52">
        <f t="shared" ref="I277:I282" si="46">ROUND(H277+H277*0.01,0)</f>
        <v>176</v>
      </c>
      <c r="J277" s="73">
        <f>I277+(I277*0.04)</f>
        <v>183.04</v>
      </c>
      <c r="K277" s="44">
        <v>18.0</v>
      </c>
      <c r="L277" s="46"/>
      <c r="M277" s="61" t="s">
        <v>24</v>
      </c>
      <c r="N277" s="61" t="s">
        <v>25</v>
      </c>
      <c r="O277" s="8"/>
      <c r="P277" s="73">
        <f t="shared" si="39"/>
        <v>23.96</v>
      </c>
      <c r="Q277" s="8"/>
      <c r="R277" s="36" t="s">
        <v>25</v>
      </c>
      <c r="S277" s="91" t="s">
        <v>875</v>
      </c>
      <c r="T277" s="41" t="s">
        <v>748</v>
      </c>
    </row>
    <row r="278" ht="15.75" customHeight="1">
      <c r="A278" s="8" t="s">
        <v>20</v>
      </c>
      <c r="B278" s="36" t="s">
        <v>179</v>
      </c>
      <c r="C278" s="42" t="s">
        <v>876</v>
      </c>
      <c r="D278" s="41">
        <v>1.0</v>
      </c>
      <c r="E278" s="43" t="s">
        <v>877</v>
      </c>
      <c r="F278" s="61">
        <f t="shared" ref="F278:F279" si="47">J278+K278</f>
        <v>140</v>
      </c>
      <c r="G278" s="62">
        <v>45371.0</v>
      </c>
      <c r="H278" s="44">
        <f>45.9+45.9*0.07</f>
        <v>49.113</v>
      </c>
      <c r="I278" s="52">
        <f t="shared" si="46"/>
        <v>50</v>
      </c>
      <c r="J278" s="44">
        <v>50.0</v>
      </c>
      <c r="K278" s="44">
        <v>90.0</v>
      </c>
      <c r="L278" s="46"/>
      <c r="M278" s="61" t="s">
        <v>24</v>
      </c>
      <c r="N278" s="61" t="s">
        <v>25</v>
      </c>
      <c r="O278" s="8"/>
      <c r="P278" s="73">
        <f t="shared" si="39"/>
        <v>0</v>
      </c>
      <c r="Q278" s="8"/>
      <c r="R278" s="36" t="s">
        <v>25</v>
      </c>
      <c r="S278" s="41" t="s">
        <v>878</v>
      </c>
      <c r="T278" s="41" t="s">
        <v>748</v>
      </c>
    </row>
    <row r="279" ht="15.75" customHeight="1">
      <c r="A279" s="8" t="s">
        <v>20</v>
      </c>
      <c r="B279" s="36" t="s">
        <v>179</v>
      </c>
      <c r="C279" s="42" t="s">
        <v>879</v>
      </c>
      <c r="D279" s="41">
        <v>1.0</v>
      </c>
      <c r="E279" s="43" t="s">
        <v>877</v>
      </c>
      <c r="F279" s="61">
        <f t="shared" si="47"/>
        <v>47</v>
      </c>
      <c r="G279" s="62">
        <v>45371.0</v>
      </c>
      <c r="H279" s="44">
        <f>29.95+29.95*0.07</f>
        <v>32.0465</v>
      </c>
      <c r="I279" s="52">
        <f t="shared" si="46"/>
        <v>32</v>
      </c>
      <c r="J279" s="84">
        <v>32.0</v>
      </c>
      <c r="K279" s="44">
        <v>15.0</v>
      </c>
      <c r="L279" s="46"/>
      <c r="M279" s="61" t="s">
        <v>24</v>
      </c>
      <c r="N279" s="61" t="s">
        <v>25</v>
      </c>
      <c r="O279" s="8"/>
      <c r="P279" s="73">
        <f t="shared" si="39"/>
        <v>0</v>
      </c>
      <c r="Q279" s="8"/>
      <c r="R279" s="36" t="s">
        <v>25</v>
      </c>
      <c r="S279" s="41" t="s">
        <v>880</v>
      </c>
      <c r="T279" s="41" t="s">
        <v>748</v>
      </c>
    </row>
    <row r="280" ht="15.75" customHeight="1">
      <c r="A280" s="8" t="s">
        <v>20</v>
      </c>
      <c r="B280" s="36" t="s">
        <v>819</v>
      </c>
      <c r="C280" s="42" t="s">
        <v>881</v>
      </c>
      <c r="D280" s="41">
        <v>1.0</v>
      </c>
      <c r="E280" s="41"/>
      <c r="F280" s="61">
        <v>50.0</v>
      </c>
      <c r="G280" s="62">
        <v>45371.0</v>
      </c>
      <c r="H280" s="44"/>
      <c r="I280" s="52">
        <f t="shared" si="46"/>
        <v>0</v>
      </c>
      <c r="J280" s="73">
        <f t="shared" ref="J280:J283" si="48">I280+(I280*0.04)</f>
        <v>0</v>
      </c>
      <c r="K280" s="44">
        <v>45.0</v>
      </c>
      <c r="L280" s="46"/>
      <c r="M280" s="61" t="s">
        <v>24</v>
      </c>
      <c r="N280" s="61" t="s">
        <v>25</v>
      </c>
      <c r="O280" s="8"/>
      <c r="P280" s="73">
        <f t="shared" si="39"/>
        <v>5</v>
      </c>
      <c r="Q280" s="8"/>
      <c r="R280" s="36" t="s">
        <v>25</v>
      </c>
      <c r="S280" s="41" t="s">
        <v>882</v>
      </c>
      <c r="T280" s="41" t="s">
        <v>748</v>
      </c>
    </row>
    <row r="281" ht="15.75" customHeight="1">
      <c r="A281" s="8" t="s">
        <v>20</v>
      </c>
      <c r="B281" s="36" t="s">
        <v>883</v>
      </c>
      <c r="C281" s="42" t="s">
        <v>884</v>
      </c>
      <c r="D281" s="41">
        <v>1.0</v>
      </c>
      <c r="E281" s="41"/>
      <c r="F281" s="61">
        <v>165.0</v>
      </c>
      <c r="G281" s="62">
        <v>45371.0</v>
      </c>
      <c r="H281" s="44"/>
      <c r="I281" s="52">
        <f t="shared" si="46"/>
        <v>0</v>
      </c>
      <c r="J281" s="73">
        <f t="shared" si="48"/>
        <v>0</v>
      </c>
      <c r="K281" s="44">
        <v>135.0</v>
      </c>
      <c r="L281" s="46"/>
      <c r="M281" s="61" t="s">
        <v>24</v>
      </c>
      <c r="N281" s="61" t="s">
        <v>25</v>
      </c>
      <c r="O281" s="8"/>
      <c r="P281" s="73">
        <f t="shared" si="39"/>
        <v>30</v>
      </c>
      <c r="Q281" s="8"/>
      <c r="R281" s="36" t="s">
        <v>25</v>
      </c>
      <c r="S281" s="41" t="s">
        <v>885</v>
      </c>
      <c r="T281" s="41" t="s">
        <v>748</v>
      </c>
    </row>
    <row r="282" ht="15.75" customHeight="1">
      <c r="A282" s="8" t="s">
        <v>20</v>
      </c>
      <c r="B282" s="36" t="s">
        <v>883</v>
      </c>
      <c r="C282" s="42" t="s">
        <v>886</v>
      </c>
      <c r="D282" s="41">
        <v>1.0</v>
      </c>
      <c r="E282" s="41"/>
      <c r="F282" s="61">
        <v>55.0</v>
      </c>
      <c r="G282" s="62">
        <v>45371.0</v>
      </c>
      <c r="H282" s="44"/>
      <c r="I282" s="52">
        <f t="shared" si="46"/>
        <v>0</v>
      </c>
      <c r="J282" s="73">
        <f t="shared" si="48"/>
        <v>0</v>
      </c>
      <c r="K282" s="44">
        <v>45.0</v>
      </c>
      <c r="L282" s="46"/>
      <c r="M282" s="61" t="s">
        <v>24</v>
      </c>
      <c r="N282" s="61" t="s">
        <v>25</v>
      </c>
      <c r="O282" s="8"/>
      <c r="P282" s="73">
        <f t="shared" si="39"/>
        <v>10</v>
      </c>
      <c r="Q282" s="8"/>
      <c r="R282" s="36" t="s">
        <v>25</v>
      </c>
      <c r="S282" s="41" t="s">
        <v>887</v>
      </c>
      <c r="T282" s="41" t="s">
        <v>748</v>
      </c>
    </row>
    <row r="283" ht="15.75" customHeight="1">
      <c r="A283" s="8" t="s">
        <v>20</v>
      </c>
      <c r="B283" s="36" t="s">
        <v>476</v>
      </c>
      <c r="C283" s="42" t="s">
        <v>888</v>
      </c>
      <c r="D283" s="41">
        <v>1.0</v>
      </c>
      <c r="E283" s="47" t="s">
        <v>889</v>
      </c>
      <c r="F283" s="95">
        <v>7722.0</v>
      </c>
      <c r="G283" s="62">
        <v>45372.0</v>
      </c>
      <c r="H283" s="44">
        <v>5107.44</v>
      </c>
      <c r="I283" s="44">
        <v>5107.44</v>
      </c>
      <c r="J283" s="73">
        <f t="shared" si="48"/>
        <v>5311.7376</v>
      </c>
      <c r="K283" s="44">
        <v>1275.0</v>
      </c>
      <c r="L283" s="46"/>
      <c r="M283" s="61" t="s">
        <v>24</v>
      </c>
      <c r="N283" s="61" t="s">
        <v>25</v>
      </c>
      <c r="O283" s="8"/>
      <c r="P283" s="73">
        <f t="shared" si="39"/>
        <v>1135.2624</v>
      </c>
      <c r="Q283" s="8"/>
      <c r="R283" s="36" t="s">
        <v>25</v>
      </c>
      <c r="S283" s="41" t="s">
        <v>890</v>
      </c>
      <c r="T283" s="41" t="s">
        <v>748</v>
      </c>
    </row>
    <row r="284" ht="15.75" customHeight="1">
      <c r="A284" s="8" t="s">
        <v>20</v>
      </c>
      <c r="B284" s="36" t="s">
        <v>891</v>
      </c>
      <c r="C284" s="42" t="s">
        <v>892</v>
      </c>
      <c r="D284" s="41">
        <v>1.0</v>
      </c>
      <c r="E284" s="43" t="s">
        <v>893</v>
      </c>
      <c r="F284" s="61">
        <v>100.0</v>
      </c>
      <c r="G284" s="62">
        <v>45376.0</v>
      </c>
      <c r="H284" s="44">
        <v>63.29</v>
      </c>
      <c r="I284" s="44">
        <v>63.29</v>
      </c>
      <c r="J284" s="44">
        <v>63.29</v>
      </c>
      <c r="K284" s="44">
        <v>22.0</v>
      </c>
      <c r="L284" s="46"/>
      <c r="M284" s="61" t="s">
        <v>24</v>
      </c>
      <c r="N284" s="61" t="s">
        <v>25</v>
      </c>
      <c r="O284" s="8"/>
      <c r="P284" s="73">
        <f t="shared" si="39"/>
        <v>14.71</v>
      </c>
      <c r="Q284" s="8"/>
      <c r="R284" s="36" t="s">
        <v>25</v>
      </c>
      <c r="S284" s="41" t="s">
        <v>894</v>
      </c>
      <c r="T284" s="41"/>
    </row>
    <row r="285" ht="15.75" customHeight="1">
      <c r="A285" s="8" t="s">
        <v>20</v>
      </c>
      <c r="B285" s="36" t="s">
        <v>761</v>
      </c>
      <c r="C285" s="42" t="s">
        <v>895</v>
      </c>
      <c r="D285" s="41">
        <v>1.0</v>
      </c>
      <c r="E285" s="47" t="s">
        <v>896</v>
      </c>
      <c r="F285" s="96">
        <v>6700.0</v>
      </c>
      <c r="G285" s="62">
        <v>45376.0</v>
      </c>
      <c r="H285" s="44">
        <v>3715.68</v>
      </c>
      <c r="I285" s="52">
        <f t="shared" ref="I285:I305" si="49">ROUND(H285+H285*0.01,0)</f>
        <v>3753</v>
      </c>
      <c r="J285" s="73">
        <f t="shared" ref="J285:J297" si="50">I285+(I285*0.04)</f>
        <v>3903.12</v>
      </c>
      <c r="K285" s="44">
        <v>450.0</v>
      </c>
      <c r="L285" s="46"/>
      <c r="M285" s="61" t="s">
        <v>24</v>
      </c>
      <c r="N285" s="61" t="s">
        <v>25</v>
      </c>
      <c r="O285" s="8" t="s">
        <v>867</v>
      </c>
      <c r="P285" s="73">
        <f t="shared" si="39"/>
        <v>2346.88</v>
      </c>
      <c r="Q285" s="8"/>
      <c r="R285" s="36" t="s">
        <v>25</v>
      </c>
      <c r="S285" s="41" t="s">
        <v>897</v>
      </c>
      <c r="T285" s="41"/>
    </row>
    <row r="286" ht="15.75" customHeight="1">
      <c r="A286" s="8" t="s">
        <v>20</v>
      </c>
      <c r="B286" s="36" t="s">
        <v>898</v>
      </c>
      <c r="C286" s="42" t="s">
        <v>899</v>
      </c>
      <c r="D286" s="41">
        <v>1.0</v>
      </c>
      <c r="E286" s="47" t="s">
        <v>900</v>
      </c>
      <c r="F286" s="61">
        <v>116.0</v>
      </c>
      <c r="G286" s="62">
        <v>45379.0</v>
      </c>
      <c r="H286" s="44">
        <v>50.04</v>
      </c>
      <c r="I286" s="52">
        <f t="shared" si="49"/>
        <v>51</v>
      </c>
      <c r="J286" s="73">
        <f t="shared" si="50"/>
        <v>53.04</v>
      </c>
      <c r="K286" s="44">
        <v>18.0</v>
      </c>
      <c r="L286" s="46"/>
      <c r="M286" s="61" t="s">
        <v>24</v>
      </c>
      <c r="N286" s="61" t="s">
        <v>25</v>
      </c>
      <c r="O286" s="8"/>
      <c r="P286" s="73">
        <f t="shared" si="39"/>
        <v>44.96</v>
      </c>
      <c r="Q286" s="8"/>
      <c r="R286" s="36" t="s">
        <v>25</v>
      </c>
      <c r="S286" s="41" t="s">
        <v>901</v>
      </c>
      <c r="T286" s="41"/>
    </row>
    <row r="287" ht="15.75" customHeight="1">
      <c r="A287" s="8" t="s">
        <v>20</v>
      </c>
      <c r="B287" s="36" t="s">
        <v>67</v>
      </c>
      <c r="C287" s="42" t="s">
        <v>902</v>
      </c>
      <c r="D287" s="41">
        <v>1.0</v>
      </c>
      <c r="E287" s="43" t="s">
        <v>903</v>
      </c>
      <c r="F287" s="61">
        <v>470.0</v>
      </c>
      <c r="G287" s="62">
        <v>45383.0</v>
      </c>
      <c r="H287" s="44">
        <v>186.87</v>
      </c>
      <c r="I287" s="52">
        <f t="shared" si="49"/>
        <v>189</v>
      </c>
      <c r="J287" s="73">
        <f t="shared" si="50"/>
        <v>196.56</v>
      </c>
      <c r="K287" s="44">
        <v>270.0</v>
      </c>
      <c r="L287" s="46"/>
      <c r="M287" s="61" t="s">
        <v>24</v>
      </c>
      <c r="N287" s="61" t="s">
        <v>25</v>
      </c>
      <c r="O287" s="8"/>
      <c r="P287" s="73">
        <f t="shared" si="39"/>
        <v>3.44</v>
      </c>
      <c r="Q287" s="8"/>
      <c r="R287" s="36" t="s">
        <v>25</v>
      </c>
      <c r="S287" s="91" t="s">
        <v>904</v>
      </c>
      <c r="T287" s="41" t="s">
        <v>748</v>
      </c>
    </row>
    <row r="288" ht="15.75" customHeight="1">
      <c r="A288" s="8" t="s">
        <v>20</v>
      </c>
      <c r="B288" s="36" t="s">
        <v>905</v>
      </c>
      <c r="C288" s="42" t="s">
        <v>906</v>
      </c>
      <c r="D288" s="41">
        <v>1.0</v>
      </c>
      <c r="E288" s="43" t="s">
        <v>907</v>
      </c>
      <c r="F288" s="61">
        <v>105.0</v>
      </c>
      <c r="G288" s="62">
        <v>45384.0</v>
      </c>
      <c r="H288" s="44">
        <v>32.05</v>
      </c>
      <c r="I288" s="52">
        <f t="shared" si="49"/>
        <v>32</v>
      </c>
      <c r="J288" s="73">
        <f t="shared" si="50"/>
        <v>33.28</v>
      </c>
      <c r="K288" s="44">
        <v>18.0</v>
      </c>
      <c r="L288" s="46"/>
      <c r="M288" s="61" t="s">
        <v>24</v>
      </c>
      <c r="N288" s="61" t="s">
        <v>25</v>
      </c>
      <c r="O288" s="8"/>
      <c r="P288" s="73">
        <f t="shared" si="39"/>
        <v>53.72</v>
      </c>
      <c r="Q288" s="8"/>
      <c r="R288" s="36" t="s">
        <v>25</v>
      </c>
      <c r="S288" s="41" t="s">
        <v>908</v>
      </c>
      <c r="T288" s="41" t="s">
        <v>748</v>
      </c>
    </row>
    <row r="289" ht="15.75" customHeight="1">
      <c r="A289" s="8" t="s">
        <v>20</v>
      </c>
      <c r="B289" s="36" t="s">
        <v>203</v>
      </c>
      <c r="C289" s="42" t="s">
        <v>909</v>
      </c>
      <c r="D289" s="41">
        <v>1.0</v>
      </c>
      <c r="E289" s="41"/>
      <c r="F289" s="61">
        <v>45.0</v>
      </c>
      <c r="G289" s="62"/>
      <c r="H289" s="44"/>
      <c r="I289" s="52">
        <f t="shared" si="49"/>
        <v>0</v>
      </c>
      <c r="J289" s="73">
        <f t="shared" si="50"/>
        <v>0</v>
      </c>
      <c r="K289" s="44">
        <v>22.0</v>
      </c>
      <c r="L289" s="46"/>
      <c r="M289" s="61" t="s">
        <v>24</v>
      </c>
      <c r="N289" s="61" t="s">
        <v>25</v>
      </c>
      <c r="O289" s="8"/>
      <c r="P289" s="73">
        <f t="shared" si="39"/>
        <v>23</v>
      </c>
      <c r="Q289" s="8"/>
      <c r="R289" s="36" t="s">
        <v>25</v>
      </c>
      <c r="S289" s="41" t="s">
        <v>910</v>
      </c>
      <c r="T289" s="41" t="s">
        <v>748</v>
      </c>
    </row>
    <row r="290" ht="15.75" customHeight="1">
      <c r="A290" s="8" t="s">
        <v>20</v>
      </c>
      <c r="B290" s="36" t="s">
        <v>819</v>
      </c>
      <c r="C290" s="42" t="s">
        <v>911</v>
      </c>
      <c r="D290" s="41">
        <v>1.0</v>
      </c>
      <c r="E290" s="41"/>
      <c r="F290" s="61">
        <v>20.0</v>
      </c>
      <c r="G290" s="62"/>
      <c r="H290" s="44"/>
      <c r="I290" s="52">
        <f t="shared" si="49"/>
        <v>0</v>
      </c>
      <c r="J290" s="73">
        <f t="shared" si="50"/>
        <v>0</v>
      </c>
      <c r="K290" s="44">
        <v>15.0</v>
      </c>
      <c r="L290" s="46"/>
      <c r="M290" s="61" t="s">
        <v>24</v>
      </c>
      <c r="N290" s="61" t="s">
        <v>25</v>
      </c>
      <c r="O290" s="8"/>
      <c r="P290" s="73">
        <f t="shared" si="39"/>
        <v>5</v>
      </c>
      <c r="Q290" s="8"/>
      <c r="R290" s="36" t="s">
        <v>25</v>
      </c>
      <c r="S290" s="49" t="s">
        <v>912</v>
      </c>
      <c r="T290" s="41"/>
    </row>
    <row r="291" ht="15.75" customHeight="1">
      <c r="A291" s="8" t="s">
        <v>20</v>
      </c>
      <c r="B291" s="36" t="s">
        <v>37</v>
      </c>
      <c r="C291" s="42" t="s">
        <v>913</v>
      </c>
      <c r="D291" s="41">
        <v>1.0</v>
      </c>
      <c r="E291" s="43" t="s">
        <v>914</v>
      </c>
      <c r="F291" s="61">
        <v>0.0</v>
      </c>
      <c r="G291" s="62">
        <v>45385.0</v>
      </c>
      <c r="H291" s="44">
        <v>127.27</v>
      </c>
      <c r="I291" s="52">
        <f t="shared" si="49"/>
        <v>129</v>
      </c>
      <c r="J291" s="73">
        <f t="shared" si="50"/>
        <v>134.16</v>
      </c>
      <c r="K291" s="44">
        <v>18.0</v>
      </c>
      <c r="L291" s="46"/>
      <c r="M291" s="61" t="s">
        <v>24</v>
      </c>
      <c r="N291" s="61" t="s">
        <v>25</v>
      </c>
      <c r="O291" s="8"/>
      <c r="P291" s="73">
        <f t="shared" si="39"/>
        <v>-152.16</v>
      </c>
      <c r="Q291" s="8"/>
      <c r="R291" s="36" t="s">
        <v>25</v>
      </c>
      <c r="S291" s="59" t="s">
        <v>915</v>
      </c>
      <c r="T291" s="41" t="s">
        <v>748</v>
      </c>
    </row>
    <row r="292" ht="15.75" customHeight="1">
      <c r="A292" s="8" t="s">
        <v>20</v>
      </c>
      <c r="B292" s="36" t="s">
        <v>37</v>
      </c>
      <c r="C292" s="42" t="s">
        <v>916</v>
      </c>
      <c r="D292" s="41">
        <v>1.0</v>
      </c>
      <c r="E292" s="43" t="s">
        <v>917</v>
      </c>
      <c r="F292" s="61">
        <v>0.0</v>
      </c>
      <c r="G292" s="62">
        <v>45385.0</v>
      </c>
      <c r="H292" s="44">
        <v>297.89</v>
      </c>
      <c r="I292" s="52">
        <f t="shared" si="49"/>
        <v>301</v>
      </c>
      <c r="J292" s="73">
        <f t="shared" si="50"/>
        <v>313.04</v>
      </c>
      <c r="K292" s="44">
        <v>270.0</v>
      </c>
      <c r="L292" s="46"/>
      <c r="M292" s="61" t="s">
        <v>24</v>
      </c>
      <c r="N292" s="61" t="s">
        <v>25</v>
      </c>
      <c r="O292" s="8"/>
      <c r="P292" s="73">
        <f t="shared" si="39"/>
        <v>-583.04</v>
      </c>
      <c r="Q292" s="8"/>
      <c r="R292" s="36" t="s">
        <v>25</v>
      </c>
      <c r="S292" s="41" t="s">
        <v>918</v>
      </c>
      <c r="T292" s="41" t="s">
        <v>748</v>
      </c>
    </row>
    <row r="293" ht="15.75" customHeight="1">
      <c r="A293" s="8" t="s">
        <v>20</v>
      </c>
      <c r="B293" s="36" t="s">
        <v>37</v>
      </c>
      <c r="C293" s="42" t="s">
        <v>919</v>
      </c>
      <c r="D293" s="41">
        <v>1.0</v>
      </c>
      <c r="E293" s="43" t="s">
        <v>920</v>
      </c>
      <c r="F293" s="61">
        <v>0.0</v>
      </c>
      <c r="G293" s="62">
        <v>45385.0</v>
      </c>
      <c r="H293" s="44"/>
      <c r="I293" s="52">
        <f t="shared" si="49"/>
        <v>0</v>
      </c>
      <c r="J293" s="73">
        <f t="shared" si="50"/>
        <v>0</v>
      </c>
      <c r="K293" s="44">
        <v>15.0</v>
      </c>
      <c r="L293" s="46"/>
      <c r="M293" s="61" t="s">
        <v>24</v>
      </c>
      <c r="N293" s="61" t="s">
        <v>25</v>
      </c>
      <c r="O293" s="8"/>
      <c r="P293" s="73">
        <f t="shared" si="39"/>
        <v>-15</v>
      </c>
      <c r="Q293" s="8"/>
      <c r="R293" s="36" t="s">
        <v>25</v>
      </c>
      <c r="S293" s="41" t="s">
        <v>921</v>
      </c>
      <c r="T293" s="41" t="s">
        <v>748</v>
      </c>
    </row>
    <row r="294" ht="15.75" customHeight="1">
      <c r="A294" s="8" t="s">
        <v>20</v>
      </c>
      <c r="B294" s="36" t="s">
        <v>860</v>
      </c>
      <c r="C294" s="42" t="s">
        <v>922</v>
      </c>
      <c r="D294" s="41">
        <v>1.0</v>
      </c>
      <c r="E294" s="43" t="s">
        <v>923</v>
      </c>
      <c r="F294" s="61">
        <v>40.0</v>
      </c>
      <c r="G294" s="62">
        <v>45385.0</v>
      </c>
      <c r="H294" s="44">
        <v>17.78</v>
      </c>
      <c r="I294" s="52">
        <f t="shared" si="49"/>
        <v>18</v>
      </c>
      <c r="J294" s="73">
        <f t="shared" si="50"/>
        <v>18.72</v>
      </c>
      <c r="K294" s="44">
        <v>15.0</v>
      </c>
      <c r="L294" s="46"/>
      <c r="M294" s="61" t="s">
        <v>24</v>
      </c>
      <c r="N294" s="61" t="s">
        <v>25</v>
      </c>
      <c r="O294" s="8"/>
      <c r="P294" s="73">
        <f t="shared" si="39"/>
        <v>6.28</v>
      </c>
      <c r="Q294" s="8"/>
      <c r="R294" s="36" t="s">
        <v>25</v>
      </c>
      <c r="S294" s="41" t="s">
        <v>924</v>
      </c>
      <c r="T294" s="41" t="s">
        <v>748</v>
      </c>
    </row>
    <row r="295" ht="15.75" customHeight="1">
      <c r="A295" s="8" t="s">
        <v>20</v>
      </c>
      <c r="B295" s="36" t="s">
        <v>203</v>
      </c>
      <c r="C295" s="42" t="s">
        <v>155</v>
      </c>
      <c r="D295" s="41">
        <v>1.0</v>
      </c>
      <c r="E295" s="41"/>
      <c r="F295" s="61">
        <v>220.0</v>
      </c>
      <c r="G295" s="62"/>
      <c r="H295" s="44"/>
      <c r="I295" s="52">
        <f t="shared" si="49"/>
        <v>0</v>
      </c>
      <c r="J295" s="73">
        <f t="shared" si="50"/>
        <v>0</v>
      </c>
      <c r="K295" s="44">
        <v>200.0</v>
      </c>
      <c r="L295" s="46"/>
      <c r="M295" s="61" t="s">
        <v>24</v>
      </c>
      <c r="N295" s="61" t="s">
        <v>25</v>
      </c>
      <c r="O295" s="8"/>
      <c r="P295" s="73">
        <f t="shared" si="39"/>
        <v>20</v>
      </c>
      <c r="Q295" s="8"/>
      <c r="R295" s="36" t="s">
        <v>25</v>
      </c>
      <c r="S295" s="41" t="s">
        <v>925</v>
      </c>
      <c r="T295" s="41" t="s">
        <v>748</v>
      </c>
    </row>
    <row r="296" ht="15.75" customHeight="1">
      <c r="A296" s="8" t="s">
        <v>20</v>
      </c>
      <c r="B296" s="36" t="s">
        <v>269</v>
      </c>
      <c r="C296" s="42" t="s">
        <v>926</v>
      </c>
      <c r="D296" s="41">
        <v>1.0</v>
      </c>
      <c r="E296" s="47" t="s">
        <v>927</v>
      </c>
      <c r="F296" s="61">
        <v>740.0</v>
      </c>
      <c r="G296" s="62">
        <v>45389.0</v>
      </c>
      <c r="H296" s="44">
        <v>416.8</v>
      </c>
      <c r="I296" s="52">
        <f t="shared" si="49"/>
        <v>421</v>
      </c>
      <c r="J296" s="73">
        <f t="shared" si="50"/>
        <v>437.84</v>
      </c>
      <c r="K296" s="44">
        <v>135.0</v>
      </c>
      <c r="L296" s="46"/>
      <c r="M296" s="61" t="s">
        <v>24</v>
      </c>
      <c r="N296" s="61" t="s">
        <v>25</v>
      </c>
      <c r="O296" s="8"/>
      <c r="P296" s="73">
        <f t="shared" si="39"/>
        <v>167.16</v>
      </c>
      <c r="Q296" s="8"/>
      <c r="R296" s="36" t="s">
        <v>25</v>
      </c>
      <c r="S296" s="41" t="s">
        <v>928</v>
      </c>
      <c r="T296" s="41"/>
    </row>
    <row r="297" ht="15.75" customHeight="1">
      <c r="A297" s="8" t="s">
        <v>20</v>
      </c>
      <c r="B297" s="36" t="s">
        <v>929</v>
      </c>
      <c r="C297" s="42" t="s">
        <v>930</v>
      </c>
      <c r="D297" s="41">
        <v>1.0</v>
      </c>
      <c r="E297" s="47" t="s">
        <v>931</v>
      </c>
      <c r="F297" s="61">
        <v>2140.0</v>
      </c>
      <c r="G297" s="62">
        <v>45389.0</v>
      </c>
      <c r="H297" s="44">
        <v>1247.72</v>
      </c>
      <c r="I297" s="52">
        <f t="shared" si="49"/>
        <v>1260</v>
      </c>
      <c r="J297" s="73">
        <f t="shared" si="50"/>
        <v>1310.4</v>
      </c>
      <c r="K297" s="44">
        <v>400.0</v>
      </c>
      <c r="L297" s="46"/>
      <c r="M297" s="61" t="s">
        <v>24</v>
      </c>
      <c r="N297" s="61" t="s">
        <v>25</v>
      </c>
      <c r="O297" s="8"/>
      <c r="P297" s="73">
        <f t="shared" si="39"/>
        <v>429.6</v>
      </c>
      <c r="Q297" s="8"/>
      <c r="R297" s="36" t="s">
        <v>25</v>
      </c>
      <c r="S297" s="41" t="s">
        <v>932</v>
      </c>
      <c r="T297" s="41"/>
    </row>
    <row r="298" ht="15.75" customHeight="1">
      <c r="A298" s="8" t="s">
        <v>20</v>
      </c>
      <c r="B298" s="36" t="s">
        <v>105</v>
      </c>
      <c r="C298" s="42" t="s">
        <v>933</v>
      </c>
      <c r="D298" s="41">
        <v>1.0</v>
      </c>
      <c r="E298" s="43" t="s">
        <v>934</v>
      </c>
      <c r="F298" s="61">
        <v>750.0</v>
      </c>
      <c r="G298" s="62">
        <v>45390.0</v>
      </c>
      <c r="H298" s="44">
        <v>213.99</v>
      </c>
      <c r="I298" s="52">
        <f t="shared" si="49"/>
        <v>216</v>
      </c>
      <c r="J298" s="44">
        <v>216.0</v>
      </c>
      <c r="K298" s="44">
        <v>400.0</v>
      </c>
      <c r="L298" s="46"/>
      <c r="M298" s="61" t="s">
        <v>24</v>
      </c>
      <c r="N298" s="61" t="s">
        <v>25</v>
      </c>
      <c r="O298" s="8"/>
      <c r="P298" s="73">
        <f t="shared" si="39"/>
        <v>134</v>
      </c>
      <c r="Q298" s="8"/>
      <c r="R298" s="36" t="s">
        <v>25</v>
      </c>
      <c r="S298" s="41" t="s">
        <v>935</v>
      </c>
      <c r="T298" s="41"/>
    </row>
    <row r="299" ht="15.75" customHeight="1">
      <c r="A299" s="8" t="s">
        <v>20</v>
      </c>
      <c r="B299" s="36" t="s">
        <v>105</v>
      </c>
      <c r="C299" s="42" t="s">
        <v>700</v>
      </c>
      <c r="D299" s="41">
        <v>1.0</v>
      </c>
      <c r="E299" s="43" t="s">
        <v>936</v>
      </c>
      <c r="F299" s="61">
        <v>90.0</v>
      </c>
      <c r="G299" s="62">
        <v>45391.0</v>
      </c>
      <c r="H299" s="44">
        <v>56.67</v>
      </c>
      <c r="I299" s="52">
        <f t="shared" si="49"/>
        <v>57</v>
      </c>
      <c r="J299" s="84">
        <v>57.0</v>
      </c>
      <c r="K299" s="44">
        <v>15.0</v>
      </c>
      <c r="L299" s="46"/>
      <c r="M299" s="61" t="s">
        <v>24</v>
      </c>
      <c r="N299" s="61" t="s">
        <v>25</v>
      </c>
      <c r="O299" s="8"/>
      <c r="P299" s="73">
        <f t="shared" si="39"/>
        <v>18</v>
      </c>
      <c r="Q299" s="8"/>
      <c r="R299" s="36" t="s">
        <v>25</v>
      </c>
      <c r="S299" s="41" t="s">
        <v>937</v>
      </c>
      <c r="T299" s="41" t="s">
        <v>748</v>
      </c>
    </row>
    <row r="300" ht="15.75" customHeight="1">
      <c r="A300" s="8" t="s">
        <v>20</v>
      </c>
      <c r="B300" s="36" t="s">
        <v>37</v>
      </c>
      <c r="C300" s="42" t="s">
        <v>938</v>
      </c>
      <c r="D300" s="41">
        <v>1.0</v>
      </c>
      <c r="E300" s="43" t="s">
        <v>939</v>
      </c>
      <c r="F300" s="61">
        <v>0.0</v>
      </c>
      <c r="G300" s="62">
        <v>45391.0</v>
      </c>
      <c r="H300" s="44">
        <v>0.0</v>
      </c>
      <c r="I300" s="52">
        <f t="shared" si="49"/>
        <v>0</v>
      </c>
      <c r="J300" s="73">
        <f t="shared" ref="J300:J305" si="51">I300+(I300*0.04)</f>
        <v>0</v>
      </c>
      <c r="K300" s="44">
        <v>45.0</v>
      </c>
      <c r="L300" s="46"/>
      <c r="M300" s="61" t="s">
        <v>24</v>
      </c>
      <c r="N300" s="61" t="s">
        <v>25</v>
      </c>
      <c r="O300" s="8"/>
      <c r="P300" s="73">
        <f t="shared" si="39"/>
        <v>-45</v>
      </c>
      <c r="Q300" s="8"/>
      <c r="R300" s="36" t="s">
        <v>25</v>
      </c>
      <c r="S300" s="41" t="s">
        <v>940</v>
      </c>
      <c r="T300" s="41"/>
    </row>
    <row r="301" ht="15.75" customHeight="1">
      <c r="A301" s="8" t="s">
        <v>20</v>
      </c>
      <c r="B301" s="36" t="s">
        <v>105</v>
      </c>
      <c r="C301" s="42" t="s">
        <v>941</v>
      </c>
      <c r="D301" s="41">
        <v>1.0</v>
      </c>
      <c r="E301" s="43" t="s">
        <v>942</v>
      </c>
      <c r="F301" s="61">
        <v>300.0</v>
      </c>
      <c r="G301" s="62">
        <v>45391.0</v>
      </c>
      <c r="H301" s="44">
        <v>169.62</v>
      </c>
      <c r="I301" s="52">
        <f t="shared" si="49"/>
        <v>171</v>
      </c>
      <c r="J301" s="73">
        <f t="shared" si="51"/>
        <v>177.84</v>
      </c>
      <c r="K301" s="44">
        <v>100.0</v>
      </c>
      <c r="L301" s="46"/>
      <c r="M301" s="61" t="s">
        <v>24</v>
      </c>
      <c r="N301" s="61" t="s">
        <v>25</v>
      </c>
      <c r="O301" s="8"/>
      <c r="P301" s="73">
        <f t="shared" si="39"/>
        <v>22.16</v>
      </c>
      <c r="Q301" s="8"/>
      <c r="R301" s="36" t="s">
        <v>25</v>
      </c>
      <c r="S301" s="47" t="s">
        <v>943</v>
      </c>
      <c r="T301" s="41"/>
    </row>
    <row r="302" ht="15.75" customHeight="1">
      <c r="A302" s="8" t="s">
        <v>20</v>
      </c>
      <c r="B302" s="36" t="s">
        <v>105</v>
      </c>
      <c r="C302" s="42" t="s">
        <v>944</v>
      </c>
      <c r="D302" s="41">
        <v>1.0</v>
      </c>
      <c r="E302" s="43" t="s">
        <v>945</v>
      </c>
      <c r="F302" s="61">
        <v>120.0</v>
      </c>
      <c r="G302" s="62">
        <v>45391.0</v>
      </c>
      <c r="H302" s="44">
        <v>95.05</v>
      </c>
      <c r="I302" s="52">
        <f t="shared" si="49"/>
        <v>96</v>
      </c>
      <c r="J302" s="73">
        <f t="shared" si="51"/>
        <v>99.84</v>
      </c>
      <c r="K302" s="44">
        <v>0.0</v>
      </c>
      <c r="L302" s="46"/>
      <c r="M302" s="61" t="s">
        <v>24</v>
      </c>
      <c r="N302" s="61" t="s">
        <v>25</v>
      </c>
      <c r="O302" s="8"/>
      <c r="P302" s="73">
        <f t="shared" si="39"/>
        <v>20.16</v>
      </c>
      <c r="Q302" s="8"/>
      <c r="R302" s="36" t="s">
        <v>25</v>
      </c>
      <c r="S302" s="47" t="s">
        <v>946</v>
      </c>
      <c r="T302" s="41"/>
    </row>
    <row r="303" ht="15.75" customHeight="1">
      <c r="A303" s="8" t="s">
        <v>20</v>
      </c>
      <c r="B303" s="36" t="s">
        <v>37</v>
      </c>
      <c r="C303" s="42" t="s">
        <v>947</v>
      </c>
      <c r="D303" s="41">
        <v>1.0</v>
      </c>
      <c r="E303" s="43" t="s">
        <v>948</v>
      </c>
      <c r="F303" s="61">
        <v>0.0</v>
      </c>
      <c r="G303" s="62">
        <v>45391.0</v>
      </c>
      <c r="H303" s="44">
        <v>64.2</v>
      </c>
      <c r="I303" s="52">
        <f t="shared" si="49"/>
        <v>65</v>
      </c>
      <c r="J303" s="73">
        <f t="shared" si="51"/>
        <v>67.6</v>
      </c>
      <c r="K303" s="44">
        <v>150.0</v>
      </c>
      <c r="L303" s="46"/>
      <c r="M303" s="61" t="s">
        <v>24</v>
      </c>
      <c r="N303" s="61" t="s">
        <v>25</v>
      </c>
      <c r="O303" s="8"/>
      <c r="P303" s="73">
        <f t="shared" si="39"/>
        <v>-217.6</v>
      </c>
      <c r="Q303" s="8"/>
      <c r="R303" s="36" t="s">
        <v>25</v>
      </c>
      <c r="S303" s="41" t="s">
        <v>949</v>
      </c>
      <c r="T303" s="41" t="s">
        <v>950</v>
      </c>
    </row>
    <row r="304" ht="15.75" customHeight="1">
      <c r="A304" s="8" t="s">
        <v>20</v>
      </c>
      <c r="B304" s="36" t="s">
        <v>105</v>
      </c>
      <c r="C304" s="42" t="s">
        <v>951</v>
      </c>
      <c r="D304" s="41">
        <v>2.0</v>
      </c>
      <c r="E304" s="43" t="s">
        <v>952</v>
      </c>
      <c r="F304" s="61">
        <v>150.0</v>
      </c>
      <c r="G304" s="62">
        <v>45392.0</v>
      </c>
      <c r="H304" s="44">
        <v>74.04</v>
      </c>
      <c r="I304" s="52">
        <f t="shared" si="49"/>
        <v>75</v>
      </c>
      <c r="J304" s="73">
        <f t="shared" si="51"/>
        <v>78</v>
      </c>
      <c r="K304" s="44">
        <v>50.0</v>
      </c>
      <c r="L304" s="46"/>
      <c r="M304" s="61" t="s">
        <v>24</v>
      </c>
      <c r="N304" s="61" t="s">
        <v>25</v>
      </c>
      <c r="O304" s="8"/>
      <c r="P304" s="73">
        <f t="shared" si="39"/>
        <v>22</v>
      </c>
      <c r="Q304" s="8"/>
      <c r="R304" s="36" t="s">
        <v>25</v>
      </c>
      <c r="S304" s="41" t="s">
        <v>953</v>
      </c>
      <c r="T304" s="41"/>
    </row>
    <row r="305" ht="15.75" customHeight="1">
      <c r="A305" s="8" t="s">
        <v>20</v>
      </c>
      <c r="B305" s="36" t="s">
        <v>179</v>
      </c>
      <c r="C305" s="42" t="s">
        <v>954</v>
      </c>
      <c r="D305" s="41">
        <v>1.0</v>
      </c>
      <c r="E305" s="43" t="s">
        <v>955</v>
      </c>
      <c r="F305" s="61">
        <v>130.0</v>
      </c>
      <c r="G305" s="62">
        <v>45392.0</v>
      </c>
      <c r="H305" s="44">
        <v>81.31</v>
      </c>
      <c r="I305" s="52">
        <f t="shared" si="49"/>
        <v>82</v>
      </c>
      <c r="J305" s="73">
        <f t="shared" si="51"/>
        <v>85.28</v>
      </c>
      <c r="K305" s="44">
        <v>15.0</v>
      </c>
      <c r="L305" s="46"/>
      <c r="M305" s="61" t="s">
        <v>24</v>
      </c>
      <c r="N305" s="61" t="s">
        <v>25</v>
      </c>
      <c r="O305" s="8"/>
      <c r="P305" s="73">
        <f t="shared" si="39"/>
        <v>29.72</v>
      </c>
      <c r="Q305" s="8"/>
      <c r="R305" s="36" t="s">
        <v>25</v>
      </c>
      <c r="S305" s="41" t="s">
        <v>956</v>
      </c>
      <c r="T305" s="41"/>
    </row>
    <row r="306" ht="15.75" customHeight="1">
      <c r="A306" s="8" t="s">
        <v>20</v>
      </c>
      <c r="B306" s="36" t="s">
        <v>957</v>
      </c>
      <c r="C306" s="42" t="s">
        <v>958</v>
      </c>
      <c r="D306" s="41">
        <v>10.0</v>
      </c>
      <c r="E306" s="47" t="s">
        <v>959</v>
      </c>
      <c r="F306" s="61">
        <v>0.0</v>
      </c>
      <c r="G306" s="62">
        <v>45393.0</v>
      </c>
      <c r="H306" s="44">
        <v>18.62</v>
      </c>
      <c r="I306" s="44">
        <v>18.62</v>
      </c>
      <c r="J306" s="44">
        <v>18.62</v>
      </c>
      <c r="K306" s="44">
        <v>0.0</v>
      </c>
      <c r="L306" s="46"/>
      <c r="M306" s="61" t="s">
        <v>24</v>
      </c>
      <c r="N306" s="61" t="s">
        <v>25</v>
      </c>
      <c r="O306" s="8" t="s">
        <v>867</v>
      </c>
      <c r="P306" s="73">
        <f t="shared" si="39"/>
        <v>-18.62</v>
      </c>
      <c r="Q306" s="8"/>
      <c r="R306" s="36" t="s">
        <v>25</v>
      </c>
      <c r="S306" s="47" t="s">
        <v>960</v>
      </c>
      <c r="T306" s="41"/>
    </row>
    <row r="307" ht="15.75" customHeight="1">
      <c r="A307" s="8" t="s">
        <v>20</v>
      </c>
      <c r="B307" s="36" t="s">
        <v>67</v>
      </c>
      <c r="C307" s="42" t="s">
        <v>961</v>
      </c>
      <c r="D307" s="41">
        <v>1.0</v>
      </c>
      <c r="E307" s="43" t="s">
        <v>962</v>
      </c>
      <c r="F307" s="61">
        <v>155.0</v>
      </c>
      <c r="G307" s="62">
        <v>45372.0</v>
      </c>
      <c r="H307" s="44">
        <v>68.47</v>
      </c>
      <c r="I307" s="52">
        <f t="shared" ref="I307:I314" si="52">ROUND(H307+H307*0.01,0)</f>
        <v>69</v>
      </c>
      <c r="J307" s="73">
        <f t="shared" ref="J307:J314" si="53">I307+(I307*0.04)</f>
        <v>71.76</v>
      </c>
      <c r="K307" s="44">
        <v>18.0</v>
      </c>
      <c r="L307" s="46"/>
      <c r="M307" s="61" t="s">
        <v>24</v>
      </c>
      <c r="N307" s="61" t="s">
        <v>25</v>
      </c>
      <c r="O307" s="8"/>
      <c r="P307" s="73">
        <f t="shared" si="39"/>
        <v>65.24</v>
      </c>
      <c r="Q307" s="8"/>
      <c r="R307" s="36" t="s">
        <v>25</v>
      </c>
      <c r="S307" s="41"/>
      <c r="T307" s="41"/>
    </row>
    <row r="308" ht="15.75" customHeight="1">
      <c r="A308" s="8" t="s">
        <v>20</v>
      </c>
      <c r="B308" s="36" t="s">
        <v>179</v>
      </c>
      <c r="C308" s="42" t="s">
        <v>963</v>
      </c>
      <c r="D308" s="41">
        <v>1.0</v>
      </c>
      <c r="E308" s="43" t="s">
        <v>964</v>
      </c>
      <c r="F308" s="61">
        <v>1240.0</v>
      </c>
      <c r="G308" s="62">
        <v>45397.0</v>
      </c>
      <c r="H308" s="44">
        <v>850.62</v>
      </c>
      <c r="I308" s="52">
        <f t="shared" si="52"/>
        <v>859</v>
      </c>
      <c r="J308" s="73">
        <f t="shared" si="53"/>
        <v>893.36</v>
      </c>
      <c r="K308" s="44">
        <v>90.0</v>
      </c>
      <c r="L308" s="46"/>
      <c r="M308" s="61" t="s">
        <v>24</v>
      </c>
      <c r="N308" s="61" t="s">
        <v>25</v>
      </c>
      <c r="O308" s="8"/>
      <c r="P308" s="73">
        <f t="shared" si="39"/>
        <v>256.64</v>
      </c>
      <c r="Q308" s="8"/>
      <c r="R308" s="36" t="s">
        <v>25</v>
      </c>
      <c r="S308" s="41" t="s">
        <v>965</v>
      </c>
      <c r="T308" s="41"/>
    </row>
    <row r="309" ht="15.75" customHeight="1">
      <c r="A309" s="8" t="s">
        <v>20</v>
      </c>
      <c r="B309" s="36" t="s">
        <v>841</v>
      </c>
      <c r="C309" s="42" t="s">
        <v>966</v>
      </c>
      <c r="D309" s="41">
        <v>1.0</v>
      </c>
      <c r="E309" s="41"/>
      <c r="F309" s="61">
        <v>35.0</v>
      </c>
      <c r="G309" s="62"/>
      <c r="H309" s="44">
        <v>0.0</v>
      </c>
      <c r="I309" s="52">
        <f t="shared" si="52"/>
        <v>0</v>
      </c>
      <c r="J309" s="73">
        <f t="shared" si="53"/>
        <v>0</v>
      </c>
      <c r="K309" s="44">
        <v>25.0</v>
      </c>
      <c r="L309" s="46"/>
      <c r="M309" s="61" t="s">
        <v>24</v>
      </c>
      <c r="N309" s="61" t="s">
        <v>25</v>
      </c>
      <c r="O309" s="8"/>
      <c r="P309" s="73">
        <f t="shared" si="39"/>
        <v>10</v>
      </c>
      <c r="Q309" s="8"/>
      <c r="R309" s="36" t="s">
        <v>25</v>
      </c>
      <c r="S309" s="41" t="s">
        <v>967</v>
      </c>
      <c r="T309" s="41"/>
    </row>
    <row r="310" ht="15.75" customHeight="1">
      <c r="A310" s="8" t="s">
        <v>20</v>
      </c>
      <c r="B310" s="36" t="s">
        <v>657</v>
      </c>
      <c r="C310" s="42" t="s">
        <v>968</v>
      </c>
      <c r="D310" s="41">
        <v>11.0</v>
      </c>
      <c r="E310" s="43" t="s">
        <v>969</v>
      </c>
      <c r="F310" s="61">
        <v>390.0</v>
      </c>
      <c r="G310" s="62">
        <v>45398.0</v>
      </c>
      <c r="H310" s="44">
        <v>261.0</v>
      </c>
      <c r="I310" s="52">
        <f t="shared" si="52"/>
        <v>264</v>
      </c>
      <c r="J310" s="73">
        <f t="shared" si="53"/>
        <v>274.56</v>
      </c>
      <c r="K310" s="44">
        <v>50.0</v>
      </c>
      <c r="L310" s="46"/>
      <c r="M310" s="61" t="s">
        <v>24</v>
      </c>
      <c r="N310" s="61" t="s">
        <v>25</v>
      </c>
      <c r="O310" s="8"/>
      <c r="P310" s="73">
        <f t="shared" si="39"/>
        <v>65.44</v>
      </c>
      <c r="Q310" s="8"/>
      <c r="R310" s="36" t="s">
        <v>25</v>
      </c>
      <c r="S310" s="41" t="s">
        <v>970</v>
      </c>
      <c r="T310" s="41"/>
    </row>
    <row r="311" ht="15.75" customHeight="1">
      <c r="A311" s="8" t="s">
        <v>20</v>
      </c>
      <c r="B311" s="36" t="s">
        <v>657</v>
      </c>
      <c r="C311" s="42" t="s">
        <v>971</v>
      </c>
      <c r="D311" s="41">
        <v>1.0</v>
      </c>
      <c r="E311" s="43" t="s">
        <v>972</v>
      </c>
      <c r="F311" s="61">
        <v>285.0</v>
      </c>
      <c r="G311" s="62">
        <v>45398.0</v>
      </c>
      <c r="H311" s="44">
        <v>120.91</v>
      </c>
      <c r="I311" s="52">
        <f t="shared" si="52"/>
        <v>122</v>
      </c>
      <c r="J311" s="73">
        <f t="shared" si="53"/>
        <v>126.88</v>
      </c>
      <c r="K311" s="44">
        <v>100.0</v>
      </c>
      <c r="L311" s="46"/>
      <c r="M311" s="61" t="s">
        <v>24</v>
      </c>
      <c r="N311" s="61" t="s">
        <v>25</v>
      </c>
      <c r="O311" s="8"/>
      <c r="P311" s="73">
        <f t="shared" si="39"/>
        <v>58.12</v>
      </c>
      <c r="Q311" s="8"/>
      <c r="R311" s="36" t="s">
        <v>25</v>
      </c>
      <c r="S311" s="41" t="s">
        <v>973</v>
      </c>
      <c r="T311" s="41"/>
    </row>
    <row r="312" ht="15.75" customHeight="1">
      <c r="A312" s="8" t="s">
        <v>20</v>
      </c>
      <c r="B312" s="36" t="s">
        <v>657</v>
      </c>
      <c r="C312" s="42" t="s">
        <v>974</v>
      </c>
      <c r="D312" s="41">
        <v>1.0</v>
      </c>
      <c r="E312" s="43" t="s">
        <v>975</v>
      </c>
      <c r="F312" s="61">
        <v>135.0</v>
      </c>
      <c r="G312" s="62">
        <v>45398.0</v>
      </c>
      <c r="H312" s="44">
        <v>50.29</v>
      </c>
      <c r="I312" s="52">
        <f t="shared" si="52"/>
        <v>51</v>
      </c>
      <c r="J312" s="73">
        <f t="shared" si="53"/>
        <v>53.04</v>
      </c>
      <c r="K312" s="44">
        <v>45.0</v>
      </c>
      <c r="L312" s="46"/>
      <c r="M312" s="61" t="s">
        <v>24</v>
      </c>
      <c r="N312" s="61" t="s">
        <v>25</v>
      </c>
      <c r="O312" s="8"/>
      <c r="P312" s="73">
        <f t="shared" si="39"/>
        <v>36.96</v>
      </c>
      <c r="Q312" s="8"/>
      <c r="R312" s="36" t="s">
        <v>25</v>
      </c>
      <c r="S312" s="41" t="s">
        <v>976</v>
      </c>
      <c r="T312" s="41"/>
    </row>
    <row r="313" ht="15.75" customHeight="1">
      <c r="A313" s="8" t="s">
        <v>20</v>
      </c>
      <c r="B313" s="36" t="s">
        <v>657</v>
      </c>
      <c r="C313" s="42" t="s">
        <v>977</v>
      </c>
      <c r="D313" s="41">
        <v>5.0</v>
      </c>
      <c r="E313" s="43" t="s">
        <v>978</v>
      </c>
      <c r="F313" s="61">
        <v>120.0</v>
      </c>
      <c r="G313" s="62">
        <v>45398.0</v>
      </c>
      <c r="H313" s="44">
        <v>73.03</v>
      </c>
      <c r="I313" s="52">
        <f t="shared" si="52"/>
        <v>74</v>
      </c>
      <c r="J313" s="73">
        <f t="shared" si="53"/>
        <v>76.96</v>
      </c>
      <c r="K313" s="44">
        <v>25.0</v>
      </c>
      <c r="L313" s="46"/>
      <c r="M313" s="61" t="s">
        <v>24</v>
      </c>
      <c r="N313" s="61" t="s">
        <v>25</v>
      </c>
      <c r="O313" s="8"/>
      <c r="P313" s="73">
        <f t="shared" si="39"/>
        <v>18.04</v>
      </c>
      <c r="Q313" s="8"/>
      <c r="R313" s="36" t="s">
        <v>25</v>
      </c>
      <c r="S313" s="47" t="s">
        <v>979</v>
      </c>
      <c r="T313" s="41"/>
    </row>
    <row r="314" ht="15.75" customHeight="1">
      <c r="A314" s="8" t="s">
        <v>20</v>
      </c>
      <c r="B314" s="36" t="s">
        <v>657</v>
      </c>
      <c r="C314" s="42" t="s">
        <v>980</v>
      </c>
      <c r="D314" s="41">
        <v>20.0</v>
      </c>
      <c r="E314" s="47" t="s">
        <v>981</v>
      </c>
      <c r="F314" s="61">
        <v>440.0</v>
      </c>
      <c r="G314" s="62">
        <v>45398.0</v>
      </c>
      <c r="H314" s="44">
        <v>306.77</v>
      </c>
      <c r="I314" s="52">
        <f t="shared" si="52"/>
        <v>310</v>
      </c>
      <c r="J314" s="73">
        <f t="shared" si="53"/>
        <v>322.4</v>
      </c>
      <c r="K314" s="44">
        <v>45.0</v>
      </c>
      <c r="L314" s="46"/>
      <c r="M314" s="61" t="s">
        <v>24</v>
      </c>
      <c r="N314" s="61" t="s">
        <v>25</v>
      </c>
      <c r="O314" s="8"/>
      <c r="P314" s="73">
        <f t="shared" si="39"/>
        <v>72.6</v>
      </c>
      <c r="Q314" s="8"/>
      <c r="R314" s="36" t="s">
        <v>25</v>
      </c>
      <c r="S314" s="47" t="s">
        <v>982</v>
      </c>
      <c r="T314" s="41"/>
    </row>
    <row r="315" ht="15.75" customHeight="1">
      <c r="A315" s="8" t="s">
        <v>20</v>
      </c>
      <c r="B315" s="36" t="s">
        <v>957</v>
      </c>
      <c r="C315" s="42" t="s">
        <v>983</v>
      </c>
      <c r="D315" s="41">
        <v>6.0</v>
      </c>
      <c r="E315" s="43" t="s">
        <v>984</v>
      </c>
      <c r="F315" s="61">
        <v>0.0</v>
      </c>
      <c r="G315" s="62">
        <v>45399.0</v>
      </c>
      <c r="H315" s="44">
        <v>169.0</v>
      </c>
      <c r="I315" s="44">
        <v>169.0</v>
      </c>
      <c r="J315" s="84">
        <v>169.0</v>
      </c>
      <c r="K315" s="44">
        <v>135.0</v>
      </c>
      <c r="L315" s="46"/>
      <c r="M315" s="61" t="s">
        <v>24</v>
      </c>
      <c r="N315" s="61" t="s">
        <v>25</v>
      </c>
      <c r="O315" s="8" t="s">
        <v>867</v>
      </c>
      <c r="P315" s="73">
        <f t="shared" si="39"/>
        <v>-304</v>
      </c>
      <c r="Q315" s="8"/>
      <c r="R315" s="36" t="s">
        <v>25</v>
      </c>
      <c r="S315" s="47" t="s">
        <v>985</v>
      </c>
      <c r="T315" s="41"/>
    </row>
    <row r="316" ht="15.75" customHeight="1">
      <c r="A316" s="8" t="s">
        <v>20</v>
      </c>
      <c r="B316" s="36" t="s">
        <v>67</v>
      </c>
      <c r="C316" s="42" t="s">
        <v>986</v>
      </c>
      <c r="D316" s="41">
        <v>2.0</v>
      </c>
      <c r="E316" s="97" t="s">
        <v>987</v>
      </c>
      <c r="F316" s="98">
        <v>480.0</v>
      </c>
      <c r="G316" s="99">
        <v>45411.0</v>
      </c>
      <c r="H316" s="87">
        <v>294.0</v>
      </c>
      <c r="I316" s="100">
        <f t="shared" ref="I316:I319" si="54">ROUND(H316+H316*0.01,0)</f>
        <v>297</v>
      </c>
      <c r="J316" s="101">
        <f t="shared" ref="J316:J319" si="55">I316+(I316*0.04)</f>
        <v>308.88</v>
      </c>
      <c r="K316" s="87">
        <v>90.0</v>
      </c>
      <c r="L316" s="88"/>
      <c r="M316" s="61" t="s">
        <v>24</v>
      </c>
      <c r="N316" s="61" t="s">
        <v>25</v>
      </c>
      <c r="O316" s="8" t="s">
        <v>867</v>
      </c>
      <c r="P316" s="73">
        <f t="shared" si="39"/>
        <v>81.12</v>
      </c>
      <c r="Q316" s="8"/>
      <c r="R316" s="36" t="s">
        <v>25</v>
      </c>
      <c r="S316" s="41" t="s">
        <v>988</v>
      </c>
      <c r="T316" s="41"/>
    </row>
    <row r="317" ht="15.75" customHeight="1">
      <c r="A317" s="8" t="s">
        <v>20</v>
      </c>
      <c r="B317" s="36" t="s">
        <v>67</v>
      </c>
      <c r="C317" s="42" t="s">
        <v>989</v>
      </c>
      <c r="D317" s="41">
        <v>1.0</v>
      </c>
      <c r="E317" s="47" t="s">
        <v>990</v>
      </c>
      <c r="F317" s="61">
        <v>300.0</v>
      </c>
      <c r="G317" s="62">
        <v>45411.0</v>
      </c>
      <c r="H317" s="44">
        <v>148.84</v>
      </c>
      <c r="I317" s="52">
        <f t="shared" si="54"/>
        <v>150</v>
      </c>
      <c r="J317" s="73">
        <f t="shared" si="55"/>
        <v>156</v>
      </c>
      <c r="K317" s="44">
        <v>15.0</v>
      </c>
      <c r="L317" s="32" t="s">
        <v>991</v>
      </c>
      <c r="M317" s="61" t="s">
        <v>24</v>
      </c>
      <c r="N317" s="61" t="s">
        <v>25</v>
      </c>
      <c r="O317" s="8" t="s">
        <v>867</v>
      </c>
      <c r="P317" s="73">
        <f t="shared" si="39"/>
        <v>129</v>
      </c>
      <c r="Q317" s="8"/>
      <c r="R317" s="36" t="s">
        <v>25</v>
      </c>
      <c r="S317" s="41" t="s">
        <v>992</v>
      </c>
      <c r="T317" s="41"/>
    </row>
    <row r="318" ht="15.75" customHeight="1">
      <c r="A318" s="8" t="s">
        <v>20</v>
      </c>
      <c r="B318" s="36" t="s">
        <v>993</v>
      </c>
      <c r="C318" s="42" t="s">
        <v>994</v>
      </c>
      <c r="E318" s="43" t="s">
        <v>995</v>
      </c>
      <c r="F318" s="61">
        <v>1190.0</v>
      </c>
      <c r="G318" s="62">
        <v>45404.0</v>
      </c>
      <c r="H318" s="44">
        <v>752.93</v>
      </c>
      <c r="I318" s="52">
        <f t="shared" si="54"/>
        <v>760</v>
      </c>
      <c r="J318" s="73">
        <f t="shared" si="55"/>
        <v>790.4</v>
      </c>
      <c r="K318" s="44">
        <v>180.0</v>
      </c>
      <c r="L318" s="46"/>
      <c r="M318" s="61" t="s">
        <v>24</v>
      </c>
      <c r="N318" s="61" t="s">
        <v>25</v>
      </c>
      <c r="O318" s="8"/>
      <c r="P318" s="73">
        <f t="shared" si="39"/>
        <v>219.6</v>
      </c>
      <c r="Q318" s="8"/>
      <c r="R318" s="36" t="s">
        <v>25</v>
      </c>
      <c r="S318" s="41" t="s">
        <v>996</v>
      </c>
      <c r="T318" s="41"/>
    </row>
    <row r="319" ht="15.75" customHeight="1">
      <c r="A319" s="8" t="s">
        <v>20</v>
      </c>
      <c r="B319" s="36" t="s">
        <v>997</v>
      </c>
      <c r="C319" s="42" t="s">
        <v>998</v>
      </c>
      <c r="D319" s="41">
        <v>1.0</v>
      </c>
      <c r="E319" s="43" t="s">
        <v>999</v>
      </c>
      <c r="F319" s="61">
        <v>160.0</v>
      </c>
      <c r="G319" s="62">
        <v>45404.0</v>
      </c>
      <c r="H319" s="44">
        <v>74.9</v>
      </c>
      <c r="I319" s="52">
        <f t="shared" si="54"/>
        <v>76</v>
      </c>
      <c r="J319" s="73">
        <f t="shared" si="55"/>
        <v>79.04</v>
      </c>
      <c r="K319" s="44">
        <v>12.0</v>
      </c>
      <c r="L319" s="46"/>
      <c r="M319" s="61" t="s">
        <v>24</v>
      </c>
      <c r="N319" s="61" t="s">
        <v>25</v>
      </c>
      <c r="O319" s="8"/>
      <c r="P319" s="73">
        <f t="shared" si="39"/>
        <v>68.96</v>
      </c>
      <c r="Q319" s="8"/>
      <c r="R319" s="36" t="s">
        <v>25</v>
      </c>
      <c r="S319" s="41" t="s">
        <v>1000</v>
      </c>
      <c r="T319" s="41"/>
    </row>
    <row r="320" ht="15.75" customHeight="1">
      <c r="A320" s="8" t="s">
        <v>20</v>
      </c>
      <c r="B320" s="36" t="s">
        <v>1001</v>
      </c>
      <c r="C320" s="42" t="s">
        <v>1002</v>
      </c>
      <c r="D320" s="41">
        <v>5.0</v>
      </c>
      <c r="E320" s="43" t="s">
        <v>1003</v>
      </c>
      <c r="F320" s="61">
        <v>0.0</v>
      </c>
      <c r="G320" s="62">
        <v>45404.0</v>
      </c>
      <c r="H320" s="44">
        <v>205.83</v>
      </c>
      <c r="I320" s="44">
        <v>205.83</v>
      </c>
      <c r="J320" s="44">
        <v>205.83</v>
      </c>
      <c r="K320" s="44">
        <v>0.0</v>
      </c>
      <c r="L320" s="46"/>
      <c r="M320" s="61" t="s">
        <v>24</v>
      </c>
      <c r="N320" s="61" t="s">
        <v>25</v>
      </c>
      <c r="O320" s="8" t="s">
        <v>1004</v>
      </c>
      <c r="P320" s="73">
        <f t="shared" si="39"/>
        <v>-205.83</v>
      </c>
      <c r="Q320" s="8"/>
      <c r="R320" s="36" t="s">
        <v>25</v>
      </c>
      <c r="S320" s="41" t="s">
        <v>1005</v>
      </c>
      <c r="T320" s="41"/>
    </row>
    <row r="321" ht="15.75" customHeight="1">
      <c r="A321" s="8" t="s">
        <v>20</v>
      </c>
      <c r="B321" s="36" t="s">
        <v>37</v>
      </c>
      <c r="C321" s="42" t="s">
        <v>1006</v>
      </c>
      <c r="D321" s="41">
        <v>1.0</v>
      </c>
      <c r="E321" s="41"/>
      <c r="F321" s="61"/>
      <c r="G321" s="62"/>
      <c r="H321" s="44"/>
      <c r="I321" s="52">
        <f t="shared" ref="I321:I348" si="56">ROUND(H321+H321*0.01,0)</f>
        <v>0</v>
      </c>
      <c r="J321" s="73">
        <f t="shared" ref="J321:J325" si="57">I321+(I321*0.04)</f>
        <v>0</v>
      </c>
      <c r="K321" s="44">
        <v>22.0</v>
      </c>
      <c r="L321" s="46"/>
      <c r="M321" s="61" t="s">
        <v>24</v>
      </c>
      <c r="N321" s="61" t="s">
        <v>25</v>
      </c>
      <c r="O321" s="8"/>
      <c r="P321" s="73">
        <f t="shared" si="39"/>
        <v>-22</v>
      </c>
      <c r="Q321" s="8"/>
      <c r="R321" s="36" t="s">
        <v>25</v>
      </c>
      <c r="S321" s="41" t="s">
        <v>1007</v>
      </c>
      <c r="T321" s="41"/>
    </row>
    <row r="322" ht="15.75" customHeight="1">
      <c r="A322" s="8" t="s">
        <v>20</v>
      </c>
      <c r="B322" s="36" t="s">
        <v>1008</v>
      </c>
      <c r="C322" s="42" t="s">
        <v>1009</v>
      </c>
      <c r="D322" s="41">
        <v>1.0</v>
      </c>
      <c r="E322" s="43" t="s">
        <v>1010</v>
      </c>
      <c r="F322" s="61">
        <v>300.0</v>
      </c>
      <c r="G322" s="62">
        <v>45407.0</v>
      </c>
      <c r="H322" s="44">
        <v>124.1</v>
      </c>
      <c r="I322" s="52">
        <f t="shared" si="56"/>
        <v>125</v>
      </c>
      <c r="J322" s="73">
        <f t="shared" si="57"/>
        <v>130</v>
      </c>
      <c r="K322" s="44">
        <v>100.0</v>
      </c>
      <c r="L322" s="46"/>
      <c r="M322" s="61" t="s">
        <v>24</v>
      </c>
      <c r="N322" s="61" t="s">
        <v>25</v>
      </c>
      <c r="O322" s="8"/>
      <c r="P322" s="73">
        <f t="shared" si="39"/>
        <v>70</v>
      </c>
      <c r="Q322" s="8"/>
      <c r="R322" s="36" t="s">
        <v>25</v>
      </c>
      <c r="S322" s="41" t="s">
        <v>1011</v>
      </c>
      <c r="T322" s="41"/>
    </row>
    <row r="323" ht="15.75" customHeight="1">
      <c r="A323" s="8" t="s">
        <v>20</v>
      </c>
      <c r="B323" s="36" t="s">
        <v>179</v>
      </c>
      <c r="C323" s="42" t="s">
        <v>341</v>
      </c>
      <c r="D323" s="41">
        <v>1.0</v>
      </c>
      <c r="E323" s="43" t="s">
        <v>1012</v>
      </c>
      <c r="F323" s="61">
        <v>125.0</v>
      </c>
      <c r="G323" s="62">
        <v>45411.0</v>
      </c>
      <c r="H323" s="44">
        <v>72.75</v>
      </c>
      <c r="I323" s="52">
        <f t="shared" si="56"/>
        <v>73</v>
      </c>
      <c r="J323" s="73">
        <f t="shared" si="57"/>
        <v>75.92</v>
      </c>
      <c r="K323" s="44">
        <v>0.0</v>
      </c>
      <c r="L323" s="46"/>
      <c r="M323" s="61" t="s">
        <v>24</v>
      </c>
      <c r="N323" s="61" t="s">
        <v>25</v>
      </c>
      <c r="O323" s="8"/>
      <c r="P323" s="73">
        <f t="shared" si="39"/>
        <v>49.08</v>
      </c>
      <c r="Q323" s="8"/>
      <c r="R323" s="36" t="s">
        <v>25</v>
      </c>
      <c r="S323" s="41" t="s">
        <v>1013</v>
      </c>
      <c r="T323" s="41"/>
    </row>
    <row r="324" ht="15.75" customHeight="1">
      <c r="A324" s="8" t="s">
        <v>20</v>
      </c>
      <c r="B324" s="36" t="s">
        <v>905</v>
      </c>
      <c r="C324" s="42" t="s">
        <v>1014</v>
      </c>
      <c r="D324" s="41">
        <v>1.0</v>
      </c>
      <c r="E324" s="43" t="s">
        <v>1015</v>
      </c>
      <c r="F324" s="61">
        <v>1630.0</v>
      </c>
      <c r="G324" s="62">
        <v>45411.0</v>
      </c>
      <c r="H324" s="44">
        <v>1067.28</v>
      </c>
      <c r="I324" s="52">
        <f t="shared" si="56"/>
        <v>1078</v>
      </c>
      <c r="J324" s="73">
        <f t="shared" si="57"/>
        <v>1121.12</v>
      </c>
      <c r="K324" s="44">
        <v>225.0</v>
      </c>
      <c r="L324" s="46"/>
      <c r="M324" s="61" t="s">
        <v>24</v>
      </c>
      <c r="N324" s="61" t="s">
        <v>25</v>
      </c>
      <c r="O324" s="8"/>
      <c r="P324" s="73">
        <f t="shared" si="39"/>
        <v>283.88</v>
      </c>
      <c r="Q324" s="8"/>
      <c r="R324" s="36" t="s">
        <v>25</v>
      </c>
      <c r="S324" s="41" t="s">
        <v>1016</v>
      </c>
      <c r="T324" s="41"/>
    </row>
    <row r="325" ht="15.75" customHeight="1">
      <c r="A325" s="8" t="s">
        <v>20</v>
      </c>
      <c r="B325" s="36" t="s">
        <v>179</v>
      </c>
      <c r="C325" s="42" t="s">
        <v>1017</v>
      </c>
      <c r="D325" s="41">
        <v>1.0</v>
      </c>
      <c r="E325" s="43" t="s">
        <v>1018</v>
      </c>
      <c r="F325" s="61">
        <v>180.0</v>
      </c>
      <c r="G325" s="62">
        <v>45411.0</v>
      </c>
      <c r="H325" s="44">
        <v>116.62</v>
      </c>
      <c r="I325" s="52">
        <f t="shared" si="56"/>
        <v>118</v>
      </c>
      <c r="J325" s="73">
        <f t="shared" si="57"/>
        <v>122.72</v>
      </c>
      <c r="K325" s="44">
        <v>12.0</v>
      </c>
      <c r="L325" s="46"/>
      <c r="M325" s="61" t="s">
        <v>24</v>
      </c>
      <c r="N325" s="61" t="s">
        <v>25</v>
      </c>
      <c r="O325" s="8"/>
      <c r="P325" s="73">
        <f t="shared" si="39"/>
        <v>45.28</v>
      </c>
      <c r="Q325" s="8"/>
      <c r="R325" s="36" t="s">
        <v>25</v>
      </c>
      <c r="S325" s="41" t="s">
        <v>1019</v>
      </c>
      <c r="T325" s="41"/>
    </row>
    <row r="326" ht="15.75" customHeight="1">
      <c r="A326" s="8" t="s">
        <v>20</v>
      </c>
      <c r="B326" s="36" t="s">
        <v>179</v>
      </c>
      <c r="C326" s="42" t="s">
        <v>1020</v>
      </c>
      <c r="D326" s="41">
        <v>1.0</v>
      </c>
      <c r="E326" s="43" t="s">
        <v>1021</v>
      </c>
      <c r="F326" s="61">
        <v>250.0</v>
      </c>
      <c r="G326" s="62">
        <v>45411.0</v>
      </c>
      <c r="H326" s="44">
        <v>173.52</v>
      </c>
      <c r="I326" s="52">
        <f t="shared" si="56"/>
        <v>175</v>
      </c>
      <c r="J326" s="84">
        <v>182.0</v>
      </c>
      <c r="K326" s="44">
        <v>12.0</v>
      </c>
      <c r="L326" s="46"/>
      <c r="M326" s="61" t="s">
        <v>24</v>
      </c>
      <c r="N326" s="61" t="s">
        <v>25</v>
      </c>
      <c r="O326" s="8"/>
      <c r="P326" s="73">
        <f t="shared" si="39"/>
        <v>56</v>
      </c>
      <c r="Q326" s="8"/>
      <c r="R326" s="36" t="s">
        <v>25</v>
      </c>
      <c r="S326" s="41" t="s">
        <v>1022</v>
      </c>
      <c r="T326" s="41"/>
    </row>
    <row r="327" ht="15.75" customHeight="1">
      <c r="A327" s="8" t="s">
        <v>20</v>
      </c>
      <c r="B327" s="36" t="s">
        <v>957</v>
      </c>
      <c r="C327" s="42" t="s">
        <v>1023</v>
      </c>
      <c r="D327" s="41">
        <v>6.0</v>
      </c>
      <c r="E327" s="47" t="s">
        <v>1024</v>
      </c>
      <c r="F327" s="61">
        <v>0.0</v>
      </c>
      <c r="G327" s="62">
        <v>45414.0</v>
      </c>
      <c r="H327" s="44"/>
      <c r="I327" s="52">
        <f t="shared" si="56"/>
        <v>0</v>
      </c>
      <c r="J327" s="73">
        <f t="shared" ref="J327:J348" si="58">I327+(I327*0.04)</f>
        <v>0</v>
      </c>
      <c r="K327" s="44">
        <v>45.0</v>
      </c>
      <c r="L327" s="46"/>
      <c r="M327" s="61" t="s">
        <v>24</v>
      </c>
      <c r="N327" s="61" t="s">
        <v>25</v>
      </c>
      <c r="O327" s="8" t="s">
        <v>867</v>
      </c>
      <c r="P327" s="73">
        <f t="shared" si="39"/>
        <v>-45</v>
      </c>
      <c r="Q327" s="8"/>
      <c r="R327" s="36" t="s">
        <v>25</v>
      </c>
      <c r="S327" s="41" t="s">
        <v>1025</v>
      </c>
      <c r="T327" s="41"/>
    </row>
    <row r="328" ht="15.75" customHeight="1">
      <c r="A328" s="8" t="s">
        <v>20</v>
      </c>
      <c r="B328" s="36" t="s">
        <v>957</v>
      </c>
      <c r="C328" s="42" t="s">
        <v>1026</v>
      </c>
      <c r="D328" s="41">
        <v>6.0</v>
      </c>
      <c r="E328" s="47" t="s">
        <v>1027</v>
      </c>
      <c r="F328" s="61">
        <v>0.0</v>
      </c>
      <c r="G328" s="62">
        <v>45414.0</v>
      </c>
      <c r="H328" s="44"/>
      <c r="I328" s="52">
        <f t="shared" si="56"/>
        <v>0</v>
      </c>
      <c r="J328" s="73">
        <f t="shared" si="58"/>
        <v>0</v>
      </c>
      <c r="K328" s="44">
        <v>12.0</v>
      </c>
      <c r="L328" s="46"/>
      <c r="M328" s="61" t="s">
        <v>24</v>
      </c>
      <c r="N328" s="61" t="s">
        <v>25</v>
      </c>
      <c r="O328" s="8" t="s">
        <v>867</v>
      </c>
      <c r="P328" s="73">
        <f t="shared" si="39"/>
        <v>-12</v>
      </c>
      <c r="Q328" s="8"/>
      <c r="R328" s="36" t="s">
        <v>25</v>
      </c>
      <c r="S328" s="47" t="s">
        <v>1028</v>
      </c>
      <c r="T328" s="41"/>
    </row>
    <row r="329" ht="15.75" customHeight="1">
      <c r="A329" s="8" t="s">
        <v>20</v>
      </c>
      <c r="B329" s="36" t="s">
        <v>1029</v>
      </c>
      <c r="C329" s="42" t="s">
        <v>1030</v>
      </c>
      <c r="D329" s="41">
        <v>1.0</v>
      </c>
      <c r="E329" s="43" t="s">
        <v>1031</v>
      </c>
      <c r="F329" s="61">
        <v>370.0</v>
      </c>
      <c r="G329" s="62">
        <v>45414.0</v>
      </c>
      <c r="H329" s="44">
        <v>165.0</v>
      </c>
      <c r="I329" s="52">
        <f t="shared" si="56"/>
        <v>167</v>
      </c>
      <c r="J329" s="73">
        <f t="shared" si="58"/>
        <v>173.68</v>
      </c>
      <c r="K329" s="44">
        <v>150.0</v>
      </c>
      <c r="L329" s="46"/>
      <c r="M329" s="61" t="s">
        <v>24</v>
      </c>
      <c r="N329" s="61" t="s">
        <v>25</v>
      </c>
      <c r="O329" s="8"/>
      <c r="P329" s="73">
        <f t="shared" si="39"/>
        <v>46.32</v>
      </c>
      <c r="Q329" s="8"/>
      <c r="R329" s="36" t="s">
        <v>25</v>
      </c>
      <c r="S329" s="41" t="s">
        <v>1032</v>
      </c>
      <c r="T329" s="41"/>
    </row>
    <row r="330" ht="15.75" customHeight="1">
      <c r="A330" s="8" t="s">
        <v>20</v>
      </c>
      <c r="B330" s="36" t="s">
        <v>179</v>
      </c>
      <c r="C330" s="42" t="s">
        <v>1033</v>
      </c>
      <c r="D330" s="41">
        <v>1.0</v>
      </c>
      <c r="E330" s="43" t="s">
        <v>1034</v>
      </c>
      <c r="F330" s="61">
        <v>385.0</v>
      </c>
      <c r="G330" s="62">
        <v>45418.0</v>
      </c>
      <c r="H330" s="44">
        <v>192.59</v>
      </c>
      <c r="I330" s="52">
        <f t="shared" si="56"/>
        <v>195</v>
      </c>
      <c r="J330" s="73">
        <f t="shared" si="58"/>
        <v>202.8</v>
      </c>
      <c r="K330" s="44">
        <v>90.0</v>
      </c>
      <c r="L330" s="46"/>
      <c r="M330" s="61" t="s">
        <v>24</v>
      </c>
      <c r="N330" s="61" t="s">
        <v>25</v>
      </c>
      <c r="O330" s="8" t="s">
        <v>1004</v>
      </c>
      <c r="P330" s="73">
        <f t="shared" si="39"/>
        <v>92.2</v>
      </c>
      <c r="Q330" s="8"/>
      <c r="R330" s="36" t="s">
        <v>25</v>
      </c>
      <c r="S330" s="41" t="s">
        <v>1035</v>
      </c>
      <c r="T330" s="41"/>
    </row>
    <row r="331" ht="15.75" customHeight="1">
      <c r="A331" s="8" t="s">
        <v>20</v>
      </c>
      <c r="B331" s="36" t="s">
        <v>179</v>
      </c>
      <c r="C331" s="42" t="s">
        <v>491</v>
      </c>
      <c r="D331" s="41">
        <v>1.0</v>
      </c>
      <c r="E331" s="43" t="s">
        <v>1036</v>
      </c>
      <c r="F331" s="61">
        <v>155.0</v>
      </c>
      <c r="G331" s="62">
        <v>45418.0</v>
      </c>
      <c r="H331" s="44">
        <v>128.51</v>
      </c>
      <c r="I331" s="52">
        <f t="shared" si="56"/>
        <v>130</v>
      </c>
      <c r="J331" s="73">
        <f t="shared" si="58"/>
        <v>135.2</v>
      </c>
      <c r="K331" s="44">
        <v>12.0</v>
      </c>
      <c r="L331" s="46"/>
      <c r="M331" s="61" t="s">
        <v>24</v>
      </c>
      <c r="N331" s="61" t="s">
        <v>25</v>
      </c>
      <c r="O331" s="8" t="s">
        <v>1004</v>
      </c>
      <c r="P331" s="73">
        <f t="shared" si="39"/>
        <v>7.8</v>
      </c>
      <c r="Q331" s="8"/>
      <c r="R331" s="36" t="s">
        <v>25</v>
      </c>
      <c r="S331" s="41" t="s">
        <v>1037</v>
      </c>
      <c r="T331" s="41"/>
    </row>
    <row r="332" ht="15.75" customHeight="1">
      <c r="A332" s="8" t="s">
        <v>20</v>
      </c>
      <c r="B332" s="36" t="s">
        <v>1038</v>
      </c>
      <c r="C332" s="42" t="s">
        <v>1039</v>
      </c>
      <c r="D332" s="41">
        <v>1.0</v>
      </c>
      <c r="E332" s="43" t="s">
        <v>1040</v>
      </c>
      <c r="F332" s="61">
        <v>1000.0</v>
      </c>
      <c r="G332" s="62">
        <v>45418.0</v>
      </c>
      <c r="H332" s="44">
        <v>310.29</v>
      </c>
      <c r="I332" s="52">
        <f t="shared" si="56"/>
        <v>313</v>
      </c>
      <c r="J332" s="73">
        <f t="shared" si="58"/>
        <v>325.52</v>
      </c>
      <c r="K332" s="44">
        <v>500.0</v>
      </c>
      <c r="L332" s="46"/>
      <c r="M332" s="61" t="s">
        <v>24</v>
      </c>
      <c r="N332" s="61" t="s">
        <v>25</v>
      </c>
      <c r="O332" s="8"/>
      <c r="P332" s="73">
        <f t="shared" si="39"/>
        <v>174.48</v>
      </c>
      <c r="Q332" s="8"/>
      <c r="R332" s="36" t="s">
        <v>25</v>
      </c>
      <c r="S332" s="41" t="s">
        <v>1041</v>
      </c>
      <c r="T332" s="41"/>
    </row>
    <row r="333" ht="15.75" customHeight="1">
      <c r="A333" s="8" t="s">
        <v>20</v>
      </c>
      <c r="B333" s="36" t="s">
        <v>1038</v>
      </c>
      <c r="C333" s="42" t="s">
        <v>1042</v>
      </c>
      <c r="D333" s="41">
        <v>1.0</v>
      </c>
      <c r="E333" s="43" t="s">
        <v>1043</v>
      </c>
      <c r="F333" s="61">
        <v>340.0</v>
      </c>
      <c r="G333" s="62">
        <v>45418.0</v>
      </c>
      <c r="H333" s="44">
        <v>100.45</v>
      </c>
      <c r="I333" s="52">
        <f t="shared" si="56"/>
        <v>101</v>
      </c>
      <c r="J333" s="73">
        <f t="shared" si="58"/>
        <v>105.04</v>
      </c>
      <c r="K333" s="44">
        <v>135.0</v>
      </c>
      <c r="L333" s="46"/>
      <c r="M333" s="61" t="s">
        <v>24</v>
      </c>
      <c r="N333" s="61" t="s">
        <v>25</v>
      </c>
      <c r="O333" s="8"/>
      <c r="P333" s="73">
        <f t="shared" si="39"/>
        <v>99.96</v>
      </c>
      <c r="Q333" s="8"/>
      <c r="R333" s="36" t="s">
        <v>25</v>
      </c>
      <c r="S333" s="41" t="s">
        <v>1044</v>
      </c>
      <c r="T333" s="41"/>
    </row>
    <row r="334" ht="15.75" customHeight="1">
      <c r="A334" s="8" t="s">
        <v>20</v>
      </c>
      <c r="B334" s="36" t="s">
        <v>1045</v>
      </c>
      <c r="C334" s="42" t="s">
        <v>1046</v>
      </c>
      <c r="D334" s="41">
        <v>1.0</v>
      </c>
      <c r="E334" s="43" t="s">
        <v>1047</v>
      </c>
      <c r="F334" s="61">
        <v>160.0</v>
      </c>
      <c r="G334" s="62">
        <v>45425.0</v>
      </c>
      <c r="H334" s="44">
        <v>67.41</v>
      </c>
      <c r="I334" s="52">
        <f t="shared" si="56"/>
        <v>68</v>
      </c>
      <c r="J334" s="73">
        <f t="shared" si="58"/>
        <v>70.72</v>
      </c>
      <c r="K334" s="44">
        <v>45.0</v>
      </c>
      <c r="L334" s="46"/>
      <c r="M334" s="61" t="s">
        <v>24</v>
      </c>
      <c r="N334" s="61" t="s">
        <v>25</v>
      </c>
      <c r="O334" s="8" t="s">
        <v>1004</v>
      </c>
      <c r="P334" s="73">
        <f t="shared" si="39"/>
        <v>44.28</v>
      </c>
      <c r="Q334" s="8"/>
      <c r="R334" s="36" t="s">
        <v>25</v>
      </c>
      <c r="S334" s="41" t="s">
        <v>1048</v>
      </c>
      <c r="T334" s="41"/>
    </row>
    <row r="335" ht="15.75" customHeight="1">
      <c r="A335" s="8" t="s">
        <v>20</v>
      </c>
      <c r="B335" s="36" t="s">
        <v>1045</v>
      </c>
      <c r="C335" s="42" t="s">
        <v>1049</v>
      </c>
      <c r="D335" s="41">
        <v>1.0</v>
      </c>
      <c r="E335" s="43" t="s">
        <v>1050</v>
      </c>
      <c r="F335" s="61">
        <v>95.0</v>
      </c>
      <c r="G335" s="62">
        <v>45425.0</v>
      </c>
      <c r="H335" s="44">
        <v>66.73</v>
      </c>
      <c r="I335" s="52">
        <f t="shared" si="56"/>
        <v>67</v>
      </c>
      <c r="J335" s="73">
        <f t="shared" si="58"/>
        <v>69.68</v>
      </c>
      <c r="K335" s="44">
        <v>10.0</v>
      </c>
      <c r="L335" s="46"/>
      <c r="M335" s="61" t="s">
        <v>24</v>
      </c>
      <c r="N335" s="61" t="s">
        <v>25</v>
      </c>
      <c r="O335" s="8" t="s">
        <v>1004</v>
      </c>
      <c r="P335" s="73">
        <f t="shared" si="39"/>
        <v>15.32</v>
      </c>
      <c r="Q335" s="8"/>
      <c r="R335" s="36" t="s">
        <v>25</v>
      </c>
      <c r="S335" s="41" t="s">
        <v>1051</v>
      </c>
      <c r="T335" s="41"/>
    </row>
    <row r="336" ht="15.75" customHeight="1">
      <c r="A336" s="8" t="s">
        <v>20</v>
      </c>
      <c r="B336" s="36" t="s">
        <v>1045</v>
      </c>
      <c r="C336" s="42" t="s">
        <v>1052</v>
      </c>
      <c r="D336" s="41">
        <v>1.0</v>
      </c>
      <c r="E336" s="43" t="s">
        <v>1053</v>
      </c>
      <c r="F336" s="61">
        <v>100.0</v>
      </c>
      <c r="G336" s="62">
        <v>45425.0</v>
      </c>
      <c r="H336" s="44">
        <v>24.49</v>
      </c>
      <c r="I336" s="52">
        <f t="shared" si="56"/>
        <v>25</v>
      </c>
      <c r="J336" s="73">
        <f t="shared" si="58"/>
        <v>26</v>
      </c>
      <c r="K336" s="44">
        <v>0.0</v>
      </c>
      <c r="L336" s="46"/>
      <c r="M336" s="61" t="s">
        <v>24</v>
      </c>
      <c r="N336" s="61" t="s">
        <v>25</v>
      </c>
      <c r="O336" s="8" t="s">
        <v>1004</v>
      </c>
      <c r="P336" s="73">
        <f t="shared" si="39"/>
        <v>74</v>
      </c>
      <c r="Q336" s="8"/>
      <c r="R336" s="36" t="s">
        <v>25</v>
      </c>
      <c r="S336" s="41" t="s">
        <v>1054</v>
      </c>
      <c r="T336" s="41"/>
    </row>
    <row r="337" ht="15.75" customHeight="1">
      <c r="A337" s="8" t="s">
        <v>20</v>
      </c>
      <c r="B337" s="36" t="s">
        <v>1055</v>
      </c>
      <c r="C337" s="42" t="s">
        <v>1056</v>
      </c>
      <c r="D337" s="41">
        <v>1.0</v>
      </c>
      <c r="E337" s="43" t="s">
        <v>1057</v>
      </c>
      <c r="F337" s="61">
        <v>640.0</v>
      </c>
      <c r="G337" s="62">
        <v>45426.0</v>
      </c>
      <c r="H337" s="44">
        <v>517.74</v>
      </c>
      <c r="I337" s="52">
        <f t="shared" si="56"/>
        <v>523</v>
      </c>
      <c r="J337" s="73">
        <f t="shared" si="58"/>
        <v>543.92</v>
      </c>
      <c r="K337" s="44">
        <v>55.0</v>
      </c>
      <c r="L337" s="46"/>
      <c r="M337" s="61" t="s">
        <v>24</v>
      </c>
      <c r="N337" s="61" t="s">
        <v>25</v>
      </c>
      <c r="O337" s="8"/>
      <c r="P337" s="73">
        <f t="shared" si="39"/>
        <v>41.08</v>
      </c>
      <c r="Q337" s="8"/>
      <c r="R337" s="36" t="s">
        <v>25</v>
      </c>
      <c r="S337" s="41" t="s">
        <v>1058</v>
      </c>
      <c r="T337" s="41"/>
    </row>
    <row r="338" ht="15.75" customHeight="1">
      <c r="A338" s="8" t="s">
        <v>20</v>
      </c>
      <c r="B338" s="36" t="s">
        <v>71</v>
      </c>
      <c r="C338" s="42" t="s">
        <v>1059</v>
      </c>
      <c r="D338" s="41">
        <v>1.0</v>
      </c>
      <c r="E338" s="43" t="s">
        <v>1060</v>
      </c>
      <c r="F338" s="61">
        <v>880.0</v>
      </c>
      <c r="G338" s="62">
        <v>45427.0</v>
      </c>
      <c r="H338" s="44">
        <v>343.45</v>
      </c>
      <c r="I338" s="52">
        <f t="shared" si="56"/>
        <v>347</v>
      </c>
      <c r="J338" s="73">
        <f t="shared" si="58"/>
        <v>360.88</v>
      </c>
      <c r="K338" s="44">
        <v>350.0</v>
      </c>
      <c r="L338" s="46"/>
      <c r="M338" s="61" t="s">
        <v>24</v>
      </c>
      <c r="N338" s="61" t="s">
        <v>25</v>
      </c>
      <c r="O338" s="8" t="s">
        <v>1004</v>
      </c>
      <c r="P338" s="73">
        <f t="shared" si="39"/>
        <v>169.12</v>
      </c>
      <c r="Q338" s="8"/>
      <c r="R338" s="36" t="s">
        <v>25</v>
      </c>
      <c r="S338" s="41" t="s">
        <v>1061</v>
      </c>
      <c r="T338" s="41"/>
    </row>
    <row r="339" ht="15.75" customHeight="1">
      <c r="A339" s="8" t="s">
        <v>20</v>
      </c>
      <c r="B339" s="36" t="s">
        <v>1045</v>
      </c>
      <c r="C339" s="42" t="s">
        <v>1062</v>
      </c>
      <c r="D339" s="41">
        <v>1.0</v>
      </c>
      <c r="E339" s="47" t="s">
        <v>1063</v>
      </c>
      <c r="F339" s="61">
        <v>370.0</v>
      </c>
      <c r="G339" s="62">
        <v>45428.0</v>
      </c>
      <c r="H339" s="44">
        <v>244.5</v>
      </c>
      <c r="I339" s="52">
        <f t="shared" si="56"/>
        <v>247</v>
      </c>
      <c r="J339" s="73">
        <f t="shared" si="58"/>
        <v>256.88</v>
      </c>
      <c r="K339" s="44">
        <v>10.0</v>
      </c>
      <c r="L339" s="46"/>
      <c r="M339" s="61" t="s">
        <v>24</v>
      </c>
      <c r="N339" s="61" t="s">
        <v>25</v>
      </c>
      <c r="O339" s="8" t="s">
        <v>1004</v>
      </c>
      <c r="P339" s="73">
        <f t="shared" si="39"/>
        <v>103.12</v>
      </c>
      <c r="Q339" s="8"/>
      <c r="R339" s="36" t="s">
        <v>25</v>
      </c>
      <c r="S339" s="102" t="s">
        <v>1064</v>
      </c>
      <c r="T339" s="41"/>
    </row>
    <row r="340" ht="15.75" customHeight="1">
      <c r="A340" s="8" t="s">
        <v>20</v>
      </c>
      <c r="B340" s="36" t="s">
        <v>1045</v>
      </c>
      <c r="C340" s="42" t="s">
        <v>1065</v>
      </c>
      <c r="D340" s="41">
        <v>1.0</v>
      </c>
      <c r="E340" s="43" t="s">
        <v>1066</v>
      </c>
      <c r="F340" s="61">
        <v>20.0</v>
      </c>
      <c r="G340" s="62">
        <v>45427.0</v>
      </c>
      <c r="H340" s="44">
        <v>14.98</v>
      </c>
      <c r="I340" s="52">
        <f t="shared" si="56"/>
        <v>15</v>
      </c>
      <c r="J340" s="73">
        <f t="shared" si="58"/>
        <v>15.6</v>
      </c>
      <c r="K340" s="44">
        <v>0.0</v>
      </c>
      <c r="L340" s="46"/>
      <c r="M340" s="61" t="s">
        <v>24</v>
      </c>
      <c r="N340" s="61" t="s">
        <v>25</v>
      </c>
      <c r="O340" s="8" t="s">
        <v>1004</v>
      </c>
      <c r="P340" s="73">
        <f t="shared" si="39"/>
        <v>4.4</v>
      </c>
      <c r="Q340" s="8"/>
      <c r="R340" s="36" t="s">
        <v>25</v>
      </c>
      <c r="S340" s="41" t="s">
        <v>1067</v>
      </c>
      <c r="T340" s="41"/>
    </row>
    <row r="341" ht="15.75" customHeight="1">
      <c r="A341" s="8" t="s">
        <v>20</v>
      </c>
      <c r="B341" s="41" t="s">
        <v>883</v>
      </c>
      <c r="C341" s="42" t="s">
        <v>1068</v>
      </c>
      <c r="D341" s="41">
        <v>1.0</v>
      </c>
      <c r="E341" s="41"/>
      <c r="F341" s="44">
        <v>300.0</v>
      </c>
      <c r="G341" s="45"/>
      <c r="H341" s="52"/>
      <c r="I341" s="52">
        <f t="shared" si="56"/>
        <v>0</v>
      </c>
      <c r="J341" s="73">
        <f t="shared" si="58"/>
        <v>0</v>
      </c>
      <c r="K341" s="44">
        <v>237.0</v>
      </c>
      <c r="L341" s="46"/>
      <c r="M341" s="61" t="s">
        <v>24</v>
      </c>
      <c r="N341" s="61" t="s">
        <v>25</v>
      </c>
      <c r="O341" s="8"/>
      <c r="P341" s="73">
        <f t="shared" si="39"/>
        <v>63</v>
      </c>
      <c r="Q341" s="8"/>
      <c r="R341" s="36" t="s">
        <v>25</v>
      </c>
      <c r="S341" s="41" t="s">
        <v>1069</v>
      </c>
      <c r="T341" s="83"/>
    </row>
    <row r="342" ht="15.75" customHeight="1">
      <c r="A342" s="8" t="s">
        <v>20</v>
      </c>
      <c r="B342" s="41" t="s">
        <v>1070</v>
      </c>
      <c r="C342" s="42" t="s">
        <v>1071</v>
      </c>
      <c r="D342" s="41">
        <v>1.0</v>
      </c>
      <c r="E342" s="43" t="s">
        <v>1072</v>
      </c>
      <c r="F342" s="61">
        <v>90.0</v>
      </c>
      <c r="G342" s="54">
        <v>45429.0</v>
      </c>
      <c r="H342" s="44">
        <v>41.92</v>
      </c>
      <c r="I342" s="52">
        <f t="shared" si="56"/>
        <v>42</v>
      </c>
      <c r="J342" s="73">
        <f t="shared" si="58"/>
        <v>43.68</v>
      </c>
      <c r="K342" s="44">
        <v>22.0</v>
      </c>
      <c r="L342" s="46"/>
      <c r="M342" s="61" t="s">
        <v>24</v>
      </c>
      <c r="N342" s="61" t="s">
        <v>25</v>
      </c>
      <c r="O342" s="8"/>
      <c r="P342" s="73">
        <f t="shared" si="39"/>
        <v>24.32</v>
      </c>
      <c r="Q342" s="8"/>
      <c r="R342" s="36" t="s">
        <v>25</v>
      </c>
      <c r="S342" s="41" t="s">
        <v>1073</v>
      </c>
      <c r="T342" s="83"/>
    </row>
    <row r="343" ht="15.75" customHeight="1">
      <c r="A343" s="8" t="s">
        <v>20</v>
      </c>
      <c r="B343" s="41" t="s">
        <v>1045</v>
      </c>
      <c r="C343" s="42" t="s">
        <v>1074</v>
      </c>
      <c r="D343" s="41">
        <v>1.0</v>
      </c>
      <c r="E343" s="43" t="s">
        <v>1075</v>
      </c>
      <c r="F343" s="44">
        <v>120.0</v>
      </c>
      <c r="G343" s="54">
        <v>45429.0</v>
      </c>
      <c r="H343" s="44">
        <v>58.85</v>
      </c>
      <c r="I343" s="52">
        <f t="shared" si="56"/>
        <v>59</v>
      </c>
      <c r="J343" s="73">
        <f t="shared" si="58"/>
        <v>61.36</v>
      </c>
      <c r="K343" s="44">
        <v>22.0</v>
      </c>
      <c r="L343" s="46"/>
      <c r="M343" s="61" t="s">
        <v>24</v>
      </c>
      <c r="N343" s="61" t="s">
        <v>25</v>
      </c>
      <c r="O343" s="8" t="s">
        <v>1004</v>
      </c>
      <c r="P343" s="73">
        <f t="shared" si="39"/>
        <v>36.64</v>
      </c>
      <c r="Q343" s="8"/>
      <c r="R343" s="36" t="s">
        <v>25</v>
      </c>
      <c r="S343" s="41" t="s">
        <v>1076</v>
      </c>
      <c r="T343" s="83"/>
    </row>
    <row r="344" ht="15.75" customHeight="1">
      <c r="A344" s="8" t="s">
        <v>20</v>
      </c>
      <c r="B344" s="41" t="s">
        <v>1077</v>
      </c>
      <c r="C344" s="42" t="s">
        <v>1078</v>
      </c>
      <c r="D344" s="41">
        <v>50.0</v>
      </c>
      <c r="E344" s="41"/>
      <c r="F344" s="44">
        <v>480.0</v>
      </c>
      <c r="G344" s="54">
        <v>45432.0</v>
      </c>
      <c r="H344" s="87">
        <v>41.97</v>
      </c>
      <c r="I344" s="100">
        <f t="shared" si="56"/>
        <v>42</v>
      </c>
      <c r="J344" s="101">
        <f t="shared" si="58"/>
        <v>43.68</v>
      </c>
      <c r="K344" s="44">
        <v>225.0</v>
      </c>
      <c r="L344" s="46"/>
      <c r="M344" s="61" t="s">
        <v>24</v>
      </c>
      <c r="N344" s="61" t="s">
        <v>25</v>
      </c>
      <c r="O344" s="8"/>
      <c r="P344" s="73">
        <f t="shared" si="39"/>
        <v>211.32</v>
      </c>
      <c r="Q344" s="8"/>
      <c r="R344" s="36" t="s">
        <v>25</v>
      </c>
      <c r="S344" s="41" t="s">
        <v>1079</v>
      </c>
      <c r="T344" s="83"/>
    </row>
    <row r="345" ht="15.75" customHeight="1">
      <c r="A345" s="8" t="s">
        <v>20</v>
      </c>
      <c r="B345" s="41" t="s">
        <v>1080</v>
      </c>
      <c r="C345" s="42" t="s">
        <v>1081</v>
      </c>
      <c r="D345" s="41">
        <v>1.0</v>
      </c>
      <c r="E345" s="43" t="s">
        <v>1082</v>
      </c>
      <c r="F345" s="44">
        <v>570.0</v>
      </c>
      <c r="G345" s="54">
        <v>45433.0</v>
      </c>
      <c r="H345" s="44">
        <v>320.95</v>
      </c>
      <c r="I345" s="52">
        <f t="shared" si="56"/>
        <v>324</v>
      </c>
      <c r="J345" s="73">
        <f t="shared" si="58"/>
        <v>336.96</v>
      </c>
      <c r="K345" s="44">
        <v>180.0</v>
      </c>
      <c r="L345" s="46"/>
      <c r="M345" s="61" t="s">
        <v>24</v>
      </c>
      <c r="N345" s="61" t="s">
        <v>25</v>
      </c>
      <c r="O345" s="8"/>
      <c r="P345" s="73">
        <f t="shared" si="39"/>
        <v>53.04</v>
      </c>
      <c r="Q345" s="8"/>
      <c r="R345" s="36" t="s">
        <v>25</v>
      </c>
      <c r="S345" s="41" t="s">
        <v>1083</v>
      </c>
      <c r="T345" s="83"/>
    </row>
    <row r="346" ht="15.75" customHeight="1">
      <c r="A346" s="8" t="s">
        <v>20</v>
      </c>
      <c r="B346" s="41" t="s">
        <v>883</v>
      </c>
      <c r="C346" s="42" t="s">
        <v>1084</v>
      </c>
      <c r="D346" s="41">
        <v>1.0</v>
      </c>
      <c r="E346" s="41"/>
      <c r="F346" s="44">
        <v>30.0</v>
      </c>
      <c r="G346" s="45"/>
      <c r="H346" s="52"/>
      <c r="I346" s="52">
        <f t="shared" si="56"/>
        <v>0</v>
      </c>
      <c r="J346" s="73">
        <f t="shared" si="58"/>
        <v>0</v>
      </c>
      <c r="K346" s="44">
        <v>10.0</v>
      </c>
      <c r="L346" s="46"/>
      <c r="M346" s="61" t="s">
        <v>24</v>
      </c>
      <c r="N346" s="61" t="s">
        <v>25</v>
      </c>
      <c r="O346" s="8" t="s">
        <v>1004</v>
      </c>
      <c r="P346" s="73">
        <f t="shared" si="39"/>
        <v>20</v>
      </c>
      <c r="Q346" s="8"/>
      <c r="R346" s="36" t="s">
        <v>25</v>
      </c>
      <c r="S346" s="41" t="s">
        <v>1085</v>
      </c>
      <c r="T346" s="83"/>
    </row>
    <row r="347" ht="15.75" customHeight="1">
      <c r="A347" s="8" t="s">
        <v>20</v>
      </c>
      <c r="B347" s="41" t="s">
        <v>905</v>
      </c>
      <c r="C347" s="42" t="s">
        <v>1086</v>
      </c>
      <c r="D347" s="41">
        <v>1.0</v>
      </c>
      <c r="E347" s="43" t="s">
        <v>1087</v>
      </c>
      <c r="F347" s="44">
        <v>430.0</v>
      </c>
      <c r="G347" s="54">
        <v>45434.0</v>
      </c>
      <c r="H347" s="44">
        <v>186.04</v>
      </c>
      <c r="I347" s="52">
        <f t="shared" si="56"/>
        <v>188</v>
      </c>
      <c r="J347" s="73">
        <f t="shared" si="58"/>
        <v>195.52</v>
      </c>
      <c r="K347" s="44">
        <v>180.0</v>
      </c>
      <c r="L347" s="46"/>
      <c r="M347" s="61" t="s">
        <v>24</v>
      </c>
      <c r="N347" s="61" t="s">
        <v>25</v>
      </c>
      <c r="O347" s="8"/>
      <c r="P347" s="73">
        <f t="shared" si="39"/>
        <v>54.48</v>
      </c>
      <c r="Q347" s="8"/>
      <c r="R347" s="36" t="s">
        <v>25</v>
      </c>
      <c r="S347" s="41" t="s">
        <v>1088</v>
      </c>
      <c r="T347" s="83"/>
    </row>
    <row r="348" ht="15.75" customHeight="1">
      <c r="A348" s="8" t="s">
        <v>20</v>
      </c>
      <c r="B348" s="41" t="s">
        <v>179</v>
      </c>
      <c r="C348" s="42" t="s">
        <v>1089</v>
      </c>
      <c r="D348" s="41">
        <v>1.0</v>
      </c>
      <c r="E348" s="43" t="s">
        <v>1090</v>
      </c>
      <c r="F348" s="44">
        <v>200.0</v>
      </c>
      <c r="G348" s="54">
        <v>45434.0</v>
      </c>
      <c r="H348" s="44">
        <v>154.07</v>
      </c>
      <c r="I348" s="52">
        <f t="shared" si="56"/>
        <v>156</v>
      </c>
      <c r="J348" s="73">
        <f t="shared" si="58"/>
        <v>162.24</v>
      </c>
      <c r="K348" s="44">
        <v>22.0</v>
      </c>
      <c r="L348" s="46"/>
      <c r="M348" s="61" t="s">
        <v>24</v>
      </c>
      <c r="N348" s="61" t="s">
        <v>25</v>
      </c>
      <c r="O348" s="8" t="s">
        <v>1004</v>
      </c>
      <c r="P348" s="73">
        <f t="shared" si="39"/>
        <v>15.76</v>
      </c>
      <c r="Q348" s="8"/>
      <c r="R348" s="36" t="s">
        <v>25</v>
      </c>
      <c r="S348" s="41" t="s">
        <v>1091</v>
      </c>
      <c r="T348" s="83"/>
    </row>
    <row r="349" ht="15.75" customHeight="1">
      <c r="A349" s="8" t="s">
        <v>20</v>
      </c>
      <c r="B349" s="41" t="s">
        <v>1001</v>
      </c>
      <c r="C349" s="42" t="s">
        <v>1092</v>
      </c>
      <c r="D349" s="41">
        <v>1.0</v>
      </c>
      <c r="E349" s="43" t="s">
        <v>1093</v>
      </c>
      <c r="F349" s="44" t="s">
        <v>1094</v>
      </c>
      <c r="G349" s="54">
        <v>45434.0</v>
      </c>
      <c r="H349" s="44">
        <v>169.6</v>
      </c>
      <c r="I349" s="44">
        <v>169.6</v>
      </c>
      <c r="J349" s="84">
        <v>169.6</v>
      </c>
      <c r="K349" s="52"/>
      <c r="L349" s="82"/>
      <c r="M349" s="61" t="s">
        <v>24</v>
      </c>
      <c r="N349" s="61" t="s">
        <v>25</v>
      </c>
      <c r="O349" s="8" t="s">
        <v>1004</v>
      </c>
      <c r="P349" s="73" t="str">
        <f t="shared" si="39"/>
        <v>#VALUE!</v>
      </c>
      <c r="Q349" s="8"/>
      <c r="R349" s="36" t="s">
        <v>25</v>
      </c>
      <c r="S349" s="59" t="s">
        <v>1095</v>
      </c>
      <c r="T349" s="83"/>
    </row>
    <row r="350" ht="15.75" customHeight="1">
      <c r="A350" s="8" t="s">
        <v>20</v>
      </c>
      <c r="B350" s="41" t="s">
        <v>1096</v>
      </c>
      <c r="C350" s="42" t="s">
        <v>1097</v>
      </c>
      <c r="D350" s="41">
        <v>1.0</v>
      </c>
      <c r="E350" s="43" t="s">
        <v>1098</v>
      </c>
      <c r="F350" s="44">
        <v>130.0</v>
      </c>
      <c r="G350" s="54">
        <v>45434.0</v>
      </c>
      <c r="H350" s="44">
        <v>58.85</v>
      </c>
      <c r="I350" s="52">
        <f t="shared" ref="I350:I354" si="59">ROUND(H350+H350*0.01,0)</f>
        <v>59</v>
      </c>
      <c r="J350" s="73">
        <f t="shared" ref="J350:J354" si="60">I350+(I350*0.04)</f>
        <v>61.36</v>
      </c>
      <c r="K350" s="44">
        <v>45.0</v>
      </c>
      <c r="L350" s="46">
        <v>1.0</v>
      </c>
      <c r="M350" s="61" t="s">
        <v>24</v>
      </c>
      <c r="N350" s="61" t="s">
        <v>25</v>
      </c>
      <c r="O350" s="8" t="s">
        <v>867</v>
      </c>
      <c r="P350" s="73">
        <f t="shared" si="39"/>
        <v>23.64</v>
      </c>
      <c r="Q350" s="8"/>
      <c r="R350" s="36" t="s">
        <v>25</v>
      </c>
      <c r="S350" s="41" t="s">
        <v>1099</v>
      </c>
      <c r="T350" s="83"/>
    </row>
    <row r="351" ht="15.75" customHeight="1">
      <c r="A351" s="8" t="s">
        <v>20</v>
      </c>
      <c r="B351" s="41" t="s">
        <v>1096</v>
      </c>
      <c r="C351" s="42" t="s">
        <v>1100</v>
      </c>
      <c r="D351" s="41">
        <v>1.0</v>
      </c>
      <c r="E351" s="43" t="s">
        <v>1101</v>
      </c>
      <c r="F351" s="44">
        <v>470.0</v>
      </c>
      <c r="G351" s="54">
        <v>45434.0</v>
      </c>
      <c r="H351" s="44">
        <v>329.13</v>
      </c>
      <c r="I351" s="52">
        <f t="shared" si="59"/>
        <v>332</v>
      </c>
      <c r="J351" s="73">
        <f t="shared" si="60"/>
        <v>345.28</v>
      </c>
      <c r="K351" s="44">
        <v>45.0</v>
      </c>
      <c r="L351" s="46">
        <v>1.0</v>
      </c>
      <c r="M351" s="61" t="s">
        <v>24</v>
      </c>
      <c r="N351" s="61" t="s">
        <v>25</v>
      </c>
      <c r="O351" s="8" t="s">
        <v>867</v>
      </c>
      <c r="P351" s="73">
        <f t="shared" si="39"/>
        <v>79.72</v>
      </c>
      <c r="Q351" s="8"/>
      <c r="R351" s="36" t="s">
        <v>25</v>
      </c>
      <c r="S351" s="41" t="s">
        <v>1102</v>
      </c>
      <c r="T351" s="83"/>
    </row>
    <row r="352" ht="15.75" customHeight="1">
      <c r="A352" s="8" t="s">
        <v>20</v>
      </c>
      <c r="B352" s="41" t="s">
        <v>957</v>
      </c>
      <c r="C352" s="42" t="s">
        <v>1103</v>
      </c>
      <c r="D352" s="41">
        <v>20.0</v>
      </c>
      <c r="E352" s="47" t="s">
        <v>1104</v>
      </c>
      <c r="F352" s="44">
        <v>0.0</v>
      </c>
      <c r="G352" s="54">
        <v>45434.0</v>
      </c>
      <c r="H352" s="44">
        <v>16.0</v>
      </c>
      <c r="I352" s="52">
        <f t="shared" si="59"/>
        <v>16</v>
      </c>
      <c r="J352" s="73">
        <f t="shared" si="60"/>
        <v>16.64</v>
      </c>
      <c r="K352" s="44">
        <v>10.0</v>
      </c>
      <c r="L352" s="46"/>
      <c r="M352" s="61" t="s">
        <v>24</v>
      </c>
      <c r="N352" s="61" t="s">
        <v>25</v>
      </c>
      <c r="O352" s="8" t="s">
        <v>867</v>
      </c>
      <c r="P352" s="73">
        <f t="shared" si="39"/>
        <v>-26.64</v>
      </c>
      <c r="Q352" s="8"/>
      <c r="R352" s="36" t="s">
        <v>25</v>
      </c>
      <c r="S352" s="41" t="s">
        <v>1105</v>
      </c>
      <c r="T352" s="83"/>
    </row>
    <row r="353" ht="15.75" customHeight="1">
      <c r="A353" s="8" t="s">
        <v>20</v>
      </c>
      <c r="B353" s="41" t="s">
        <v>957</v>
      </c>
      <c r="C353" s="42" t="s">
        <v>1106</v>
      </c>
      <c r="D353" s="41">
        <v>10.0</v>
      </c>
      <c r="E353" s="43" t="s">
        <v>1107</v>
      </c>
      <c r="F353" s="44">
        <v>0.0</v>
      </c>
      <c r="G353" s="54">
        <v>45435.0</v>
      </c>
      <c r="H353" s="44">
        <v>90.85</v>
      </c>
      <c r="I353" s="52">
        <f t="shared" si="59"/>
        <v>92</v>
      </c>
      <c r="J353" s="73">
        <f t="shared" si="60"/>
        <v>95.68</v>
      </c>
      <c r="K353" s="44">
        <v>90.0</v>
      </c>
      <c r="L353" s="46"/>
      <c r="M353" s="61" t="s">
        <v>24</v>
      </c>
      <c r="N353" s="61" t="s">
        <v>25</v>
      </c>
      <c r="O353" s="8" t="s">
        <v>867</v>
      </c>
      <c r="P353" s="73">
        <f t="shared" si="39"/>
        <v>-185.68</v>
      </c>
      <c r="Q353" s="8"/>
      <c r="R353" s="36" t="s">
        <v>25</v>
      </c>
      <c r="S353" s="41" t="s">
        <v>1108</v>
      </c>
      <c r="T353" s="83"/>
    </row>
    <row r="354" ht="15.75" customHeight="1">
      <c r="A354" s="8" t="s">
        <v>20</v>
      </c>
      <c r="B354" s="41" t="s">
        <v>130</v>
      </c>
      <c r="C354" s="42" t="s">
        <v>1109</v>
      </c>
      <c r="D354" s="41">
        <v>1.0</v>
      </c>
      <c r="E354" s="43" t="s">
        <v>1110</v>
      </c>
      <c r="F354" s="44">
        <v>485.0</v>
      </c>
      <c r="G354" s="54">
        <v>45443.0</v>
      </c>
      <c r="H354" s="44">
        <v>208.17</v>
      </c>
      <c r="I354" s="52">
        <f t="shared" si="59"/>
        <v>210</v>
      </c>
      <c r="J354" s="73">
        <f t="shared" si="60"/>
        <v>218.4</v>
      </c>
      <c r="K354" s="44">
        <v>150.0</v>
      </c>
      <c r="L354" s="46"/>
      <c r="M354" s="61" t="s">
        <v>24</v>
      </c>
      <c r="N354" s="61" t="s">
        <v>25</v>
      </c>
      <c r="O354" s="8" t="s">
        <v>867</v>
      </c>
      <c r="P354" s="73">
        <f t="shared" si="39"/>
        <v>116.6</v>
      </c>
      <c r="Q354" s="8"/>
      <c r="R354" s="36" t="s">
        <v>25</v>
      </c>
      <c r="S354" s="41" t="s">
        <v>1111</v>
      </c>
      <c r="T354" s="83"/>
    </row>
    <row r="355" ht="15.75" customHeight="1">
      <c r="A355" s="8" t="s">
        <v>20</v>
      </c>
      <c r="B355" s="41" t="s">
        <v>476</v>
      </c>
      <c r="C355" s="42" t="s">
        <v>1112</v>
      </c>
      <c r="D355" s="41">
        <v>1.0</v>
      </c>
      <c r="E355" s="43" t="s">
        <v>1113</v>
      </c>
      <c r="F355" s="44">
        <v>0.0</v>
      </c>
      <c r="G355" s="54">
        <v>45443.0</v>
      </c>
      <c r="H355" s="44">
        <v>40.03</v>
      </c>
      <c r="I355" s="44">
        <v>40.03</v>
      </c>
      <c r="J355" s="44">
        <v>40.03</v>
      </c>
      <c r="K355" s="44">
        <v>22.0</v>
      </c>
      <c r="L355" s="46"/>
      <c r="M355" s="61" t="s">
        <v>24</v>
      </c>
      <c r="N355" s="61" t="s">
        <v>25</v>
      </c>
      <c r="O355" s="8" t="s">
        <v>867</v>
      </c>
      <c r="P355" s="73">
        <f t="shared" si="39"/>
        <v>-62.03</v>
      </c>
      <c r="Q355" s="8"/>
      <c r="R355" s="36" t="s">
        <v>25</v>
      </c>
      <c r="S355" s="41" t="s">
        <v>1114</v>
      </c>
      <c r="T355" s="83"/>
    </row>
    <row r="356" ht="15.75" customHeight="1">
      <c r="A356" s="8" t="s">
        <v>20</v>
      </c>
      <c r="B356" s="41" t="s">
        <v>1115</v>
      </c>
      <c r="C356" s="42" t="s">
        <v>1116</v>
      </c>
      <c r="D356" s="41">
        <v>1.0</v>
      </c>
      <c r="E356" s="43" t="s">
        <v>1117</v>
      </c>
      <c r="F356" s="44">
        <v>370.0</v>
      </c>
      <c r="G356" s="54">
        <v>45446.0</v>
      </c>
      <c r="H356" s="44">
        <v>254.0</v>
      </c>
      <c r="I356" s="52">
        <f t="shared" ref="I356:I372" si="61">ROUND(H356+H356*0.01,0)</f>
        <v>257</v>
      </c>
      <c r="J356" s="73">
        <f t="shared" ref="J356:J372" si="62">I356+(I356*0.04)</f>
        <v>267.28</v>
      </c>
      <c r="K356" s="44">
        <v>90.0</v>
      </c>
      <c r="L356" s="46"/>
      <c r="M356" s="61" t="s">
        <v>24</v>
      </c>
      <c r="N356" s="61" t="s">
        <v>25</v>
      </c>
      <c r="O356" s="8" t="s">
        <v>867</v>
      </c>
      <c r="P356" s="73">
        <f t="shared" si="39"/>
        <v>12.72</v>
      </c>
      <c r="Q356" s="8"/>
      <c r="R356" s="36" t="s">
        <v>25</v>
      </c>
      <c r="S356" s="41" t="s">
        <v>1118</v>
      </c>
      <c r="T356" s="83"/>
    </row>
    <row r="357" ht="15.75" customHeight="1">
      <c r="A357" s="8" t="s">
        <v>20</v>
      </c>
      <c r="B357" s="41" t="s">
        <v>1115</v>
      </c>
      <c r="C357" s="42" t="s">
        <v>1119</v>
      </c>
      <c r="D357" s="41">
        <v>1.0</v>
      </c>
      <c r="E357" s="43" t="s">
        <v>1120</v>
      </c>
      <c r="F357" s="44">
        <v>860.0</v>
      </c>
      <c r="G357" s="54">
        <v>45446.0</v>
      </c>
      <c r="H357" s="44">
        <v>431.16</v>
      </c>
      <c r="I357" s="52">
        <f t="shared" si="61"/>
        <v>435</v>
      </c>
      <c r="J357" s="73">
        <f t="shared" si="62"/>
        <v>452.4</v>
      </c>
      <c r="K357" s="44">
        <v>270.0</v>
      </c>
      <c r="L357" s="46"/>
      <c r="M357" s="61" t="s">
        <v>24</v>
      </c>
      <c r="N357" s="61" t="s">
        <v>25</v>
      </c>
      <c r="O357" s="8" t="s">
        <v>867</v>
      </c>
      <c r="P357" s="73">
        <f t="shared" si="39"/>
        <v>137.6</v>
      </c>
      <c r="Q357" s="8"/>
      <c r="R357" s="36" t="s">
        <v>25</v>
      </c>
      <c r="S357" s="41" t="s">
        <v>1121</v>
      </c>
      <c r="T357" s="83"/>
    </row>
    <row r="358" ht="15.75" customHeight="1">
      <c r="A358" s="8" t="s">
        <v>20</v>
      </c>
      <c r="B358" s="41" t="s">
        <v>1122</v>
      </c>
      <c r="C358" s="42" t="s">
        <v>1123</v>
      </c>
      <c r="D358" s="41">
        <v>1.0</v>
      </c>
      <c r="E358" s="43" t="s">
        <v>1124</v>
      </c>
      <c r="F358" s="44">
        <v>85.0</v>
      </c>
      <c r="G358" s="54">
        <v>45448.0</v>
      </c>
      <c r="H358" s="44">
        <v>47.06</v>
      </c>
      <c r="I358" s="52">
        <f t="shared" si="61"/>
        <v>48</v>
      </c>
      <c r="J358" s="73">
        <f t="shared" si="62"/>
        <v>49.92</v>
      </c>
      <c r="K358" s="44">
        <v>5.5</v>
      </c>
      <c r="L358" s="46">
        <v>0.2</v>
      </c>
      <c r="M358" s="61" t="s">
        <v>24</v>
      </c>
      <c r="N358" s="61" t="s">
        <v>25</v>
      </c>
      <c r="O358" s="8" t="s">
        <v>1004</v>
      </c>
      <c r="P358" s="73">
        <f t="shared" si="39"/>
        <v>29.58</v>
      </c>
      <c r="Q358" s="8"/>
      <c r="R358" s="36" t="s">
        <v>25</v>
      </c>
      <c r="S358" s="41" t="s">
        <v>1125</v>
      </c>
      <c r="T358" s="83"/>
    </row>
    <row r="359" ht="15.75" customHeight="1">
      <c r="A359" s="8" t="s">
        <v>20</v>
      </c>
      <c r="B359" s="41" t="s">
        <v>1126</v>
      </c>
      <c r="C359" s="42" t="s">
        <v>1127</v>
      </c>
      <c r="D359" s="41">
        <v>1.0</v>
      </c>
      <c r="E359" s="41"/>
      <c r="F359" s="44">
        <v>0.0</v>
      </c>
      <c r="G359" s="45"/>
      <c r="H359" s="52"/>
      <c r="I359" s="52">
        <f t="shared" si="61"/>
        <v>0</v>
      </c>
      <c r="J359" s="73">
        <f t="shared" si="62"/>
        <v>0</v>
      </c>
      <c r="K359" s="44">
        <v>0.0</v>
      </c>
      <c r="L359" s="46">
        <v>0.0</v>
      </c>
      <c r="M359" s="61" t="s">
        <v>24</v>
      </c>
      <c r="N359" s="61" t="s">
        <v>25</v>
      </c>
      <c r="O359" s="8" t="s">
        <v>867</v>
      </c>
      <c r="P359" s="73">
        <f t="shared" si="39"/>
        <v>0</v>
      </c>
      <c r="Q359" s="8"/>
      <c r="R359" s="36" t="s">
        <v>25</v>
      </c>
      <c r="S359" s="41" t="s">
        <v>1128</v>
      </c>
      <c r="T359" s="83"/>
    </row>
    <row r="360" ht="15.75" customHeight="1">
      <c r="A360" s="8" t="s">
        <v>20</v>
      </c>
      <c r="B360" s="41" t="s">
        <v>1126</v>
      </c>
      <c r="C360" s="42" t="s">
        <v>1129</v>
      </c>
      <c r="D360" s="41">
        <v>1.0</v>
      </c>
      <c r="E360" s="41"/>
      <c r="F360" s="44">
        <v>0.0</v>
      </c>
      <c r="G360" s="45"/>
      <c r="H360" s="52"/>
      <c r="I360" s="52">
        <f t="shared" si="61"/>
        <v>0</v>
      </c>
      <c r="J360" s="73">
        <f t="shared" si="62"/>
        <v>0</v>
      </c>
      <c r="K360" s="44">
        <v>10.0</v>
      </c>
      <c r="L360" s="46">
        <v>0.2</v>
      </c>
      <c r="M360" s="61" t="s">
        <v>24</v>
      </c>
      <c r="N360" s="61" t="s">
        <v>25</v>
      </c>
      <c r="O360" s="8" t="s">
        <v>867</v>
      </c>
      <c r="P360" s="73">
        <f t="shared" si="39"/>
        <v>-10</v>
      </c>
      <c r="Q360" s="8"/>
      <c r="R360" s="36" t="s">
        <v>25</v>
      </c>
      <c r="S360" s="41" t="s">
        <v>1130</v>
      </c>
      <c r="T360" s="83"/>
    </row>
    <row r="361" ht="15.75" customHeight="1">
      <c r="A361" s="8" t="s">
        <v>20</v>
      </c>
      <c r="B361" s="41" t="s">
        <v>1126</v>
      </c>
      <c r="C361" s="42" t="s">
        <v>1131</v>
      </c>
      <c r="D361" s="41">
        <v>1.0</v>
      </c>
      <c r="E361" s="41"/>
      <c r="F361" s="44">
        <v>60.0</v>
      </c>
      <c r="G361" s="45"/>
      <c r="H361" s="52"/>
      <c r="I361" s="52">
        <f t="shared" si="61"/>
        <v>0</v>
      </c>
      <c r="J361" s="73">
        <f t="shared" si="62"/>
        <v>0</v>
      </c>
      <c r="K361" s="44">
        <v>22.0</v>
      </c>
      <c r="L361" s="46">
        <v>0.5</v>
      </c>
      <c r="M361" s="61" t="s">
        <v>24</v>
      </c>
      <c r="N361" s="61" t="s">
        <v>25</v>
      </c>
      <c r="O361" s="8" t="s">
        <v>867</v>
      </c>
      <c r="P361" s="73">
        <f t="shared" si="39"/>
        <v>38</v>
      </c>
      <c r="Q361" s="8"/>
      <c r="R361" s="36" t="s">
        <v>25</v>
      </c>
      <c r="S361" s="41" t="s">
        <v>1132</v>
      </c>
      <c r="T361" s="83"/>
    </row>
    <row r="362" ht="15.75" customHeight="1">
      <c r="A362" s="8" t="s">
        <v>20</v>
      </c>
      <c r="B362" s="41" t="s">
        <v>1133</v>
      </c>
      <c r="C362" s="42" t="s">
        <v>1134</v>
      </c>
      <c r="D362" s="41">
        <v>1.0</v>
      </c>
      <c r="E362" s="41"/>
      <c r="F362" s="44">
        <v>70.0</v>
      </c>
      <c r="G362" s="45"/>
      <c r="H362" s="52"/>
      <c r="I362" s="52">
        <f t="shared" si="61"/>
        <v>0</v>
      </c>
      <c r="J362" s="73">
        <f t="shared" si="62"/>
        <v>0</v>
      </c>
      <c r="K362" s="44">
        <v>45.0</v>
      </c>
      <c r="L362" s="46">
        <v>1.0</v>
      </c>
      <c r="M362" s="61" t="s">
        <v>24</v>
      </c>
      <c r="N362" s="61" t="s">
        <v>25</v>
      </c>
      <c r="O362" s="8" t="s">
        <v>1004</v>
      </c>
      <c r="P362" s="73">
        <f t="shared" si="39"/>
        <v>25</v>
      </c>
      <c r="Q362" s="8"/>
      <c r="R362" s="36" t="s">
        <v>25</v>
      </c>
      <c r="S362" s="41" t="s">
        <v>1135</v>
      </c>
      <c r="T362" s="83"/>
    </row>
    <row r="363" ht="15.75" customHeight="1">
      <c r="A363" s="8" t="s">
        <v>20</v>
      </c>
      <c r="B363" s="41" t="s">
        <v>657</v>
      </c>
      <c r="C363" s="42" t="s">
        <v>1136</v>
      </c>
      <c r="D363" s="41">
        <v>5.0</v>
      </c>
      <c r="E363" s="47" t="s">
        <v>1137</v>
      </c>
      <c r="F363" s="44">
        <v>0.0</v>
      </c>
      <c r="G363" s="54">
        <v>45449.0</v>
      </c>
      <c r="H363" s="44">
        <v>226.2</v>
      </c>
      <c r="I363" s="52">
        <f t="shared" si="61"/>
        <v>228</v>
      </c>
      <c r="J363" s="73">
        <f t="shared" si="62"/>
        <v>237.12</v>
      </c>
      <c r="K363" s="44">
        <v>22.0</v>
      </c>
      <c r="L363" s="46">
        <v>0.5</v>
      </c>
      <c r="M363" s="61" t="s">
        <v>24</v>
      </c>
      <c r="N363" s="61" t="s">
        <v>25</v>
      </c>
      <c r="O363" s="8" t="s">
        <v>867</v>
      </c>
      <c r="P363" s="73">
        <f t="shared" si="39"/>
        <v>-259.12</v>
      </c>
      <c r="Q363" s="8"/>
      <c r="R363" s="36" t="s">
        <v>25</v>
      </c>
      <c r="S363" s="103" t="s">
        <v>1138</v>
      </c>
      <c r="T363" s="41" t="s">
        <v>1139</v>
      </c>
    </row>
    <row r="364" ht="15.75" customHeight="1">
      <c r="A364" s="8" t="s">
        <v>20</v>
      </c>
      <c r="B364" s="41" t="s">
        <v>891</v>
      </c>
      <c r="C364" s="42" t="s">
        <v>1140</v>
      </c>
      <c r="D364" s="41">
        <v>2.0</v>
      </c>
      <c r="E364" s="43" t="s">
        <v>1141</v>
      </c>
      <c r="F364" s="44">
        <v>100.0</v>
      </c>
      <c r="G364" s="54">
        <v>45450.0</v>
      </c>
      <c r="H364" s="44">
        <v>72.9</v>
      </c>
      <c r="I364" s="52">
        <f t="shared" si="61"/>
        <v>74</v>
      </c>
      <c r="J364" s="73">
        <f t="shared" si="62"/>
        <v>76.96</v>
      </c>
      <c r="K364" s="44">
        <v>22.0</v>
      </c>
      <c r="L364" s="46">
        <v>0.5</v>
      </c>
      <c r="M364" s="61" t="s">
        <v>24</v>
      </c>
      <c r="N364" s="61" t="s">
        <v>25</v>
      </c>
      <c r="O364" s="8" t="s">
        <v>867</v>
      </c>
      <c r="P364" s="73">
        <f t="shared" si="39"/>
        <v>1.04</v>
      </c>
      <c r="Q364" s="8"/>
      <c r="R364" s="36" t="s">
        <v>25</v>
      </c>
      <c r="S364" s="17" t="s">
        <v>1142</v>
      </c>
      <c r="T364" s="83"/>
    </row>
    <row r="365" ht="15.75" customHeight="1">
      <c r="A365" s="8" t="s">
        <v>20</v>
      </c>
      <c r="B365" s="41" t="s">
        <v>1143</v>
      </c>
      <c r="C365" s="42" t="s">
        <v>1144</v>
      </c>
      <c r="D365" s="41">
        <v>1.0</v>
      </c>
      <c r="E365" s="43" t="s">
        <v>1145</v>
      </c>
      <c r="F365" s="44">
        <v>370.0</v>
      </c>
      <c r="G365" s="54">
        <v>45450.0</v>
      </c>
      <c r="H365" s="44">
        <v>145.14</v>
      </c>
      <c r="I365" s="52">
        <f t="shared" si="61"/>
        <v>147</v>
      </c>
      <c r="J365" s="73">
        <f t="shared" si="62"/>
        <v>152.88</v>
      </c>
      <c r="K365" s="44">
        <v>45.0</v>
      </c>
      <c r="L365" s="46">
        <v>1.0</v>
      </c>
      <c r="M365" s="61" t="s">
        <v>24</v>
      </c>
      <c r="N365" s="61" t="s">
        <v>25</v>
      </c>
      <c r="O365" s="8" t="s">
        <v>867</v>
      </c>
      <c r="P365" s="73">
        <f t="shared" si="39"/>
        <v>172.12</v>
      </c>
      <c r="Q365" s="8"/>
      <c r="R365" s="36" t="s">
        <v>25</v>
      </c>
      <c r="S365" s="41" t="s">
        <v>1146</v>
      </c>
      <c r="T365" s="83"/>
    </row>
    <row r="366" ht="15.75" customHeight="1">
      <c r="A366" s="8" t="s">
        <v>20</v>
      </c>
      <c r="B366" s="41" t="s">
        <v>957</v>
      </c>
      <c r="C366" s="42" t="s">
        <v>1147</v>
      </c>
      <c r="D366" s="41">
        <v>20.0</v>
      </c>
      <c r="E366" s="47" t="s">
        <v>1148</v>
      </c>
      <c r="F366" s="44">
        <v>0.0</v>
      </c>
      <c r="G366" s="54">
        <v>45450.0</v>
      </c>
      <c r="H366" s="44">
        <v>48.78</v>
      </c>
      <c r="I366" s="52">
        <f t="shared" si="61"/>
        <v>49</v>
      </c>
      <c r="J366" s="73">
        <f t="shared" si="62"/>
        <v>50.96</v>
      </c>
      <c r="K366" s="44">
        <v>22.0</v>
      </c>
      <c r="L366" s="46">
        <v>0.5</v>
      </c>
      <c r="M366" s="61" t="s">
        <v>24</v>
      </c>
      <c r="N366" s="61" t="s">
        <v>25</v>
      </c>
      <c r="O366" s="8" t="s">
        <v>867</v>
      </c>
      <c r="P366" s="73">
        <f t="shared" si="39"/>
        <v>-72.96</v>
      </c>
      <c r="Q366" s="8"/>
      <c r="R366" s="36" t="s">
        <v>25</v>
      </c>
      <c r="S366" s="41" t="s">
        <v>1149</v>
      </c>
      <c r="T366" s="83"/>
    </row>
    <row r="367" ht="15.75" customHeight="1">
      <c r="A367" s="8" t="s">
        <v>20</v>
      </c>
      <c r="B367" s="41" t="s">
        <v>957</v>
      </c>
      <c r="C367" s="42" t="s">
        <v>1150</v>
      </c>
      <c r="D367" s="41">
        <v>24.0</v>
      </c>
      <c r="E367" s="43" t="s">
        <v>1151</v>
      </c>
      <c r="F367" s="44">
        <v>0.0</v>
      </c>
      <c r="G367" s="54">
        <v>45450.0</v>
      </c>
      <c r="H367" s="44">
        <v>135.92</v>
      </c>
      <c r="I367" s="52">
        <f t="shared" si="61"/>
        <v>137</v>
      </c>
      <c r="J367" s="73">
        <f t="shared" si="62"/>
        <v>142.48</v>
      </c>
      <c r="K367" s="44">
        <v>90.0</v>
      </c>
      <c r="L367" s="46">
        <v>2.0</v>
      </c>
      <c r="M367" s="61" t="s">
        <v>24</v>
      </c>
      <c r="N367" s="61" t="s">
        <v>25</v>
      </c>
      <c r="O367" s="8" t="s">
        <v>867</v>
      </c>
      <c r="P367" s="73">
        <f t="shared" si="39"/>
        <v>-232.48</v>
      </c>
      <c r="Q367" s="8"/>
      <c r="R367" s="36" t="s">
        <v>25</v>
      </c>
      <c r="S367" s="41" t="s">
        <v>1152</v>
      </c>
      <c r="T367" s="83"/>
    </row>
    <row r="368" ht="15.75" customHeight="1">
      <c r="A368" s="8" t="s">
        <v>20</v>
      </c>
      <c r="B368" s="41" t="s">
        <v>957</v>
      </c>
      <c r="C368" s="42" t="s">
        <v>1153</v>
      </c>
      <c r="D368" s="41">
        <v>23.0</v>
      </c>
      <c r="E368" s="47" t="s">
        <v>1154</v>
      </c>
      <c r="F368" s="44">
        <v>0.0</v>
      </c>
      <c r="G368" s="54">
        <v>45450.0</v>
      </c>
      <c r="H368" s="44">
        <v>43.41</v>
      </c>
      <c r="I368" s="52">
        <f t="shared" si="61"/>
        <v>44</v>
      </c>
      <c r="J368" s="73">
        <f t="shared" si="62"/>
        <v>45.76</v>
      </c>
      <c r="K368" s="44">
        <v>45.0</v>
      </c>
      <c r="L368" s="46">
        <v>1.0</v>
      </c>
      <c r="M368" s="61" t="s">
        <v>24</v>
      </c>
      <c r="N368" s="61" t="s">
        <v>25</v>
      </c>
      <c r="O368" s="8" t="s">
        <v>867</v>
      </c>
      <c r="P368" s="73">
        <f t="shared" si="39"/>
        <v>-90.76</v>
      </c>
      <c r="Q368" s="8"/>
      <c r="R368" s="36" t="s">
        <v>25</v>
      </c>
      <c r="S368" s="49" t="s">
        <v>1155</v>
      </c>
      <c r="T368" s="83"/>
    </row>
    <row r="369" ht="15.75" customHeight="1">
      <c r="A369" s="8" t="s">
        <v>20</v>
      </c>
      <c r="B369" s="41" t="s">
        <v>657</v>
      </c>
      <c r="C369" s="42" t="s">
        <v>1156</v>
      </c>
      <c r="D369" s="41">
        <v>8.0</v>
      </c>
      <c r="E369" s="43" t="s">
        <v>1157</v>
      </c>
      <c r="F369" s="44">
        <v>325.0</v>
      </c>
      <c r="G369" s="54">
        <v>45452.0</v>
      </c>
      <c r="H369" s="44">
        <v>239.0</v>
      </c>
      <c r="I369" s="52">
        <f t="shared" si="61"/>
        <v>241</v>
      </c>
      <c r="J369" s="73">
        <f t="shared" si="62"/>
        <v>250.64</v>
      </c>
      <c r="K369" s="44">
        <v>0.0</v>
      </c>
      <c r="L369" s="46">
        <v>0.0</v>
      </c>
      <c r="M369" s="61" t="s">
        <v>24</v>
      </c>
      <c r="N369" s="61" t="s">
        <v>25</v>
      </c>
      <c r="O369" s="8" t="s">
        <v>867</v>
      </c>
      <c r="P369" s="73">
        <f t="shared" si="39"/>
        <v>74.36</v>
      </c>
      <c r="Q369" s="8"/>
      <c r="R369" s="36" t="s">
        <v>25</v>
      </c>
      <c r="S369" s="41" t="s">
        <v>1158</v>
      </c>
      <c r="T369" s="83"/>
    </row>
    <row r="370" ht="15.75" customHeight="1">
      <c r="A370" s="8" t="s">
        <v>20</v>
      </c>
      <c r="B370" s="41" t="s">
        <v>864</v>
      </c>
      <c r="C370" s="42" t="s">
        <v>1159</v>
      </c>
      <c r="D370" s="41">
        <v>2.0</v>
      </c>
      <c r="E370" s="47" t="s">
        <v>1160</v>
      </c>
      <c r="F370" s="44">
        <v>65.0</v>
      </c>
      <c r="G370" s="54">
        <v>45452.0</v>
      </c>
      <c r="H370" s="44">
        <v>49.22</v>
      </c>
      <c r="I370" s="52">
        <f t="shared" si="61"/>
        <v>50</v>
      </c>
      <c r="J370" s="73">
        <f t="shared" si="62"/>
        <v>52</v>
      </c>
      <c r="K370" s="44">
        <v>5.5</v>
      </c>
      <c r="L370" s="46">
        <v>0.2</v>
      </c>
      <c r="M370" s="61" t="s">
        <v>24</v>
      </c>
      <c r="N370" s="61" t="s">
        <v>25</v>
      </c>
      <c r="O370" s="8" t="s">
        <v>867</v>
      </c>
      <c r="P370" s="73">
        <f t="shared" si="39"/>
        <v>7.5</v>
      </c>
      <c r="Q370" s="8"/>
      <c r="R370" s="36" t="s">
        <v>25</v>
      </c>
      <c r="S370" s="41" t="s">
        <v>1161</v>
      </c>
      <c r="T370" s="83"/>
    </row>
    <row r="371" ht="15.75" customHeight="1">
      <c r="A371" s="8" t="s">
        <v>20</v>
      </c>
      <c r="B371" s="41" t="s">
        <v>864</v>
      </c>
      <c r="C371" s="42" t="s">
        <v>1162</v>
      </c>
      <c r="D371" s="41">
        <v>1.0</v>
      </c>
      <c r="E371" s="43" t="s">
        <v>1160</v>
      </c>
      <c r="F371" s="44">
        <v>70.0</v>
      </c>
      <c r="G371" s="54">
        <v>45452.0</v>
      </c>
      <c r="H371" s="44">
        <v>57.42</v>
      </c>
      <c r="I371" s="52">
        <f t="shared" si="61"/>
        <v>58</v>
      </c>
      <c r="J371" s="73">
        <f t="shared" si="62"/>
        <v>60.32</v>
      </c>
      <c r="K371" s="104">
        <v>0.0</v>
      </c>
      <c r="L371" s="46">
        <v>0.0</v>
      </c>
      <c r="M371" s="61" t="s">
        <v>24</v>
      </c>
      <c r="N371" s="61" t="s">
        <v>25</v>
      </c>
      <c r="O371" s="8" t="s">
        <v>867</v>
      </c>
      <c r="P371" s="73">
        <f>F371-(J371+K370)</f>
        <v>4.18</v>
      </c>
      <c r="Q371" s="8"/>
      <c r="R371" s="36" t="s">
        <v>25</v>
      </c>
      <c r="S371" s="41" t="s">
        <v>1163</v>
      </c>
      <c r="T371" s="83"/>
    </row>
    <row r="372" ht="15.75" customHeight="1">
      <c r="A372" s="8" t="s">
        <v>20</v>
      </c>
      <c r="B372" s="41" t="s">
        <v>864</v>
      </c>
      <c r="C372" s="42" t="s">
        <v>1164</v>
      </c>
      <c r="D372" s="41">
        <v>1.0</v>
      </c>
      <c r="E372" s="47" t="s">
        <v>1165</v>
      </c>
      <c r="F372" s="44">
        <v>90.0</v>
      </c>
      <c r="G372" s="54">
        <v>45452.0</v>
      </c>
      <c r="H372" s="44">
        <v>65.14</v>
      </c>
      <c r="I372" s="52">
        <f t="shared" si="61"/>
        <v>66</v>
      </c>
      <c r="J372" s="73">
        <f t="shared" si="62"/>
        <v>68.64</v>
      </c>
      <c r="K372" s="44">
        <v>15.0</v>
      </c>
      <c r="L372" s="32" t="s">
        <v>1166</v>
      </c>
      <c r="M372" s="61" t="s">
        <v>24</v>
      </c>
      <c r="N372" s="61" t="s">
        <v>25</v>
      </c>
      <c r="O372" s="8" t="s">
        <v>867</v>
      </c>
      <c r="P372" s="73">
        <f t="shared" ref="P372:P623" si="63">F372-(J372+K372)</f>
        <v>6.36</v>
      </c>
      <c r="Q372" s="8"/>
      <c r="R372" s="36" t="s">
        <v>25</v>
      </c>
      <c r="S372" s="41" t="s">
        <v>1167</v>
      </c>
      <c r="T372" s="83"/>
    </row>
    <row r="373" ht="15.75" customHeight="1">
      <c r="A373" s="8" t="s">
        <v>20</v>
      </c>
      <c r="B373" s="41" t="s">
        <v>37</v>
      </c>
      <c r="C373" s="42" t="s">
        <v>1168</v>
      </c>
      <c r="D373" s="41">
        <v>4.0</v>
      </c>
      <c r="E373" s="47" t="s">
        <v>1169</v>
      </c>
      <c r="F373" s="44">
        <v>0.0</v>
      </c>
      <c r="G373" s="54">
        <v>45453.0</v>
      </c>
      <c r="H373" s="84">
        <v>300.0</v>
      </c>
      <c r="I373" s="84">
        <v>300.0</v>
      </c>
      <c r="J373" s="84">
        <v>300.0</v>
      </c>
      <c r="K373" s="44">
        <v>90.0</v>
      </c>
      <c r="L373" s="46">
        <v>2.0</v>
      </c>
      <c r="M373" s="61" t="s">
        <v>24</v>
      </c>
      <c r="N373" s="61" t="s">
        <v>25</v>
      </c>
      <c r="O373" s="8" t="s">
        <v>867</v>
      </c>
      <c r="P373" s="73">
        <f t="shared" si="63"/>
        <v>-390</v>
      </c>
      <c r="Q373" s="8"/>
      <c r="R373" s="36" t="s">
        <v>25</v>
      </c>
      <c r="S373" s="41" t="s">
        <v>1170</v>
      </c>
      <c r="T373" s="83"/>
    </row>
    <row r="374" ht="15.75" customHeight="1">
      <c r="A374" s="8" t="s">
        <v>20</v>
      </c>
      <c r="B374" s="41" t="s">
        <v>1126</v>
      </c>
      <c r="C374" s="42" t="s">
        <v>1171</v>
      </c>
      <c r="D374" s="41">
        <v>1.0</v>
      </c>
      <c r="E374" s="41"/>
      <c r="F374" s="44">
        <f>60*L374</f>
        <v>240</v>
      </c>
      <c r="G374" s="45"/>
      <c r="H374" s="52"/>
      <c r="I374" s="52">
        <f t="shared" ref="I374:I378" si="64">ROUND(H374+H374*0.01,0)</f>
        <v>0</v>
      </c>
      <c r="J374" s="73">
        <f t="shared" ref="J374:J377" si="65">I374+(I374*0.04)</f>
        <v>0</v>
      </c>
      <c r="K374" s="44">
        <v>180.0</v>
      </c>
      <c r="L374" s="46">
        <v>4.0</v>
      </c>
      <c r="M374" s="61" t="s">
        <v>24</v>
      </c>
      <c r="N374" s="61" t="s">
        <v>25</v>
      </c>
      <c r="O374" s="8" t="s">
        <v>867</v>
      </c>
      <c r="P374" s="73">
        <f t="shared" si="63"/>
        <v>60</v>
      </c>
      <c r="Q374" s="8"/>
      <c r="R374" s="36" t="s">
        <v>25</v>
      </c>
      <c r="S374" s="41" t="s">
        <v>1172</v>
      </c>
      <c r="T374" s="83"/>
    </row>
    <row r="375" ht="15.75" customHeight="1">
      <c r="A375" s="8" t="s">
        <v>20</v>
      </c>
      <c r="B375" s="41" t="s">
        <v>864</v>
      </c>
      <c r="C375" s="42" t="s">
        <v>1173</v>
      </c>
      <c r="D375" s="41">
        <v>1.0</v>
      </c>
      <c r="E375" s="47" t="s">
        <v>1174</v>
      </c>
      <c r="F375" s="44">
        <v>80.0</v>
      </c>
      <c r="G375" s="54">
        <v>45454.0</v>
      </c>
      <c r="H375" s="44">
        <v>63.13</v>
      </c>
      <c r="I375" s="52">
        <f t="shared" si="64"/>
        <v>64</v>
      </c>
      <c r="J375" s="73">
        <f t="shared" si="65"/>
        <v>66.56</v>
      </c>
      <c r="K375" s="44">
        <v>5.5</v>
      </c>
      <c r="L375" s="46">
        <v>0.2</v>
      </c>
      <c r="M375" s="61" t="s">
        <v>24</v>
      </c>
      <c r="N375" s="61" t="s">
        <v>25</v>
      </c>
      <c r="O375" s="8" t="s">
        <v>867</v>
      </c>
      <c r="P375" s="73">
        <f t="shared" si="63"/>
        <v>7.94</v>
      </c>
      <c r="Q375" s="8"/>
      <c r="R375" s="36" t="s">
        <v>25</v>
      </c>
      <c r="S375" s="41" t="s">
        <v>1175</v>
      </c>
      <c r="T375" s="83"/>
    </row>
    <row r="376" ht="15.75" customHeight="1">
      <c r="A376" s="8" t="s">
        <v>20</v>
      </c>
      <c r="B376" s="41" t="s">
        <v>864</v>
      </c>
      <c r="C376" s="42" t="s">
        <v>1176</v>
      </c>
      <c r="D376" s="41">
        <v>4.0</v>
      </c>
      <c r="E376" s="43" t="s">
        <v>1177</v>
      </c>
      <c r="F376" s="44">
        <v>30.0</v>
      </c>
      <c r="G376" s="54">
        <v>45454.0</v>
      </c>
      <c r="H376" s="44">
        <v>26.7</v>
      </c>
      <c r="I376" s="52">
        <f t="shared" si="64"/>
        <v>27</v>
      </c>
      <c r="J376" s="73">
        <f t="shared" si="65"/>
        <v>28.08</v>
      </c>
      <c r="K376" s="44">
        <v>0.0</v>
      </c>
      <c r="L376" s="46">
        <v>0.0</v>
      </c>
      <c r="M376" s="61" t="s">
        <v>24</v>
      </c>
      <c r="N376" s="61" t="s">
        <v>25</v>
      </c>
      <c r="O376" s="8" t="s">
        <v>867</v>
      </c>
      <c r="P376" s="73">
        <f t="shared" si="63"/>
        <v>1.92</v>
      </c>
      <c r="Q376" s="8"/>
      <c r="R376" s="36" t="s">
        <v>25</v>
      </c>
      <c r="S376" s="41" t="s">
        <v>1178</v>
      </c>
      <c r="T376" s="83"/>
    </row>
    <row r="377" ht="15.75" customHeight="1">
      <c r="A377" s="8" t="s">
        <v>20</v>
      </c>
      <c r="B377" s="41" t="s">
        <v>864</v>
      </c>
      <c r="C377" s="42" t="s">
        <v>1179</v>
      </c>
      <c r="D377" s="41">
        <v>1.0</v>
      </c>
      <c r="E377" s="43" t="s">
        <v>1180</v>
      </c>
      <c r="F377" s="44">
        <v>20.0</v>
      </c>
      <c r="G377" s="54">
        <v>45454.0</v>
      </c>
      <c r="H377" s="44">
        <v>12.75</v>
      </c>
      <c r="I377" s="52">
        <f t="shared" si="64"/>
        <v>13</v>
      </c>
      <c r="J377" s="73">
        <f t="shared" si="65"/>
        <v>13.52</v>
      </c>
      <c r="K377" s="44">
        <v>5.5</v>
      </c>
      <c r="L377" s="46">
        <v>0.2</v>
      </c>
      <c r="M377" s="61" t="s">
        <v>24</v>
      </c>
      <c r="N377" s="61" t="s">
        <v>25</v>
      </c>
      <c r="O377" s="8" t="s">
        <v>867</v>
      </c>
      <c r="P377" s="73">
        <f t="shared" si="63"/>
        <v>0.98</v>
      </c>
      <c r="Q377" s="8"/>
      <c r="R377" s="36" t="s">
        <v>25</v>
      </c>
      <c r="S377" s="41" t="s">
        <v>1181</v>
      </c>
      <c r="T377" s="83"/>
    </row>
    <row r="378" ht="15.75" customHeight="1">
      <c r="A378" s="8" t="s">
        <v>20</v>
      </c>
      <c r="B378" s="41" t="s">
        <v>1182</v>
      </c>
      <c r="C378" s="42" t="s">
        <v>1183</v>
      </c>
      <c r="D378" s="41">
        <v>1.0</v>
      </c>
      <c r="E378" s="43" t="s">
        <v>1184</v>
      </c>
      <c r="F378" s="44">
        <v>205.0</v>
      </c>
      <c r="G378" s="54">
        <v>45455.0</v>
      </c>
      <c r="H378" s="44">
        <v>111.27</v>
      </c>
      <c r="I378" s="52">
        <f t="shared" si="64"/>
        <v>112</v>
      </c>
      <c r="J378" s="44">
        <v>112.0</v>
      </c>
      <c r="K378" s="44">
        <v>100.0</v>
      </c>
      <c r="L378" s="46">
        <v>2.0</v>
      </c>
      <c r="M378" s="61" t="s">
        <v>24</v>
      </c>
      <c r="N378" s="61" t="s">
        <v>25</v>
      </c>
      <c r="O378" s="8" t="s">
        <v>867</v>
      </c>
      <c r="P378" s="73">
        <f t="shared" si="63"/>
        <v>-7</v>
      </c>
      <c r="Q378" s="8"/>
      <c r="R378" s="36" t="s">
        <v>25</v>
      </c>
      <c r="S378" s="41" t="s">
        <v>1185</v>
      </c>
      <c r="T378" s="83"/>
    </row>
    <row r="379" ht="15.75" customHeight="1">
      <c r="A379" s="8" t="s">
        <v>20</v>
      </c>
      <c r="B379" s="41" t="s">
        <v>898</v>
      </c>
      <c r="C379" s="42" t="s">
        <v>1186</v>
      </c>
      <c r="D379" s="41">
        <v>6.0</v>
      </c>
      <c r="E379" s="47" t="s">
        <v>1187</v>
      </c>
      <c r="F379" s="44">
        <v>0.0</v>
      </c>
      <c r="G379" s="54">
        <v>45457.0</v>
      </c>
      <c r="H379" s="44">
        <v>327.34</v>
      </c>
      <c r="I379" s="44">
        <v>327.34</v>
      </c>
      <c r="J379" s="44">
        <v>327.34</v>
      </c>
      <c r="K379" s="44"/>
      <c r="L379" s="82"/>
      <c r="M379" s="61" t="s">
        <v>24</v>
      </c>
      <c r="N379" s="61" t="s">
        <v>25</v>
      </c>
      <c r="O379" s="8" t="s">
        <v>867</v>
      </c>
      <c r="P379" s="73">
        <f t="shared" si="63"/>
        <v>-327.34</v>
      </c>
      <c r="Q379" s="8"/>
      <c r="R379" s="36" t="s">
        <v>25</v>
      </c>
      <c r="S379" s="41" t="s">
        <v>1188</v>
      </c>
      <c r="T379" s="83"/>
    </row>
    <row r="380" ht="15.75" customHeight="1">
      <c r="A380" s="8" t="s">
        <v>20</v>
      </c>
      <c r="B380" s="41" t="s">
        <v>130</v>
      </c>
      <c r="C380" s="42" t="s">
        <v>1189</v>
      </c>
      <c r="D380" s="41">
        <v>1.0</v>
      </c>
      <c r="E380" s="41"/>
      <c r="F380" s="44">
        <f>650</f>
        <v>650</v>
      </c>
      <c r="G380" s="54">
        <v>45460.0</v>
      </c>
      <c r="H380" s="52"/>
      <c r="I380" s="52">
        <f t="shared" ref="I380:I443" si="66">ROUND(H380+H380*0.01,0)</f>
        <v>0</v>
      </c>
      <c r="J380" s="73">
        <f t="shared" ref="J380:J411" si="67">I380+(I380*0.04)</f>
        <v>0</v>
      </c>
      <c r="K380" s="44">
        <f>500-135</f>
        <v>365</v>
      </c>
      <c r="L380" s="46">
        <v>10.0</v>
      </c>
      <c r="M380" s="61" t="s">
        <v>24</v>
      </c>
      <c r="N380" s="61" t="s">
        <v>25</v>
      </c>
      <c r="O380" s="8" t="s">
        <v>867</v>
      </c>
      <c r="P380" s="73">
        <f t="shared" si="63"/>
        <v>285</v>
      </c>
      <c r="Q380" s="8"/>
      <c r="R380" s="36" t="s">
        <v>25</v>
      </c>
      <c r="S380" s="41" t="s">
        <v>1190</v>
      </c>
      <c r="T380" s="83"/>
    </row>
    <row r="381" ht="15.75" customHeight="1">
      <c r="A381" s="8" t="s">
        <v>20</v>
      </c>
      <c r="B381" s="41" t="s">
        <v>657</v>
      </c>
      <c r="C381" s="42" t="s">
        <v>1191</v>
      </c>
      <c r="D381" s="41">
        <v>1.0</v>
      </c>
      <c r="E381" s="43" t="s">
        <v>1192</v>
      </c>
      <c r="F381" s="44">
        <v>125.0</v>
      </c>
      <c r="G381" s="54">
        <v>45461.0</v>
      </c>
      <c r="H381" s="44">
        <v>58.42</v>
      </c>
      <c r="I381" s="52">
        <f t="shared" si="66"/>
        <v>59</v>
      </c>
      <c r="J381" s="73">
        <f t="shared" si="67"/>
        <v>61.36</v>
      </c>
      <c r="K381" s="44">
        <v>22.0</v>
      </c>
      <c r="L381" s="46">
        <v>0.5</v>
      </c>
      <c r="M381" s="61" t="s">
        <v>24</v>
      </c>
      <c r="N381" s="61" t="s">
        <v>25</v>
      </c>
      <c r="O381" s="8" t="s">
        <v>867</v>
      </c>
      <c r="P381" s="73">
        <f t="shared" si="63"/>
        <v>41.64</v>
      </c>
      <c r="Q381" s="8"/>
      <c r="R381" s="36" t="s">
        <v>25</v>
      </c>
      <c r="S381" s="41" t="s">
        <v>1193</v>
      </c>
      <c r="T381" s="83"/>
    </row>
    <row r="382" ht="15.75" customHeight="1">
      <c r="A382" s="8" t="s">
        <v>20</v>
      </c>
      <c r="B382" s="41" t="s">
        <v>581</v>
      </c>
      <c r="C382" s="42" t="s">
        <v>1194</v>
      </c>
      <c r="D382" s="41">
        <v>1.0</v>
      </c>
      <c r="E382" s="47" t="s">
        <v>1195</v>
      </c>
      <c r="F382" s="44">
        <v>705.0</v>
      </c>
      <c r="G382" s="54">
        <v>45464.0</v>
      </c>
      <c r="H382" s="44">
        <v>517.94</v>
      </c>
      <c r="I382" s="52">
        <f t="shared" si="66"/>
        <v>523</v>
      </c>
      <c r="J382" s="73">
        <f t="shared" si="67"/>
        <v>543.92</v>
      </c>
      <c r="K382" s="44">
        <v>90.0</v>
      </c>
      <c r="L382" s="46">
        <v>2.0</v>
      </c>
      <c r="M382" s="61" t="s">
        <v>24</v>
      </c>
      <c r="N382" s="61" t="s">
        <v>25</v>
      </c>
      <c r="O382" s="8" t="s">
        <v>867</v>
      </c>
      <c r="P382" s="73">
        <f t="shared" si="63"/>
        <v>71.08</v>
      </c>
      <c r="Q382" s="8"/>
      <c r="R382" s="36" t="s">
        <v>25</v>
      </c>
      <c r="S382" s="47" t="s">
        <v>1196</v>
      </c>
      <c r="T382" s="83"/>
    </row>
    <row r="383" ht="15.75" customHeight="1">
      <c r="A383" s="8" t="s">
        <v>20</v>
      </c>
      <c r="B383" s="41" t="s">
        <v>1115</v>
      </c>
      <c r="C383" s="42" t="s">
        <v>1197</v>
      </c>
      <c r="D383" s="41">
        <v>1.0</v>
      </c>
      <c r="E383" s="43" t="s">
        <v>1198</v>
      </c>
      <c r="F383" s="44">
        <v>1080.0</v>
      </c>
      <c r="G383" s="54">
        <v>45464.0</v>
      </c>
      <c r="H383" s="44">
        <v>452.91</v>
      </c>
      <c r="I383" s="52">
        <f t="shared" si="66"/>
        <v>457</v>
      </c>
      <c r="J383" s="73">
        <f t="shared" si="67"/>
        <v>475.28</v>
      </c>
      <c r="K383" s="44">
        <v>450.0</v>
      </c>
      <c r="L383" s="46">
        <v>10.0</v>
      </c>
      <c r="M383" s="61" t="s">
        <v>24</v>
      </c>
      <c r="N383" s="61" t="s">
        <v>25</v>
      </c>
      <c r="O383" s="8" t="s">
        <v>867</v>
      </c>
      <c r="P383" s="73">
        <f t="shared" si="63"/>
        <v>154.72</v>
      </c>
      <c r="Q383" s="8"/>
      <c r="R383" s="36" t="s">
        <v>25</v>
      </c>
      <c r="S383" s="41" t="s">
        <v>1199</v>
      </c>
      <c r="T383" s="83"/>
    </row>
    <row r="384" ht="15.75" customHeight="1">
      <c r="A384" s="8" t="s">
        <v>20</v>
      </c>
      <c r="B384" s="41" t="s">
        <v>67</v>
      </c>
      <c r="C384" s="105" t="s">
        <v>1200</v>
      </c>
      <c r="D384" s="41">
        <v>65.0</v>
      </c>
      <c r="E384" s="43" t="s">
        <v>1201</v>
      </c>
      <c r="F384" s="44">
        <v>2300.0</v>
      </c>
      <c r="G384" s="54">
        <v>45471.0</v>
      </c>
      <c r="H384" s="44">
        <f>1514.1+18</f>
        <v>1532.1</v>
      </c>
      <c r="I384" s="52">
        <f t="shared" si="66"/>
        <v>1547</v>
      </c>
      <c r="J384" s="73">
        <f t="shared" si="67"/>
        <v>1608.88</v>
      </c>
      <c r="K384" s="44">
        <v>315.0</v>
      </c>
      <c r="L384" s="46">
        <v>7.0</v>
      </c>
      <c r="M384" s="61" t="s">
        <v>24</v>
      </c>
      <c r="N384" s="61" t="s">
        <v>25</v>
      </c>
      <c r="O384" s="8" t="s">
        <v>867</v>
      </c>
      <c r="P384" s="73">
        <f t="shared" si="63"/>
        <v>376.12</v>
      </c>
      <c r="Q384" s="8"/>
      <c r="R384" s="36" t="s">
        <v>25</v>
      </c>
      <c r="S384" s="41" t="s">
        <v>1202</v>
      </c>
      <c r="T384" s="83"/>
    </row>
    <row r="385" ht="15.75" customHeight="1">
      <c r="A385" s="8" t="s">
        <v>20</v>
      </c>
      <c r="B385" s="41" t="s">
        <v>1203</v>
      </c>
      <c r="C385" s="42" t="s">
        <v>1204</v>
      </c>
      <c r="D385" s="41">
        <v>1.0</v>
      </c>
      <c r="E385" s="41"/>
      <c r="F385" s="44">
        <v>60.0</v>
      </c>
      <c r="G385" s="54">
        <v>45474.0</v>
      </c>
      <c r="H385" s="52"/>
      <c r="I385" s="52">
        <f t="shared" si="66"/>
        <v>0</v>
      </c>
      <c r="J385" s="73">
        <f t="shared" si="67"/>
        <v>0</v>
      </c>
      <c r="K385" s="44">
        <v>50.0</v>
      </c>
      <c r="L385" s="46">
        <v>1.0</v>
      </c>
      <c r="M385" s="61" t="s">
        <v>24</v>
      </c>
      <c r="N385" s="61" t="s">
        <v>25</v>
      </c>
      <c r="O385" s="8" t="s">
        <v>867</v>
      </c>
      <c r="P385" s="73">
        <f t="shared" si="63"/>
        <v>10</v>
      </c>
      <c r="Q385" s="8"/>
      <c r="R385" s="36" t="s">
        <v>25</v>
      </c>
      <c r="S385" s="41" t="s">
        <v>1205</v>
      </c>
      <c r="T385" s="83"/>
    </row>
    <row r="386" ht="15.75" customHeight="1">
      <c r="A386" s="8" t="s">
        <v>20</v>
      </c>
      <c r="B386" s="41" t="s">
        <v>957</v>
      </c>
      <c r="C386" s="42" t="s">
        <v>1206</v>
      </c>
      <c r="D386" s="41">
        <v>20.0</v>
      </c>
      <c r="E386" s="43" t="s">
        <v>1207</v>
      </c>
      <c r="F386" s="44">
        <v>0.0</v>
      </c>
      <c r="G386" s="54">
        <v>45450.0</v>
      </c>
      <c r="H386" s="44">
        <v>52.22</v>
      </c>
      <c r="I386" s="52">
        <f t="shared" si="66"/>
        <v>53</v>
      </c>
      <c r="J386" s="73">
        <f t="shared" si="67"/>
        <v>55.12</v>
      </c>
      <c r="K386" s="44">
        <f>90-45</f>
        <v>45</v>
      </c>
      <c r="L386" s="46">
        <v>2.0</v>
      </c>
      <c r="M386" s="61" t="s">
        <v>24</v>
      </c>
      <c r="N386" s="61" t="s">
        <v>25</v>
      </c>
      <c r="O386" s="8" t="s">
        <v>867</v>
      </c>
      <c r="P386" s="73">
        <f t="shared" si="63"/>
        <v>-100.12</v>
      </c>
      <c r="Q386" s="8"/>
      <c r="R386" s="36" t="s">
        <v>25</v>
      </c>
      <c r="S386" s="41" t="s">
        <v>1205</v>
      </c>
      <c r="T386" s="83"/>
    </row>
    <row r="387" ht="15.75" customHeight="1">
      <c r="A387" s="8" t="s">
        <v>20</v>
      </c>
      <c r="B387" s="41" t="s">
        <v>494</v>
      </c>
      <c r="C387" s="42" t="s">
        <v>1208</v>
      </c>
      <c r="D387" s="41">
        <v>10.0</v>
      </c>
      <c r="E387" s="41"/>
      <c r="F387" s="44">
        <v>195.0</v>
      </c>
      <c r="G387" s="54">
        <v>45476.0</v>
      </c>
      <c r="H387" s="44">
        <v>0.0</v>
      </c>
      <c r="I387" s="52">
        <f t="shared" si="66"/>
        <v>0</v>
      </c>
      <c r="J387" s="73">
        <f t="shared" si="67"/>
        <v>0</v>
      </c>
      <c r="K387" s="44">
        <v>135.0</v>
      </c>
      <c r="L387" s="46">
        <v>3.0</v>
      </c>
      <c r="M387" s="61" t="s">
        <v>24</v>
      </c>
      <c r="N387" s="61" t="s">
        <v>25</v>
      </c>
      <c r="O387" s="8" t="s">
        <v>1004</v>
      </c>
      <c r="P387" s="73">
        <f t="shared" si="63"/>
        <v>60</v>
      </c>
      <c r="Q387" s="8"/>
      <c r="R387" s="36" t="s">
        <v>25</v>
      </c>
      <c r="S387" s="41" t="s">
        <v>1209</v>
      </c>
      <c r="T387" s="83"/>
    </row>
    <row r="388" ht="15.75" customHeight="1">
      <c r="A388" s="8" t="s">
        <v>20</v>
      </c>
      <c r="B388" s="41" t="s">
        <v>151</v>
      </c>
      <c r="C388" s="42" t="s">
        <v>1210</v>
      </c>
      <c r="D388" s="41">
        <v>1.0</v>
      </c>
      <c r="E388" s="41"/>
      <c r="F388" s="44">
        <v>120.0</v>
      </c>
      <c r="G388" s="54">
        <v>45477.0</v>
      </c>
      <c r="H388" s="52"/>
      <c r="I388" s="52">
        <f t="shared" si="66"/>
        <v>0</v>
      </c>
      <c r="J388" s="73">
        <f t="shared" si="67"/>
        <v>0</v>
      </c>
      <c r="K388" s="44">
        <v>100.0</v>
      </c>
      <c r="L388" s="46">
        <v>2.0</v>
      </c>
      <c r="M388" s="61" t="s">
        <v>24</v>
      </c>
      <c r="N388" s="61" t="s">
        <v>25</v>
      </c>
      <c r="O388" s="8" t="s">
        <v>867</v>
      </c>
      <c r="P388" s="73">
        <f t="shared" si="63"/>
        <v>20</v>
      </c>
      <c r="Q388" s="8"/>
      <c r="R388" s="36" t="s">
        <v>25</v>
      </c>
      <c r="S388" s="41" t="s">
        <v>1211</v>
      </c>
      <c r="T388" s="41" t="s">
        <v>1212</v>
      </c>
    </row>
    <row r="389" ht="15.75" customHeight="1">
      <c r="A389" s="8" t="s">
        <v>20</v>
      </c>
      <c r="B389" s="41" t="s">
        <v>203</v>
      </c>
      <c r="C389" s="42" t="s">
        <v>1213</v>
      </c>
      <c r="D389" s="41">
        <v>1.0</v>
      </c>
      <c r="E389" s="41"/>
      <c r="F389" s="44">
        <v>12.5</v>
      </c>
      <c r="G389" s="54">
        <v>45479.0</v>
      </c>
      <c r="H389" s="52"/>
      <c r="I389" s="52">
        <f t="shared" si="66"/>
        <v>0</v>
      </c>
      <c r="J389" s="73">
        <f t="shared" si="67"/>
        <v>0</v>
      </c>
      <c r="K389" s="44">
        <v>10.0</v>
      </c>
      <c r="L389" s="32" t="s">
        <v>1214</v>
      </c>
      <c r="M389" s="61" t="s">
        <v>24</v>
      </c>
      <c r="N389" s="61" t="s">
        <v>25</v>
      </c>
      <c r="O389" s="8" t="s">
        <v>867</v>
      </c>
      <c r="P389" s="73">
        <f t="shared" si="63"/>
        <v>2.5</v>
      </c>
      <c r="Q389" s="8"/>
      <c r="R389" s="36" t="s">
        <v>25</v>
      </c>
      <c r="S389" s="49" t="s">
        <v>1215</v>
      </c>
      <c r="T389" s="83"/>
    </row>
    <row r="390" ht="15.75" customHeight="1">
      <c r="A390" s="8" t="s">
        <v>20</v>
      </c>
      <c r="B390" s="41" t="s">
        <v>37</v>
      </c>
      <c r="C390" s="42" t="s">
        <v>1216</v>
      </c>
      <c r="D390" s="41">
        <v>6.0</v>
      </c>
      <c r="E390" s="43" t="s">
        <v>1217</v>
      </c>
      <c r="F390" s="44">
        <v>0.0</v>
      </c>
      <c r="G390" s="54">
        <v>45480.0</v>
      </c>
      <c r="H390" s="52"/>
      <c r="I390" s="52">
        <f t="shared" si="66"/>
        <v>0</v>
      </c>
      <c r="J390" s="73">
        <f t="shared" si="67"/>
        <v>0</v>
      </c>
      <c r="K390" s="44">
        <v>150.0</v>
      </c>
      <c r="L390" s="46">
        <v>3.0</v>
      </c>
      <c r="M390" s="61" t="s">
        <v>24</v>
      </c>
      <c r="N390" s="61" t="s">
        <v>25</v>
      </c>
      <c r="O390" s="8" t="s">
        <v>867</v>
      </c>
      <c r="P390" s="73">
        <f t="shared" si="63"/>
        <v>-150</v>
      </c>
      <c r="Q390" s="8"/>
      <c r="R390" s="36" t="s">
        <v>25</v>
      </c>
      <c r="S390" s="41" t="s">
        <v>1218</v>
      </c>
      <c r="T390" s="83"/>
    </row>
    <row r="391" ht="15.75" customHeight="1">
      <c r="A391" s="8" t="s">
        <v>20</v>
      </c>
      <c r="B391" s="41" t="s">
        <v>37</v>
      </c>
      <c r="C391" s="42" t="s">
        <v>1219</v>
      </c>
      <c r="D391" s="41">
        <v>1.0</v>
      </c>
      <c r="E391" s="43" t="s">
        <v>1220</v>
      </c>
      <c r="F391" s="44">
        <v>0.0</v>
      </c>
      <c r="G391" s="54">
        <v>45483.0</v>
      </c>
      <c r="H391" s="52"/>
      <c r="I391" s="52">
        <f t="shared" si="66"/>
        <v>0</v>
      </c>
      <c r="J391" s="73">
        <f t="shared" si="67"/>
        <v>0</v>
      </c>
      <c r="K391" s="44">
        <v>50.0</v>
      </c>
      <c r="L391" s="46">
        <v>1.0</v>
      </c>
      <c r="M391" s="61" t="s">
        <v>24</v>
      </c>
      <c r="N391" s="61" t="s">
        <v>25</v>
      </c>
      <c r="O391" s="8" t="s">
        <v>867</v>
      </c>
      <c r="P391" s="73">
        <f t="shared" si="63"/>
        <v>-50</v>
      </c>
      <c r="Q391" s="8"/>
      <c r="R391" s="36" t="s">
        <v>25</v>
      </c>
      <c r="S391" s="41" t="s">
        <v>1221</v>
      </c>
      <c r="T391" s="83"/>
    </row>
    <row r="392" ht="15.75" customHeight="1">
      <c r="A392" s="8" t="s">
        <v>20</v>
      </c>
      <c r="B392" s="41" t="s">
        <v>1203</v>
      </c>
      <c r="C392" s="42" t="s">
        <v>1222</v>
      </c>
      <c r="D392" s="41">
        <v>1.0</v>
      </c>
      <c r="E392" s="41"/>
      <c r="F392" s="44">
        <v>12.5</v>
      </c>
      <c r="G392" s="45"/>
      <c r="H392" s="52"/>
      <c r="I392" s="52">
        <f t="shared" si="66"/>
        <v>0</v>
      </c>
      <c r="J392" s="73">
        <f t="shared" si="67"/>
        <v>0</v>
      </c>
      <c r="K392" s="44">
        <v>10.0</v>
      </c>
      <c r="L392" s="32" t="s">
        <v>1214</v>
      </c>
      <c r="M392" s="61" t="s">
        <v>24</v>
      </c>
      <c r="N392" s="61" t="s">
        <v>25</v>
      </c>
      <c r="O392" s="8" t="s">
        <v>867</v>
      </c>
      <c r="P392" s="73">
        <f t="shared" si="63"/>
        <v>2.5</v>
      </c>
      <c r="Q392" s="8"/>
      <c r="R392" s="36" t="s">
        <v>25</v>
      </c>
      <c r="S392" s="41" t="s">
        <v>24</v>
      </c>
      <c r="T392" s="83"/>
    </row>
    <row r="393" ht="15.75" customHeight="1">
      <c r="A393" s="8" t="s">
        <v>20</v>
      </c>
      <c r="B393" s="41" t="s">
        <v>1203</v>
      </c>
      <c r="C393" s="42" t="s">
        <v>1223</v>
      </c>
      <c r="D393" s="41">
        <v>1.0</v>
      </c>
      <c r="E393" s="41"/>
      <c r="F393" s="44">
        <v>165.0</v>
      </c>
      <c r="G393" s="45"/>
      <c r="H393" s="52"/>
      <c r="I393" s="52">
        <f t="shared" si="66"/>
        <v>0</v>
      </c>
      <c r="J393" s="73">
        <f t="shared" si="67"/>
        <v>0</v>
      </c>
      <c r="K393" s="44">
        <v>150.0</v>
      </c>
      <c r="L393" s="46">
        <v>3.0</v>
      </c>
      <c r="M393" s="61" t="s">
        <v>24</v>
      </c>
      <c r="N393" s="61" t="s">
        <v>25</v>
      </c>
      <c r="O393" s="8" t="s">
        <v>867</v>
      </c>
      <c r="P393" s="73">
        <f t="shared" si="63"/>
        <v>15</v>
      </c>
      <c r="Q393" s="8"/>
      <c r="R393" s="36" t="s">
        <v>25</v>
      </c>
      <c r="S393" s="41" t="s">
        <v>1224</v>
      </c>
      <c r="T393" s="83"/>
    </row>
    <row r="394" ht="15.75" customHeight="1">
      <c r="A394" s="8" t="s">
        <v>20</v>
      </c>
      <c r="B394" s="41" t="s">
        <v>1203</v>
      </c>
      <c r="C394" s="42" t="s">
        <v>1225</v>
      </c>
      <c r="D394" s="41">
        <v>1.0</v>
      </c>
      <c r="E394" s="41"/>
      <c r="F394" s="44">
        <v>25.0</v>
      </c>
      <c r="G394" s="45"/>
      <c r="H394" s="52"/>
      <c r="I394" s="52">
        <f t="shared" si="66"/>
        <v>0</v>
      </c>
      <c r="J394" s="73">
        <f t="shared" si="67"/>
        <v>0</v>
      </c>
      <c r="K394" s="44">
        <v>15.0</v>
      </c>
      <c r="L394" s="32" t="s">
        <v>1166</v>
      </c>
      <c r="M394" s="61" t="s">
        <v>24</v>
      </c>
      <c r="N394" s="61" t="s">
        <v>25</v>
      </c>
      <c r="O394" s="8" t="s">
        <v>867</v>
      </c>
      <c r="P394" s="73">
        <f t="shared" si="63"/>
        <v>10</v>
      </c>
      <c r="Q394" s="8"/>
      <c r="R394" s="36" t="s">
        <v>25</v>
      </c>
      <c r="S394" s="41" t="s">
        <v>1224</v>
      </c>
      <c r="T394" s="83"/>
    </row>
    <row r="395" ht="15.75" customHeight="1">
      <c r="A395" s="8" t="s">
        <v>20</v>
      </c>
      <c r="B395" s="41" t="s">
        <v>864</v>
      </c>
      <c r="C395" s="42" t="s">
        <v>1226</v>
      </c>
      <c r="D395" s="41">
        <v>1.0</v>
      </c>
      <c r="E395" s="43" t="s">
        <v>1227</v>
      </c>
      <c r="F395" s="44">
        <v>45.0</v>
      </c>
      <c r="G395" s="54">
        <v>45484.0</v>
      </c>
      <c r="H395" s="44">
        <v>27.4</v>
      </c>
      <c r="I395" s="52">
        <f t="shared" si="66"/>
        <v>28</v>
      </c>
      <c r="J395" s="73">
        <f t="shared" si="67"/>
        <v>29.12</v>
      </c>
      <c r="K395" s="44">
        <v>10.0</v>
      </c>
      <c r="L395" s="32" t="s">
        <v>1214</v>
      </c>
      <c r="M395" s="61" t="s">
        <v>24</v>
      </c>
      <c r="N395" s="61" t="s">
        <v>25</v>
      </c>
      <c r="O395" s="8" t="s">
        <v>867</v>
      </c>
      <c r="P395" s="73">
        <f t="shared" si="63"/>
        <v>5.88</v>
      </c>
      <c r="Q395" s="8"/>
      <c r="R395" s="36" t="s">
        <v>25</v>
      </c>
      <c r="S395" s="41" t="s">
        <v>1228</v>
      </c>
      <c r="T395" s="83"/>
    </row>
    <row r="396" ht="15.75" customHeight="1">
      <c r="A396" s="8" t="s">
        <v>20</v>
      </c>
      <c r="B396" s="41" t="s">
        <v>883</v>
      </c>
      <c r="C396" s="42" t="s">
        <v>1229</v>
      </c>
      <c r="D396" s="41">
        <v>1.0</v>
      </c>
      <c r="E396" s="41"/>
      <c r="F396" s="44">
        <v>1850.0</v>
      </c>
      <c r="G396" s="45"/>
      <c r="H396" s="52"/>
      <c r="I396" s="52">
        <f t="shared" si="66"/>
        <v>0</v>
      </c>
      <c r="J396" s="73">
        <f t="shared" si="67"/>
        <v>0</v>
      </c>
      <c r="K396" s="44">
        <v>1640.0</v>
      </c>
      <c r="L396" s="46">
        <v>33.0</v>
      </c>
      <c r="M396" s="61" t="s">
        <v>24</v>
      </c>
      <c r="N396" s="61" t="s">
        <v>25</v>
      </c>
      <c r="O396" s="8" t="s">
        <v>867</v>
      </c>
      <c r="P396" s="73">
        <f t="shared" si="63"/>
        <v>210</v>
      </c>
      <c r="Q396" s="8"/>
      <c r="R396" s="36" t="s">
        <v>25</v>
      </c>
      <c r="S396" s="41" t="s">
        <v>1230</v>
      </c>
      <c r="T396" s="83"/>
    </row>
    <row r="397" ht="15.75" customHeight="1">
      <c r="A397" s="8" t="s">
        <v>20</v>
      </c>
      <c r="B397" s="41" t="s">
        <v>883</v>
      </c>
      <c r="C397" s="42" t="s">
        <v>1231</v>
      </c>
      <c r="D397" s="41">
        <v>1.0</v>
      </c>
      <c r="E397" s="41"/>
      <c r="F397" s="44">
        <v>430.0</v>
      </c>
      <c r="G397" s="45"/>
      <c r="H397" s="52"/>
      <c r="I397" s="52">
        <f t="shared" si="66"/>
        <v>0</v>
      </c>
      <c r="J397" s="73">
        <f t="shared" si="67"/>
        <v>0</v>
      </c>
      <c r="K397" s="44">
        <v>360.0</v>
      </c>
      <c r="L397" s="46">
        <v>8.0</v>
      </c>
      <c r="M397" s="61" t="s">
        <v>24</v>
      </c>
      <c r="N397" s="61" t="s">
        <v>25</v>
      </c>
      <c r="O397" s="8" t="s">
        <v>867</v>
      </c>
      <c r="P397" s="73">
        <f t="shared" si="63"/>
        <v>70</v>
      </c>
      <c r="Q397" s="8"/>
      <c r="R397" s="36" t="s">
        <v>25</v>
      </c>
      <c r="S397" s="41" t="s">
        <v>1230</v>
      </c>
      <c r="T397" s="83"/>
    </row>
    <row r="398" ht="15.75" customHeight="1">
      <c r="A398" s="8" t="s">
        <v>20</v>
      </c>
      <c r="B398" s="41" t="s">
        <v>864</v>
      </c>
      <c r="C398" s="42" t="s">
        <v>1232</v>
      </c>
      <c r="D398" s="41">
        <v>3.0</v>
      </c>
      <c r="E398" s="43" t="s">
        <v>1233</v>
      </c>
      <c r="F398" s="44">
        <v>150.0</v>
      </c>
      <c r="G398" s="54">
        <v>45488.0</v>
      </c>
      <c r="H398" s="44">
        <v>87.91</v>
      </c>
      <c r="I398" s="52">
        <f t="shared" si="66"/>
        <v>89</v>
      </c>
      <c r="J398" s="73">
        <f t="shared" si="67"/>
        <v>92.56</v>
      </c>
      <c r="K398" s="44">
        <v>55.0</v>
      </c>
      <c r="L398" s="32">
        <v>1.5</v>
      </c>
      <c r="M398" s="61" t="s">
        <v>24</v>
      </c>
      <c r="N398" s="61" t="s">
        <v>25</v>
      </c>
      <c r="O398" s="8" t="s">
        <v>867</v>
      </c>
      <c r="P398" s="73">
        <f t="shared" si="63"/>
        <v>2.44</v>
      </c>
      <c r="Q398" s="8"/>
      <c r="R398" s="36" t="s">
        <v>25</v>
      </c>
      <c r="S398" s="41" t="s">
        <v>1234</v>
      </c>
      <c r="T398" s="83"/>
    </row>
    <row r="399" ht="15.75" customHeight="1">
      <c r="A399" s="8" t="s">
        <v>20</v>
      </c>
      <c r="B399" s="41" t="s">
        <v>864</v>
      </c>
      <c r="C399" s="42" t="s">
        <v>1235</v>
      </c>
      <c r="D399" s="41">
        <v>3.0</v>
      </c>
      <c r="E399" s="43" t="s">
        <v>1236</v>
      </c>
      <c r="F399" s="44">
        <v>35.0</v>
      </c>
      <c r="G399" s="54">
        <v>45488.0</v>
      </c>
      <c r="H399" s="44">
        <v>20.53</v>
      </c>
      <c r="I399" s="52">
        <f t="shared" si="66"/>
        <v>21</v>
      </c>
      <c r="J399" s="73">
        <f t="shared" si="67"/>
        <v>21.84</v>
      </c>
      <c r="K399" s="44">
        <v>10.0</v>
      </c>
      <c r="L399" s="32" t="s">
        <v>1214</v>
      </c>
      <c r="M399" s="61" t="s">
        <v>24</v>
      </c>
      <c r="N399" s="61" t="s">
        <v>25</v>
      </c>
      <c r="O399" s="8" t="s">
        <v>867</v>
      </c>
      <c r="P399" s="73">
        <f t="shared" si="63"/>
        <v>3.16</v>
      </c>
      <c r="Q399" s="8"/>
      <c r="R399" s="36" t="s">
        <v>25</v>
      </c>
      <c r="S399" s="41" t="s">
        <v>1237</v>
      </c>
      <c r="T399" s="83"/>
    </row>
    <row r="400" ht="15.75" customHeight="1">
      <c r="A400" s="8" t="s">
        <v>20</v>
      </c>
      <c r="B400" s="41" t="s">
        <v>179</v>
      </c>
      <c r="C400" s="42" t="s">
        <v>1238</v>
      </c>
      <c r="D400" s="41">
        <v>2.0</v>
      </c>
      <c r="E400" s="41"/>
      <c r="F400" s="44">
        <v>280.0</v>
      </c>
      <c r="G400" s="54">
        <v>45488.0</v>
      </c>
      <c r="H400" s="44">
        <v>211.84</v>
      </c>
      <c r="I400" s="52">
        <f t="shared" si="66"/>
        <v>214</v>
      </c>
      <c r="J400" s="73">
        <f t="shared" si="67"/>
        <v>222.56</v>
      </c>
      <c r="K400" s="44">
        <v>10.0</v>
      </c>
      <c r="L400" s="32" t="s">
        <v>1214</v>
      </c>
      <c r="M400" s="61" t="s">
        <v>24</v>
      </c>
      <c r="N400" s="61" t="s">
        <v>25</v>
      </c>
      <c r="O400" s="8" t="s">
        <v>1004</v>
      </c>
      <c r="P400" s="73">
        <f t="shared" si="63"/>
        <v>47.44</v>
      </c>
      <c r="Q400" s="8"/>
      <c r="R400" s="36" t="s">
        <v>25</v>
      </c>
      <c r="S400" s="41" t="s">
        <v>1239</v>
      </c>
      <c r="T400" s="83"/>
    </row>
    <row r="401" ht="15.75" customHeight="1">
      <c r="A401" s="8" t="s">
        <v>20</v>
      </c>
      <c r="B401" s="41" t="s">
        <v>67</v>
      </c>
      <c r="C401" s="42" t="s">
        <v>1240</v>
      </c>
      <c r="D401" s="41">
        <v>1.0</v>
      </c>
      <c r="E401" s="43" t="s">
        <v>1241</v>
      </c>
      <c r="F401" s="44">
        <v>430.0</v>
      </c>
      <c r="G401" s="54">
        <v>45489.0</v>
      </c>
      <c r="H401" s="44">
        <v>300.0</v>
      </c>
      <c r="I401" s="52">
        <f t="shared" si="66"/>
        <v>303</v>
      </c>
      <c r="J401" s="73">
        <f t="shared" si="67"/>
        <v>315.12</v>
      </c>
      <c r="K401" s="44">
        <v>45.0</v>
      </c>
      <c r="L401" s="46">
        <v>1.0</v>
      </c>
      <c r="M401" s="61" t="s">
        <v>24</v>
      </c>
      <c r="N401" s="61" t="s">
        <v>25</v>
      </c>
      <c r="O401" s="8" t="s">
        <v>867</v>
      </c>
      <c r="P401" s="73">
        <f t="shared" si="63"/>
        <v>69.88</v>
      </c>
      <c r="Q401" s="8"/>
      <c r="R401" s="36" t="s">
        <v>25</v>
      </c>
      <c r="S401" s="41" t="s">
        <v>1242</v>
      </c>
      <c r="T401" s="83"/>
    </row>
    <row r="402" ht="15.75" customHeight="1">
      <c r="A402" s="8" t="s">
        <v>20</v>
      </c>
      <c r="B402" s="41" t="s">
        <v>37</v>
      </c>
      <c r="C402" s="42" t="s">
        <v>1243</v>
      </c>
      <c r="D402" s="41">
        <v>1.0</v>
      </c>
      <c r="E402" s="41"/>
      <c r="F402" s="44">
        <v>0.0</v>
      </c>
      <c r="G402" s="54">
        <v>45489.0</v>
      </c>
      <c r="H402" s="52"/>
      <c r="I402" s="52">
        <f t="shared" si="66"/>
        <v>0</v>
      </c>
      <c r="J402" s="73">
        <f t="shared" si="67"/>
        <v>0</v>
      </c>
      <c r="K402" s="44">
        <v>10.0</v>
      </c>
      <c r="L402" s="32" t="s">
        <v>1214</v>
      </c>
      <c r="M402" s="61" t="s">
        <v>24</v>
      </c>
      <c r="N402" s="61" t="s">
        <v>25</v>
      </c>
      <c r="O402" s="8" t="s">
        <v>867</v>
      </c>
      <c r="P402" s="73">
        <f t="shared" si="63"/>
        <v>-10</v>
      </c>
      <c r="Q402" s="8"/>
      <c r="R402" s="36" t="s">
        <v>25</v>
      </c>
      <c r="S402" s="41" t="s">
        <v>1244</v>
      </c>
      <c r="T402" s="83"/>
    </row>
    <row r="403" ht="15.75" customHeight="1">
      <c r="A403" s="8" t="s">
        <v>20</v>
      </c>
      <c r="B403" s="41" t="s">
        <v>179</v>
      </c>
      <c r="C403" s="42" t="s">
        <v>1245</v>
      </c>
      <c r="D403" s="41">
        <v>1.0</v>
      </c>
      <c r="E403" s="41"/>
      <c r="F403" s="44">
        <v>145.0</v>
      </c>
      <c r="G403" s="54">
        <v>45492.0</v>
      </c>
      <c r="H403" s="44">
        <v>114.0</v>
      </c>
      <c r="I403" s="52">
        <f t="shared" si="66"/>
        <v>115</v>
      </c>
      <c r="J403" s="73">
        <f t="shared" si="67"/>
        <v>119.6</v>
      </c>
      <c r="K403" s="44">
        <v>10.0</v>
      </c>
      <c r="L403" s="32" t="s">
        <v>1214</v>
      </c>
      <c r="M403" s="61" t="s">
        <v>24</v>
      </c>
      <c r="N403" s="61" t="s">
        <v>25</v>
      </c>
      <c r="O403" s="8" t="s">
        <v>1004</v>
      </c>
      <c r="P403" s="73">
        <f t="shared" si="63"/>
        <v>15.4</v>
      </c>
      <c r="Q403" s="8"/>
      <c r="R403" s="36" t="s">
        <v>25</v>
      </c>
      <c r="S403" s="41" t="s">
        <v>1246</v>
      </c>
      <c r="T403" s="83"/>
    </row>
    <row r="404" ht="15.75" customHeight="1">
      <c r="A404" s="8" t="s">
        <v>20</v>
      </c>
      <c r="B404" s="41" t="s">
        <v>179</v>
      </c>
      <c r="C404" s="42" t="s">
        <v>1247</v>
      </c>
      <c r="D404" s="41">
        <v>1.0</v>
      </c>
      <c r="E404" s="41"/>
      <c r="F404" s="44">
        <v>400.0</v>
      </c>
      <c r="G404" s="54">
        <v>45492.0</v>
      </c>
      <c r="H404" s="44">
        <v>294.0</v>
      </c>
      <c r="I404" s="52">
        <f t="shared" si="66"/>
        <v>297</v>
      </c>
      <c r="J404" s="73">
        <f t="shared" si="67"/>
        <v>308.88</v>
      </c>
      <c r="K404" s="44">
        <v>15.0</v>
      </c>
      <c r="L404" s="32" t="s">
        <v>1248</v>
      </c>
      <c r="M404" s="61" t="s">
        <v>24</v>
      </c>
      <c r="N404" s="61" t="s">
        <v>25</v>
      </c>
      <c r="O404" s="8" t="s">
        <v>1004</v>
      </c>
      <c r="P404" s="73">
        <f t="shared" si="63"/>
        <v>76.12</v>
      </c>
      <c r="Q404" s="8"/>
      <c r="R404" s="36" t="s">
        <v>25</v>
      </c>
      <c r="S404" s="41" t="s">
        <v>1246</v>
      </c>
      <c r="T404" s="83"/>
    </row>
    <row r="405" ht="15.75" customHeight="1">
      <c r="A405" s="8" t="s">
        <v>20</v>
      </c>
      <c r="B405" s="41" t="s">
        <v>130</v>
      </c>
      <c r="C405" s="42" t="s">
        <v>155</v>
      </c>
      <c r="D405" s="41">
        <v>1.0</v>
      </c>
      <c r="E405" s="41"/>
      <c r="F405" s="44">
        <v>130.0</v>
      </c>
      <c r="G405" s="45"/>
      <c r="H405" s="52"/>
      <c r="I405" s="52">
        <f t="shared" si="66"/>
        <v>0</v>
      </c>
      <c r="J405" s="73">
        <f t="shared" si="67"/>
        <v>0</v>
      </c>
      <c r="K405" s="44">
        <v>100.0</v>
      </c>
      <c r="L405" s="46">
        <v>2.0</v>
      </c>
      <c r="M405" s="61" t="s">
        <v>24</v>
      </c>
      <c r="N405" s="61" t="s">
        <v>25</v>
      </c>
      <c r="O405" s="8" t="s">
        <v>1004</v>
      </c>
      <c r="P405" s="73">
        <f t="shared" si="63"/>
        <v>30</v>
      </c>
      <c r="Q405" s="8"/>
      <c r="R405" s="36" t="s">
        <v>25</v>
      </c>
      <c r="S405" s="41" t="s">
        <v>1249</v>
      </c>
      <c r="T405" s="83"/>
    </row>
    <row r="406" ht="15.75" customHeight="1">
      <c r="A406" s="8" t="s">
        <v>20</v>
      </c>
      <c r="B406" s="41" t="s">
        <v>657</v>
      </c>
      <c r="C406" s="42" t="s">
        <v>1250</v>
      </c>
      <c r="D406" s="41">
        <v>2.0</v>
      </c>
      <c r="E406" s="43" t="s">
        <v>1251</v>
      </c>
      <c r="F406" s="44">
        <v>1975.0</v>
      </c>
      <c r="G406" s="54">
        <v>45494.0</v>
      </c>
      <c r="H406" s="44">
        <v>1474.0</v>
      </c>
      <c r="I406" s="52">
        <f t="shared" si="66"/>
        <v>1489</v>
      </c>
      <c r="J406" s="73">
        <f t="shared" si="67"/>
        <v>1548.56</v>
      </c>
      <c r="K406" s="44">
        <v>125.0</v>
      </c>
      <c r="L406" s="46">
        <v>2.5</v>
      </c>
      <c r="M406" s="61" t="s">
        <v>24</v>
      </c>
      <c r="N406" s="61" t="s">
        <v>25</v>
      </c>
      <c r="O406" s="8" t="s">
        <v>867</v>
      </c>
      <c r="P406" s="73">
        <f t="shared" si="63"/>
        <v>301.44</v>
      </c>
      <c r="Q406" s="8"/>
      <c r="R406" s="36" t="s">
        <v>25</v>
      </c>
      <c r="S406" s="47" t="s">
        <v>1252</v>
      </c>
      <c r="T406" s="83"/>
    </row>
    <row r="407" ht="15.75" customHeight="1">
      <c r="A407" s="8" t="s">
        <v>20</v>
      </c>
      <c r="B407" s="41" t="s">
        <v>67</v>
      </c>
      <c r="C407" s="42" t="s">
        <v>1253</v>
      </c>
      <c r="D407" s="41">
        <v>1.0</v>
      </c>
      <c r="E407" s="43" t="s">
        <v>1254</v>
      </c>
      <c r="F407" s="44">
        <f>J407+K407</f>
        <v>205.52</v>
      </c>
      <c r="G407" s="54">
        <v>45494.0</v>
      </c>
      <c r="H407" s="44">
        <v>186.18</v>
      </c>
      <c r="I407" s="52">
        <f t="shared" si="66"/>
        <v>188</v>
      </c>
      <c r="J407" s="73">
        <f t="shared" si="67"/>
        <v>195.52</v>
      </c>
      <c r="K407" s="44">
        <v>10.0</v>
      </c>
      <c r="L407" s="32" t="s">
        <v>1214</v>
      </c>
      <c r="M407" s="61" t="s">
        <v>24</v>
      </c>
      <c r="N407" s="61" t="s">
        <v>25</v>
      </c>
      <c r="O407" s="8" t="s">
        <v>867</v>
      </c>
      <c r="P407" s="73">
        <f t="shared" si="63"/>
        <v>0</v>
      </c>
      <c r="Q407" s="8"/>
      <c r="R407" s="36" t="s">
        <v>25</v>
      </c>
      <c r="S407" s="41" t="s">
        <v>1255</v>
      </c>
      <c r="T407" s="83"/>
    </row>
    <row r="408" ht="15.75" customHeight="1">
      <c r="A408" s="8" t="s">
        <v>20</v>
      </c>
      <c r="B408" s="41" t="s">
        <v>657</v>
      </c>
      <c r="C408" s="42" t="s">
        <v>1256</v>
      </c>
      <c r="D408" s="41">
        <v>4.0</v>
      </c>
      <c r="E408" s="43" t="s">
        <v>1257</v>
      </c>
      <c r="F408" s="44">
        <v>280.0</v>
      </c>
      <c r="G408" s="54">
        <v>45494.0</v>
      </c>
      <c r="H408" s="44">
        <v>1.34</v>
      </c>
      <c r="I408" s="52">
        <f t="shared" si="66"/>
        <v>1</v>
      </c>
      <c r="J408" s="73">
        <f t="shared" si="67"/>
        <v>1.04</v>
      </c>
      <c r="K408" s="44">
        <v>10.0</v>
      </c>
      <c r="L408" s="32" t="s">
        <v>1214</v>
      </c>
      <c r="M408" s="61" t="s">
        <v>24</v>
      </c>
      <c r="N408" s="61" t="s">
        <v>25</v>
      </c>
      <c r="O408" s="8" t="s">
        <v>867</v>
      </c>
      <c r="P408" s="73">
        <f t="shared" si="63"/>
        <v>268.96</v>
      </c>
      <c r="Q408" s="8"/>
      <c r="R408" s="36" t="s">
        <v>25</v>
      </c>
      <c r="S408" s="41" t="s">
        <v>1258</v>
      </c>
      <c r="T408" s="83"/>
    </row>
    <row r="409" ht="15.75" customHeight="1">
      <c r="A409" s="8" t="s">
        <v>20</v>
      </c>
      <c r="B409" s="41" t="s">
        <v>179</v>
      </c>
      <c r="C409" s="42" t="s">
        <v>998</v>
      </c>
      <c r="D409" s="41">
        <v>1.0</v>
      </c>
      <c r="E409" s="41"/>
      <c r="F409" s="44" t="s">
        <v>1259</v>
      </c>
      <c r="G409" s="45"/>
      <c r="H409" s="44">
        <v>129.0</v>
      </c>
      <c r="I409" s="52">
        <f t="shared" si="66"/>
        <v>130</v>
      </c>
      <c r="J409" s="73">
        <f t="shared" si="67"/>
        <v>135.2</v>
      </c>
      <c r="K409" s="52"/>
      <c r="L409" s="82"/>
      <c r="M409" s="61" t="s">
        <v>24</v>
      </c>
      <c r="N409" s="61" t="s">
        <v>25</v>
      </c>
      <c r="O409" s="8" t="s">
        <v>1004</v>
      </c>
      <c r="P409" s="73" t="str">
        <f t="shared" si="63"/>
        <v>#VALUE!</v>
      </c>
      <c r="Q409" s="8"/>
      <c r="R409" s="36" t="s">
        <v>25</v>
      </c>
      <c r="S409" s="41" t="s">
        <v>1260</v>
      </c>
      <c r="T409" s="83"/>
    </row>
    <row r="410" ht="15.75" customHeight="1">
      <c r="A410" s="8" t="s">
        <v>20</v>
      </c>
      <c r="B410" s="41" t="s">
        <v>67</v>
      </c>
      <c r="C410" s="42" t="s">
        <v>1261</v>
      </c>
      <c r="D410" s="41">
        <v>1.0</v>
      </c>
      <c r="E410" s="43" t="s">
        <v>1262</v>
      </c>
      <c r="F410" s="106">
        <v>3165.0</v>
      </c>
      <c r="G410" s="54">
        <v>45505.0</v>
      </c>
      <c r="H410" s="44">
        <v>2082.12</v>
      </c>
      <c r="I410" s="52">
        <f t="shared" si="66"/>
        <v>2103</v>
      </c>
      <c r="J410" s="73">
        <f t="shared" si="67"/>
        <v>2187.12</v>
      </c>
      <c r="K410" s="44">
        <v>450.0</v>
      </c>
      <c r="L410" s="46">
        <v>10.0</v>
      </c>
      <c r="M410" s="61" t="s">
        <v>24</v>
      </c>
      <c r="N410" s="61" t="s">
        <v>25</v>
      </c>
      <c r="O410" s="8" t="s">
        <v>867</v>
      </c>
      <c r="P410" s="73">
        <f t="shared" si="63"/>
        <v>527.88</v>
      </c>
      <c r="Q410" s="8"/>
      <c r="R410" s="36" t="s">
        <v>25</v>
      </c>
      <c r="S410" s="41" t="s">
        <v>1263</v>
      </c>
      <c r="T410" s="83"/>
    </row>
    <row r="411" ht="15.75" customHeight="1">
      <c r="A411" s="8" t="s">
        <v>20</v>
      </c>
      <c r="B411" s="41" t="s">
        <v>957</v>
      </c>
      <c r="C411" s="42" t="s">
        <v>1264</v>
      </c>
      <c r="D411" s="41">
        <v>6.0</v>
      </c>
      <c r="E411" s="43" t="s">
        <v>1265</v>
      </c>
      <c r="F411" s="44">
        <v>0.0</v>
      </c>
      <c r="G411" s="54">
        <v>45505.0</v>
      </c>
      <c r="H411" s="44">
        <v>216.2</v>
      </c>
      <c r="I411" s="52">
        <f t="shared" si="66"/>
        <v>218</v>
      </c>
      <c r="J411" s="73">
        <f t="shared" si="67"/>
        <v>226.72</v>
      </c>
      <c r="K411" s="44">
        <v>150.0</v>
      </c>
      <c r="L411" s="46">
        <v>3.0</v>
      </c>
      <c r="M411" s="61" t="s">
        <v>24</v>
      </c>
      <c r="N411" s="61" t="s">
        <v>25</v>
      </c>
      <c r="O411" s="8" t="s">
        <v>867</v>
      </c>
      <c r="P411" s="73">
        <f t="shared" si="63"/>
        <v>-376.72</v>
      </c>
      <c r="Q411" s="8"/>
      <c r="R411" s="36" t="s">
        <v>25</v>
      </c>
      <c r="S411" s="41" t="s">
        <v>1266</v>
      </c>
      <c r="T411" s="83"/>
    </row>
    <row r="412" ht="15.75" customHeight="1">
      <c r="A412" s="8" t="s">
        <v>20</v>
      </c>
      <c r="B412" s="41" t="s">
        <v>322</v>
      </c>
      <c r="C412" s="42" t="s">
        <v>1267</v>
      </c>
      <c r="D412" s="41">
        <v>2.0</v>
      </c>
      <c r="E412" s="43" t="s">
        <v>1268</v>
      </c>
      <c r="F412" s="44">
        <v>260.0</v>
      </c>
      <c r="G412" s="54">
        <v>45513.0</v>
      </c>
      <c r="H412" s="44">
        <v>211.86</v>
      </c>
      <c r="I412" s="52">
        <f t="shared" si="66"/>
        <v>214</v>
      </c>
      <c r="J412" s="44">
        <v>214.0</v>
      </c>
      <c r="K412" s="44">
        <v>22.0</v>
      </c>
      <c r="L412" s="46">
        <v>0.5</v>
      </c>
      <c r="M412" s="61" t="s">
        <v>24</v>
      </c>
      <c r="N412" s="61" t="s">
        <v>25</v>
      </c>
      <c r="O412" s="8" t="s">
        <v>867</v>
      </c>
      <c r="P412" s="73">
        <f t="shared" si="63"/>
        <v>24</v>
      </c>
      <c r="Q412" s="8"/>
      <c r="R412" s="36" t="s">
        <v>25</v>
      </c>
      <c r="S412" s="41" t="s">
        <v>1269</v>
      </c>
      <c r="T412" s="83"/>
    </row>
    <row r="413" ht="15.75" customHeight="1">
      <c r="A413" s="8" t="s">
        <v>20</v>
      </c>
      <c r="B413" s="41" t="s">
        <v>322</v>
      </c>
      <c r="C413" s="42" t="s">
        <v>1270</v>
      </c>
      <c r="D413" s="41">
        <v>1.0</v>
      </c>
      <c r="E413" s="43" t="s">
        <v>1271</v>
      </c>
      <c r="F413" s="44">
        <v>445.0</v>
      </c>
      <c r="G413" s="54">
        <v>45516.0</v>
      </c>
      <c r="H413" s="44">
        <v>319.93</v>
      </c>
      <c r="I413" s="52">
        <f t="shared" si="66"/>
        <v>323</v>
      </c>
      <c r="J413" s="84">
        <v>323.0</v>
      </c>
      <c r="K413" s="44">
        <v>25.0</v>
      </c>
      <c r="L413" s="46">
        <v>0.5</v>
      </c>
      <c r="M413" s="61" t="s">
        <v>24</v>
      </c>
      <c r="N413" s="61" t="s">
        <v>25</v>
      </c>
      <c r="O413" s="8" t="s">
        <v>867</v>
      </c>
      <c r="P413" s="73">
        <f t="shared" si="63"/>
        <v>97</v>
      </c>
      <c r="Q413" s="8"/>
      <c r="R413" s="36" t="s">
        <v>25</v>
      </c>
      <c r="S413" s="41" t="s">
        <v>1272</v>
      </c>
      <c r="T413" s="83"/>
    </row>
    <row r="414" ht="15.75" customHeight="1">
      <c r="A414" s="8" t="s">
        <v>20</v>
      </c>
      <c r="B414" s="41" t="s">
        <v>657</v>
      </c>
      <c r="C414" s="42" t="s">
        <v>1273</v>
      </c>
      <c r="D414" s="41">
        <v>2.0</v>
      </c>
      <c r="E414" s="43" t="s">
        <v>1274</v>
      </c>
      <c r="F414" s="44">
        <v>50.0</v>
      </c>
      <c r="G414" s="54">
        <v>45516.0</v>
      </c>
      <c r="H414" s="44">
        <v>39.53</v>
      </c>
      <c r="I414" s="52">
        <f t="shared" si="66"/>
        <v>40</v>
      </c>
      <c r="J414" s="73">
        <f t="shared" ref="J414:J432" si="68">I414+(I414*0.04)</f>
        <v>41.6</v>
      </c>
      <c r="K414" s="44">
        <v>0.0</v>
      </c>
      <c r="L414" s="46">
        <v>0.0</v>
      </c>
      <c r="M414" s="61" t="s">
        <v>24</v>
      </c>
      <c r="N414" s="61" t="s">
        <v>25</v>
      </c>
      <c r="O414" s="8" t="s">
        <v>867</v>
      </c>
      <c r="P414" s="73">
        <f t="shared" si="63"/>
        <v>8.4</v>
      </c>
      <c r="Q414" s="8"/>
      <c r="R414" s="36" t="s">
        <v>25</v>
      </c>
      <c r="S414" s="41" t="s">
        <v>1275</v>
      </c>
      <c r="T414" s="83"/>
    </row>
    <row r="415" ht="15.75" customHeight="1">
      <c r="A415" s="8" t="s">
        <v>20</v>
      </c>
      <c r="B415" s="41" t="s">
        <v>657</v>
      </c>
      <c r="C415" s="42" t="s">
        <v>1276</v>
      </c>
      <c r="D415" s="41">
        <v>1.0</v>
      </c>
      <c r="E415" s="43" t="s">
        <v>1277</v>
      </c>
      <c r="F415" s="44">
        <v>1135.0</v>
      </c>
      <c r="G415" s="54">
        <v>45516.0</v>
      </c>
      <c r="H415" s="44">
        <v>334.91</v>
      </c>
      <c r="I415" s="52">
        <f t="shared" si="66"/>
        <v>338</v>
      </c>
      <c r="J415" s="73">
        <f t="shared" si="68"/>
        <v>351.52</v>
      </c>
      <c r="K415" s="44">
        <v>495.0</v>
      </c>
      <c r="L415" s="46">
        <v>11.0</v>
      </c>
      <c r="M415" s="61" t="s">
        <v>24</v>
      </c>
      <c r="N415" s="61" t="s">
        <v>25</v>
      </c>
      <c r="O415" s="8" t="s">
        <v>867</v>
      </c>
      <c r="P415" s="73">
        <f t="shared" si="63"/>
        <v>288.48</v>
      </c>
      <c r="Q415" s="8"/>
      <c r="R415" s="36" t="s">
        <v>25</v>
      </c>
      <c r="S415" s="41" t="s">
        <v>1278</v>
      </c>
      <c r="T415" s="83"/>
    </row>
    <row r="416" ht="15.75" customHeight="1">
      <c r="A416" s="8" t="s">
        <v>20</v>
      </c>
      <c r="B416" s="41" t="s">
        <v>657</v>
      </c>
      <c r="C416" s="42" t="s">
        <v>1279</v>
      </c>
      <c r="D416" s="41">
        <v>1.0</v>
      </c>
      <c r="E416" s="47" t="s">
        <v>1280</v>
      </c>
      <c r="F416" s="44">
        <f>K416+J416</f>
        <v>258.08</v>
      </c>
      <c r="G416" s="54">
        <v>45516.0</v>
      </c>
      <c r="H416" s="44">
        <v>150.81</v>
      </c>
      <c r="I416" s="52">
        <f t="shared" si="66"/>
        <v>152</v>
      </c>
      <c r="J416" s="73">
        <f t="shared" si="68"/>
        <v>158.08</v>
      </c>
      <c r="K416" s="44">
        <v>100.0</v>
      </c>
      <c r="L416" s="46">
        <v>2.0</v>
      </c>
      <c r="M416" s="61" t="s">
        <v>24</v>
      </c>
      <c r="N416" s="61" t="s">
        <v>25</v>
      </c>
      <c r="O416" s="8" t="s">
        <v>867</v>
      </c>
      <c r="P416" s="73">
        <f t="shared" si="63"/>
        <v>0</v>
      </c>
      <c r="Q416" s="8"/>
      <c r="R416" s="36" t="s">
        <v>25</v>
      </c>
      <c r="S416" s="43" t="s">
        <v>1281</v>
      </c>
      <c r="T416" s="83"/>
    </row>
    <row r="417" ht="15.75" customHeight="1">
      <c r="A417" s="8" t="s">
        <v>20</v>
      </c>
      <c r="B417" s="41" t="s">
        <v>37</v>
      </c>
      <c r="C417" s="42" t="s">
        <v>1282</v>
      </c>
      <c r="D417" s="41">
        <v>1.0</v>
      </c>
      <c r="E417" s="43" t="s">
        <v>1283</v>
      </c>
      <c r="F417" s="44">
        <v>0.0</v>
      </c>
      <c r="G417" s="54">
        <v>45517.0</v>
      </c>
      <c r="H417" s="52"/>
      <c r="I417" s="52">
        <f t="shared" si="66"/>
        <v>0</v>
      </c>
      <c r="J417" s="73">
        <f t="shared" si="68"/>
        <v>0</v>
      </c>
      <c r="K417" s="44">
        <v>135.0</v>
      </c>
      <c r="L417" s="46">
        <v>3.0</v>
      </c>
      <c r="M417" s="61" t="s">
        <v>24</v>
      </c>
      <c r="N417" s="61" t="s">
        <v>25</v>
      </c>
      <c r="O417" s="8" t="s">
        <v>867</v>
      </c>
      <c r="P417" s="73">
        <f t="shared" si="63"/>
        <v>-135</v>
      </c>
      <c r="Q417" s="8"/>
      <c r="R417" s="36" t="s">
        <v>25</v>
      </c>
      <c r="S417" s="41" t="s">
        <v>1284</v>
      </c>
      <c r="T417" s="83"/>
    </row>
    <row r="418" ht="15.75" customHeight="1">
      <c r="A418" s="8" t="s">
        <v>20</v>
      </c>
      <c r="B418" s="41" t="s">
        <v>1285</v>
      </c>
      <c r="C418" s="42" t="s">
        <v>1286</v>
      </c>
      <c r="D418" s="41">
        <v>1.0</v>
      </c>
      <c r="E418" s="43" t="s">
        <v>1287</v>
      </c>
      <c r="F418" s="44">
        <v>150.0</v>
      </c>
      <c r="G418" s="54">
        <v>45517.0</v>
      </c>
      <c r="H418" s="44">
        <v>43.43</v>
      </c>
      <c r="I418" s="52">
        <f t="shared" si="66"/>
        <v>44</v>
      </c>
      <c r="J418" s="73">
        <f t="shared" si="68"/>
        <v>45.76</v>
      </c>
      <c r="K418" s="44">
        <v>45.0</v>
      </c>
      <c r="L418" s="46">
        <v>1.0</v>
      </c>
      <c r="M418" s="61" t="s">
        <v>24</v>
      </c>
      <c r="N418" s="61" t="s">
        <v>25</v>
      </c>
      <c r="O418" s="8" t="s">
        <v>1004</v>
      </c>
      <c r="P418" s="73">
        <f t="shared" si="63"/>
        <v>59.24</v>
      </c>
      <c r="Q418" s="8"/>
      <c r="R418" s="36" t="s">
        <v>25</v>
      </c>
      <c r="S418" s="41" t="s">
        <v>1288</v>
      </c>
      <c r="T418" s="83"/>
    </row>
    <row r="419" ht="15.75" customHeight="1">
      <c r="A419" s="8" t="s">
        <v>20</v>
      </c>
      <c r="B419" s="41" t="s">
        <v>445</v>
      </c>
      <c r="C419" s="42" t="s">
        <v>1289</v>
      </c>
      <c r="D419" s="41">
        <v>1.0</v>
      </c>
      <c r="E419" s="43" t="s">
        <v>1290</v>
      </c>
      <c r="F419" s="44">
        <v>1285.0</v>
      </c>
      <c r="G419" s="107">
        <v>45523.0</v>
      </c>
      <c r="H419" s="44">
        <v>587.99</v>
      </c>
      <c r="I419" s="52">
        <f t="shared" si="66"/>
        <v>594</v>
      </c>
      <c r="J419" s="73">
        <f t="shared" si="68"/>
        <v>617.76</v>
      </c>
      <c r="K419" s="44">
        <v>270.0</v>
      </c>
      <c r="L419" s="46">
        <v>6.0</v>
      </c>
      <c r="M419" s="61" t="s">
        <v>24</v>
      </c>
      <c r="N419" s="61" t="s">
        <v>25</v>
      </c>
      <c r="O419" s="8" t="s">
        <v>1004</v>
      </c>
      <c r="P419" s="73">
        <f t="shared" si="63"/>
        <v>397.24</v>
      </c>
      <c r="Q419" s="8"/>
      <c r="R419" s="36" t="s">
        <v>25</v>
      </c>
      <c r="S419" s="41" t="s">
        <v>1291</v>
      </c>
      <c r="T419" s="83"/>
    </row>
    <row r="420" ht="15.75" customHeight="1">
      <c r="A420" s="8" t="s">
        <v>20</v>
      </c>
      <c r="B420" s="41" t="s">
        <v>1292</v>
      </c>
      <c r="C420" s="105" t="s">
        <v>1293</v>
      </c>
      <c r="D420" s="41">
        <v>1.0</v>
      </c>
      <c r="E420" s="43" t="s">
        <v>1294</v>
      </c>
      <c r="F420" s="44">
        <v>2450.0</v>
      </c>
      <c r="G420" s="107">
        <v>45523.0</v>
      </c>
      <c r="H420" s="44">
        <v>1563.11</v>
      </c>
      <c r="I420" s="52">
        <f t="shared" si="66"/>
        <v>1579</v>
      </c>
      <c r="J420" s="73">
        <f t="shared" si="68"/>
        <v>1642.16</v>
      </c>
      <c r="K420" s="44">
        <v>272.0</v>
      </c>
      <c r="L420" s="46">
        <v>0.0</v>
      </c>
      <c r="M420" s="61" t="s">
        <v>24</v>
      </c>
      <c r="N420" s="61" t="s">
        <v>25</v>
      </c>
      <c r="O420" s="8" t="s">
        <v>1004</v>
      </c>
      <c r="P420" s="73">
        <f t="shared" si="63"/>
        <v>535.84</v>
      </c>
      <c r="Q420" s="8"/>
      <c r="R420" s="36" t="s">
        <v>25</v>
      </c>
      <c r="S420" s="108">
        <v>8.238221515E9</v>
      </c>
      <c r="T420" s="83"/>
    </row>
    <row r="421" ht="15.75" customHeight="1">
      <c r="A421" s="8" t="s">
        <v>20</v>
      </c>
      <c r="B421" s="41" t="s">
        <v>657</v>
      </c>
      <c r="C421" s="42" t="s">
        <v>1295</v>
      </c>
      <c r="D421" s="41">
        <v>1.0</v>
      </c>
      <c r="E421" s="43" t="s">
        <v>1296</v>
      </c>
      <c r="F421" s="44">
        <v>280.0</v>
      </c>
      <c r="G421" s="54">
        <v>45519.0</v>
      </c>
      <c r="H421" s="44">
        <v>180.92</v>
      </c>
      <c r="I421" s="52">
        <f t="shared" si="66"/>
        <v>183</v>
      </c>
      <c r="J421" s="73">
        <f t="shared" si="68"/>
        <v>190.32</v>
      </c>
      <c r="K421" s="44">
        <v>0.0</v>
      </c>
      <c r="L421" s="46">
        <v>0.0</v>
      </c>
      <c r="M421" s="61" t="s">
        <v>24</v>
      </c>
      <c r="N421" s="61" t="s">
        <v>25</v>
      </c>
      <c r="O421" s="8" t="s">
        <v>867</v>
      </c>
      <c r="P421" s="73">
        <f t="shared" si="63"/>
        <v>89.68</v>
      </c>
      <c r="Q421" s="8"/>
      <c r="R421" s="36" t="s">
        <v>25</v>
      </c>
      <c r="S421" s="17" t="s">
        <v>1297</v>
      </c>
      <c r="T421" s="83"/>
    </row>
    <row r="422" ht="15.75" customHeight="1">
      <c r="A422" s="8" t="s">
        <v>20</v>
      </c>
      <c r="B422" s="41" t="s">
        <v>445</v>
      </c>
      <c r="C422" s="42" t="s">
        <v>1298</v>
      </c>
      <c r="D422" s="41">
        <v>3.0</v>
      </c>
      <c r="E422" s="43" t="s">
        <v>1299</v>
      </c>
      <c r="F422" s="44">
        <v>575.0</v>
      </c>
      <c r="G422" s="54">
        <v>45526.0</v>
      </c>
      <c r="H422" s="44">
        <v>350.97</v>
      </c>
      <c r="I422" s="52">
        <f t="shared" si="66"/>
        <v>354</v>
      </c>
      <c r="J422" s="73">
        <f t="shared" si="68"/>
        <v>368.16</v>
      </c>
      <c r="K422" s="44">
        <v>22.0</v>
      </c>
      <c r="L422" s="46">
        <v>0.5</v>
      </c>
      <c r="M422" s="61" t="s">
        <v>24</v>
      </c>
      <c r="N422" s="61" t="s">
        <v>25</v>
      </c>
      <c r="O422" s="8" t="s">
        <v>1004</v>
      </c>
      <c r="P422" s="73">
        <f t="shared" si="63"/>
        <v>184.84</v>
      </c>
      <c r="Q422" s="8"/>
      <c r="R422" s="36" t="s">
        <v>25</v>
      </c>
      <c r="S422" s="41" t="s">
        <v>1300</v>
      </c>
      <c r="T422" s="83"/>
    </row>
    <row r="423" ht="15.75" customHeight="1">
      <c r="A423" s="8" t="s">
        <v>20</v>
      </c>
      <c r="B423" s="41" t="s">
        <v>445</v>
      </c>
      <c r="C423" s="42" t="s">
        <v>1301</v>
      </c>
      <c r="D423" s="41">
        <v>2.0</v>
      </c>
      <c r="E423" s="43" t="s">
        <v>1302</v>
      </c>
      <c r="F423" s="44">
        <v>320.0</v>
      </c>
      <c r="G423" s="54">
        <v>45523.0</v>
      </c>
      <c r="H423" s="44">
        <v>208.65</v>
      </c>
      <c r="I423" s="52">
        <f t="shared" si="66"/>
        <v>211</v>
      </c>
      <c r="J423" s="73">
        <f t="shared" si="68"/>
        <v>219.44</v>
      </c>
      <c r="K423" s="44">
        <v>22.0</v>
      </c>
      <c r="L423" s="46">
        <v>0.5</v>
      </c>
      <c r="M423" s="61" t="s">
        <v>24</v>
      </c>
      <c r="N423" s="61" t="s">
        <v>25</v>
      </c>
      <c r="O423" s="8" t="s">
        <v>1004</v>
      </c>
      <c r="P423" s="73">
        <f t="shared" si="63"/>
        <v>78.56</v>
      </c>
      <c r="Q423" s="8"/>
      <c r="R423" s="36" t="s">
        <v>25</v>
      </c>
      <c r="S423" s="41" t="s">
        <v>1303</v>
      </c>
      <c r="T423" s="83"/>
    </row>
    <row r="424" ht="15.75" customHeight="1">
      <c r="A424" s="8" t="s">
        <v>20</v>
      </c>
      <c r="B424" s="41" t="s">
        <v>1122</v>
      </c>
      <c r="C424" s="42" t="s">
        <v>1304</v>
      </c>
      <c r="D424" s="41">
        <v>1.0</v>
      </c>
      <c r="E424" s="49" t="s">
        <v>1305</v>
      </c>
      <c r="F424" s="44">
        <v>75.0</v>
      </c>
      <c r="G424" s="54">
        <v>45525.0</v>
      </c>
      <c r="H424" s="44">
        <v>31.03</v>
      </c>
      <c r="I424" s="52">
        <f t="shared" si="66"/>
        <v>31</v>
      </c>
      <c r="J424" s="73">
        <f t="shared" si="68"/>
        <v>32.24</v>
      </c>
      <c r="K424" s="44">
        <v>22.0</v>
      </c>
      <c r="L424" s="46">
        <v>0.5</v>
      </c>
      <c r="M424" s="61" t="s">
        <v>24</v>
      </c>
      <c r="N424" s="61" t="s">
        <v>25</v>
      </c>
      <c r="O424" s="8" t="s">
        <v>1004</v>
      </c>
      <c r="P424" s="73">
        <f t="shared" si="63"/>
        <v>20.76</v>
      </c>
      <c r="Q424" s="8"/>
      <c r="R424" s="36" t="s">
        <v>25</v>
      </c>
      <c r="S424" s="41" t="s">
        <v>1306</v>
      </c>
      <c r="T424" s="83"/>
    </row>
    <row r="425" ht="15.75" customHeight="1">
      <c r="A425" s="8" t="s">
        <v>20</v>
      </c>
      <c r="B425" s="41" t="s">
        <v>1122</v>
      </c>
      <c r="C425" s="42" t="s">
        <v>1307</v>
      </c>
      <c r="D425" s="41">
        <v>1.0</v>
      </c>
      <c r="E425" s="43" t="s">
        <v>1308</v>
      </c>
      <c r="F425" s="44">
        <v>75.0</v>
      </c>
      <c r="G425" s="54">
        <v>45525.0</v>
      </c>
      <c r="H425" s="44">
        <v>31.03</v>
      </c>
      <c r="I425" s="52">
        <f t="shared" si="66"/>
        <v>31</v>
      </c>
      <c r="J425" s="73">
        <f t="shared" si="68"/>
        <v>32.24</v>
      </c>
      <c r="K425" s="44">
        <v>22.0</v>
      </c>
      <c r="L425" s="46">
        <v>0.5</v>
      </c>
      <c r="M425" s="61" t="s">
        <v>24</v>
      </c>
      <c r="N425" s="61" t="s">
        <v>25</v>
      </c>
      <c r="O425" s="8" t="s">
        <v>1004</v>
      </c>
      <c r="P425" s="73">
        <f t="shared" si="63"/>
        <v>20.76</v>
      </c>
      <c r="Q425" s="8"/>
      <c r="R425" s="36" t="s">
        <v>25</v>
      </c>
      <c r="S425" s="44" t="s">
        <v>1309</v>
      </c>
      <c r="T425" s="83"/>
    </row>
    <row r="426" ht="15.75" customHeight="1">
      <c r="A426" s="8" t="s">
        <v>20</v>
      </c>
      <c r="B426" s="41" t="s">
        <v>67</v>
      </c>
      <c r="C426" s="42" t="s">
        <v>1310</v>
      </c>
      <c r="D426" s="41">
        <v>1.0</v>
      </c>
      <c r="E426" s="41"/>
      <c r="F426" s="44">
        <v>0.0</v>
      </c>
      <c r="G426" s="44">
        <v>0.0</v>
      </c>
      <c r="H426" s="44"/>
      <c r="I426" s="52">
        <f t="shared" si="66"/>
        <v>0</v>
      </c>
      <c r="J426" s="73">
        <f t="shared" si="68"/>
        <v>0</v>
      </c>
      <c r="K426" s="52"/>
      <c r="L426" s="46">
        <v>22.0</v>
      </c>
      <c r="M426" s="61" t="s">
        <v>24</v>
      </c>
      <c r="N426" s="61" t="s">
        <v>25</v>
      </c>
      <c r="O426" s="8" t="s">
        <v>1004</v>
      </c>
      <c r="P426" s="73">
        <f t="shared" si="63"/>
        <v>0</v>
      </c>
      <c r="Q426" s="8"/>
      <c r="R426" s="36" t="s">
        <v>25</v>
      </c>
      <c r="S426" s="44" t="s">
        <v>1311</v>
      </c>
      <c r="T426" s="83"/>
    </row>
    <row r="427" ht="15.75" customHeight="1">
      <c r="A427" s="8" t="s">
        <v>20</v>
      </c>
      <c r="B427" s="41" t="s">
        <v>1312</v>
      </c>
      <c r="C427" s="105" t="s">
        <v>1293</v>
      </c>
      <c r="D427" s="41"/>
      <c r="E427" s="41"/>
      <c r="F427" s="44">
        <v>2450.0</v>
      </c>
      <c r="G427" s="54">
        <v>45526.0</v>
      </c>
      <c r="H427" s="44">
        <v>1563.8</v>
      </c>
      <c r="I427" s="52">
        <f t="shared" si="66"/>
        <v>1579</v>
      </c>
      <c r="J427" s="73">
        <f t="shared" si="68"/>
        <v>1642.16</v>
      </c>
      <c r="K427" s="44">
        <v>262.0</v>
      </c>
      <c r="L427" s="46">
        <v>0.0</v>
      </c>
      <c r="M427" s="61" t="s">
        <v>24</v>
      </c>
      <c r="N427" s="61" t="s">
        <v>25</v>
      </c>
      <c r="O427" s="8" t="s">
        <v>1004</v>
      </c>
      <c r="P427" s="73">
        <f t="shared" si="63"/>
        <v>545.84</v>
      </c>
      <c r="Q427" s="8"/>
      <c r="R427" s="36" t="s">
        <v>25</v>
      </c>
      <c r="S427" s="41" t="s">
        <v>1313</v>
      </c>
      <c r="T427" s="83"/>
    </row>
    <row r="428" ht="15.75" customHeight="1">
      <c r="A428" s="8" t="s">
        <v>20</v>
      </c>
      <c r="B428" s="41" t="s">
        <v>657</v>
      </c>
      <c r="C428" s="42" t="s">
        <v>1314</v>
      </c>
      <c r="D428" s="41">
        <v>1.0</v>
      </c>
      <c r="E428" s="43" t="s">
        <v>1315</v>
      </c>
      <c r="F428" s="44">
        <v>600.0</v>
      </c>
      <c r="G428" s="54">
        <v>45530.0</v>
      </c>
      <c r="H428" s="44">
        <v>435.0</v>
      </c>
      <c r="I428" s="52">
        <f t="shared" si="66"/>
        <v>439</v>
      </c>
      <c r="J428" s="73">
        <f t="shared" si="68"/>
        <v>456.56</v>
      </c>
      <c r="K428" s="87">
        <v>50.0</v>
      </c>
      <c r="L428" s="46">
        <v>1.0</v>
      </c>
      <c r="M428" s="61" t="s">
        <v>24</v>
      </c>
      <c r="N428" s="61" t="s">
        <v>25</v>
      </c>
      <c r="O428" s="8" t="s">
        <v>867</v>
      </c>
      <c r="P428" s="73">
        <f t="shared" si="63"/>
        <v>93.44</v>
      </c>
      <c r="Q428" s="8"/>
      <c r="R428" s="36" t="s">
        <v>25</v>
      </c>
      <c r="S428" s="41" t="s">
        <v>1316</v>
      </c>
      <c r="T428" s="83"/>
    </row>
    <row r="429" ht="15.75" customHeight="1">
      <c r="A429" s="8" t="s">
        <v>20</v>
      </c>
      <c r="B429" s="41" t="s">
        <v>1317</v>
      </c>
      <c r="C429" s="42" t="s">
        <v>1318</v>
      </c>
      <c r="D429" s="41">
        <v>1.0</v>
      </c>
      <c r="E429" s="41"/>
      <c r="F429" s="44">
        <v>65.0</v>
      </c>
      <c r="G429" s="45"/>
      <c r="H429" s="52"/>
      <c r="I429" s="52">
        <f t="shared" si="66"/>
        <v>0</v>
      </c>
      <c r="J429" s="73">
        <f t="shared" si="68"/>
        <v>0</v>
      </c>
      <c r="K429" s="44">
        <v>50.0</v>
      </c>
      <c r="L429" s="46">
        <v>1.0</v>
      </c>
      <c r="M429" s="61" t="s">
        <v>24</v>
      </c>
      <c r="N429" s="61" t="s">
        <v>25</v>
      </c>
      <c r="O429" s="8" t="s">
        <v>1004</v>
      </c>
      <c r="P429" s="73">
        <f t="shared" si="63"/>
        <v>15</v>
      </c>
      <c r="Q429" s="8"/>
      <c r="R429" s="36" t="s">
        <v>25</v>
      </c>
      <c r="S429" s="109" t="s">
        <v>1319</v>
      </c>
      <c r="T429" s="83"/>
    </row>
    <row r="430" ht="15.75" customHeight="1">
      <c r="A430" s="8" t="s">
        <v>20</v>
      </c>
      <c r="B430" s="41" t="s">
        <v>67</v>
      </c>
      <c r="C430" s="42" t="s">
        <v>1320</v>
      </c>
      <c r="D430" s="41">
        <v>1.0</v>
      </c>
      <c r="E430" s="41"/>
      <c r="F430" s="44">
        <v>0.0</v>
      </c>
      <c r="G430" s="45"/>
      <c r="H430" s="52"/>
      <c r="I430" s="52">
        <f t="shared" si="66"/>
        <v>0</v>
      </c>
      <c r="J430" s="73">
        <f t="shared" si="68"/>
        <v>0</v>
      </c>
      <c r="K430" s="44">
        <v>22.0</v>
      </c>
      <c r="L430" s="46">
        <v>0.5</v>
      </c>
      <c r="M430" s="61" t="s">
        <v>24</v>
      </c>
      <c r="N430" s="61" t="s">
        <v>25</v>
      </c>
      <c r="O430" s="8" t="s">
        <v>1004</v>
      </c>
      <c r="P430" s="73">
        <f t="shared" si="63"/>
        <v>-22</v>
      </c>
      <c r="Q430" s="8"/>
      <c r="R430" s="36" t="s">
        <v>25</v>
      </c>
      <c r="S430" s="110" t="s">
        <v>1321</v>
      </c>
      <c r="T430" s="83"/>
    </row>
    <row r="431" ht="15.75" customHeight="1">
      <c r="A431" s="8" t="s">
        <v>20</v>
      </c>
      <c r="B431" s="41" t="s">
        <v>1322</v>
      </c>
      <c r="C431" s="42" t="s">
        <v>1323</v>
      </c>
      <c r="D431" s="41">
        <v>1.0</v>
      </c>
      <c r="E431" s="41"/>
      <c r="F431" s="44">
        <v>28.0</v>
      </c>
      <c r="G431" s="54">
        <v>45538.0</v>
      </c>
      <c r="H431" s="44">
        <v>18.6</v>
      </c>
      <c r="I431" s="52">
        <f t="shared" si="66"/>
        <v>19</v>
      </c>
      <c r="J431" s="73">
        <f t="shared" si="68"/>
        <v>19.76</v>
      </c>
      <c r="K431" s="44">
        <v>0.0</v>
      </c>
      <c r="L431" s="46">
        <v>0.0</v>
      </c>
      <c r="M431" s="61" t="s">
        <v>24</v>
      </c>
      <c r="N431" s="61" t="s">
        <v>25</v>
      </c>
      <c r="O431" s="8" t="s">
        <v>1004</v>
      </c>
      <c r="P431" s="73">
        <f t="shared" si="63"/>
        <v>8.24</v>
      </c>
      <c r="Q431" s="8"/>
      <c r="R431" s="36" t="s">
        <v>25</v>
      </c>
      <c r="S431" s="41" t="s">
        <v>1324</v>
      </c>
      <c r="T431" s="83"/>
    </row>
    <row r="432" ht="15.75" customHeight="1">
      <c r="A432" s="8" t="s">
        <v>20</v>
      </c>
      <c r="B432" s="41" t="s">
        <v>67</v>
      </c>
      <c r="C432" s="42" t="s">
        <v>1325</v>
      </c>
      <c r="D432" s="41">
        <v>1.0</v>
      </c>
      <c r="E432" s="43" t="s">
        <v>1326</v>
      </c>
      <c r="F432" s="44">
        <v>390.0</v>
      </c>
      <c r="G432" s="54">
        <v>45539.0</v>
      </c>
      <c r="H432" s="44">
        <v>267.99</v>
      </c>
      <c r="I432" s="52">
        <f t="shared" si="66"/>
        <v>271</v>
      </c>
      <c r="J432" s="73">
        <f t="shared" si="68"/>
        <v>281.84</v>
      </c>
      <c r="K432" s="87">
        <v>45.0</v>
      </c>
      <c r="L432" s="46">
        <v>1.0</v>
      </c>
      <c r="M432" s="61" t="s">
        <v>24</v>
      </c>
      <c r="N432" s="61" t="s">
        <v>25</v>
      </c>
      <c r="O432" s="8" t="s">
        <v>867</v>
      </c>
      <c r="P432" s="73">
        <f t="shared" si="63"/>
        <v>63.16</v>
      </c>
      <c r="Q432" s="8"/>
      <c r="R432" s="36" t="s">
        <v>25</v>
      </c>
      <c r="S432" s="41" t="s">
        <v>1327</v>
      </c>
      <c r="T432" s="83"/>
    </row>
    <row r="433" ht="15.75" customHeight="1">
      <c r="A433" s="8" t="s">
        <v>20</v>
      </c>
      <c r="B433" s="41" t="s">
        <v>898</v>
      </c>
      <c r="C433" s="42" t="s">
        <v>1186</v>
      </c>
      <c r="D433" s="41">
        <v>6.0</v>
      </c>
      <c r="E433" s="43" t="s">
        <v>1328</v>
      </c>
      <c r="F433" s="44">
        <v>460.0</v>
      </c>
      <c r="G433" s="54">
        <v>45539.0</v>
      </c>
      <c r="H433" s="44">
        <v>327.42</v>
      </c>
      <c r="I433" s="52">
        <f t="shared" si="66"/>
        <v>331</v>
      </c>
      <c r="J433" s="44">
        <v>331.0</v>
      </c>
      <c r="K433" s="44">
        <v>22.0</v>
      </c>
      <c r="L433" s="46">
        <v>0.5</v>
      </c>
      <c r="M433" s="61" t="s">
        <v>24</v>
      </c>
      <c r="N433" s="61" t="s">
        <v>25</v>
      </c>
      <c r="O433" s="8" t="s">
        <v>867</v>
      </c>
      <c r="P433" s="73">
        <f t="shared" si="63"/>
        <v>107</v>
      </c>
      <c r="Q433" s="8"/>
      <c r="R433" s="36" t="s">
        <v>25</v>
      </c>
      <c r="S433" s="41" t="s">
        <v>1329</v>
      </c>
      <c r="T433" s="83"/>
    </row>
    <row r="434" ht="15.75" customHeight="1">
      <c r="A434" s="8" t="s">
        <v>20</v>
      </c>
      <c r="B434" s="41" t="s">
        <v>445</v>
      </c>
      <c r="C434" s="42" t="s">
        <v>1330</v>
      </c>
      <c r="D434" s="41">
        <v>1.0</v>
      </c>
      <c r="E434" s="41"/>
      <c r="F434" s="44">
        <v>190.0</v>
      </c>
      <c r="G434" s="54">
        <v>45539.0</v>
      </c>
      <c r="H434" s="44">
        <v>84.0</v>
      </c>
      <c r="I434" s="52">
        <f t="shared" si="66"/>
        <v>85</v>
      </c>
      <c r="J434" s="73">
        <f t="shared" ref="J434:J437" si="69">I434+(I434*0.04)</f>
        <v>88.4</v>
      </c>
      <c r="K434" s="44">
        <v>22.0</v>
      </c>
      <c r="L434" s="46">
        <v>0.5</v>
      </c>
      <c r="M434" s="61" t="s">
        <v>24</v>
      </c>
      <c r="N434" s="61" t="s">
        <v>25</v>
      </c>
      <c r="O434" s="8" t="s">
        <v>1004</v>
      </c>
      <c r="P434" s="73">
        <f t="shared" si="63"/>
        <v>79.6</v>
      </c>
      <c r="Q434" s="8"/>
      <c r="R434" s="36" t="s">
        <v>25</v>
      </c>
      <c r="S434" s="41" t="s">
        <v>1331</v>
      </c>
      <c r="T434" s="83"/>
    </row>
    <row r="435" ht="15.75" customHeight="1">
      <c r="A435" s="8" t="s">
        <v>20</v>
      </c>
      <c r="B435" s="41" t="s">
        <v>175</v>
      </c>
      <c r="C435" s="42" t="s">
        <v>1332</v>
      </c>
      <c r="D435" s="41">
        <v>1.0</v>
      </c>
      <c r="E435" s="43" t="s">
        <v>1333</v>
      </c>
      <c r="F435" s="44">
        <v>70.0</v>
      </c>
      <c r="G435" s="54">
        <v>45540.0</v>
      </c>
      <c r="H435" s="44">
        <v>35.0</v>
      </c>
      <c r="I435" s="52">
        <f t="shared" si="66"/>
        <v>35</v>
      </c>
      <c r="J435" s="73">
        <f t="shared" si="69"/>
        <v>36.4</v>
      </c>
      <c r="K435" s="44">
        <v>22.0</v>
      </c>
      <c r="L435" s="46">
        <v>0.5</v>
      </c>
      <c r="M435" s="61" t="s">
        <v>24</v>
      </c>
      <c r="N435" s="61" t="s">
        <v>25</v>
      </c>
      <c r="O435" s="8" t="s">
        <v>867</v>
      </c>
      <c r="P435" s="73">
        <f t="shared" si="63"/>
        <v>11.6</v>
      </c>
      <c r="Q435" s="8"/>
      <c r="R435" s="36" t="s">
        <v>25</v>
      </c>
      <c r="S435" s="49" t="s">
        <v>1334</v>
      </c>
      <c r="T435" s="83"/>
    </row>
    <row r="436" ht="15.75" customHeight="1">
      <c r="A436" s="8" t="s">
        <v>20</v>
      </c>
      <c r="B436" s="41" t="s">
        <v>67</v>
      </c>
      <c r="C436" s="42" t="s">
        <v>1335</v>
      </c>
      <c r="D436" s="41">
        <v>4.0</v>
      </c>
      <c r="E436" s="47" t="s">
        <v>1336</v>
      </c>
      <c r="F436" s="44">
        <v>400.0</v>
      </c>
      <c r="G436" s="54">
        <v>45541.0</v>
      </c>
      <c r="H436" s="44">
        <v>187.96</v>
      </c>
      <c r="I436" s="52">
        <f t="shared" si="66"/>
        <v>190</v>
      </c>
      <c r="J436" s="73">
        <f t="shared" si="69"/>
        <v>197.6</v>
      </c>
      <c r="K436" s="44">
        <v>135.0</v>
      </c>
      <c r="L436" s="46">
        <v>3.0</v>
      </c>
      <c r="M436" s="61" t="s">
        <v>24</v>
      </c>
      <c r="N436" s="61" t="s">
        <v>25</v>
      </c>
      <c r="O436" s="8" t="s">
        <v>867</v>
      </c>
      <c r="P436" s="73">
        <f t="shared" si="63"/>
        <v>67.4</v>
      </c>
      <c r="Q436" s="8"/>
      <c r="R436" s="36" t="s">
        <v>25</v>
      </c>
      <c r="S436" s="41" t="s">
        <v>1337</v>
      </c>
      <c r="T436" s="83"/>
    </row>
    <row r="437" ht="15.75" customHeight="1">
      <c r="A437" s="8" t="s">
        <v>20</v>
      </c>
      <c r="B437" s="41" t="s">
        <v>37</v>
      </c>
      <c r="C437" s="42" t="s">
        <v>1338</v>
      </c>
      <c r="D437" s="41">
        <v>1.0</v>
      </c>
      <c r="E437" s="43" t="s">
        <v>1339</v>
      </c>
      <c r="F437" s="44">
        <v>0.0</v>
      </c>
      <c r="G437" s="54">
        <v>45541.0</v>
      </c>
      <c r="H437" s="52"/>
      <c r="I437" s="52">
        <f t="shared" si="66"/>
        <v>0</v>
      </c>
      <c r="J437" s="73">
        <f t="shared" si="69"/>
        <v>0</v>
      </c>
      <c r="K437" s="44">
        <v>0.0</v>
      </c>
      <c r="L437" s="46">
        <v>0.0</v>
      </c>
      <c r="M437" s="61" t="s">
        <v>24</v>
      </c>
      <c r="N437" s="61" t="s">
        <v>25</v>
      </c>
      <c r="O437" s="8" t="s">
        <v>867</v>
      </c>
      <c r="P437" s="73">
        <f t="shared" si="63"/>
        <v>0</v>
      </c>
      <c r="Q437" s="8"/>
      <c r="R437" s="36" t="s">
        <v>25</v>
      </c>
      <c r="S437" s="41" t="s">
        <v>1340</v>
      </c>
      <c r="T437" s="83"/>
    </row>
    <row r="438" ht="15.75" customHeight="1">
      <c r="A438" s="8" t="s">
        <v>20</v>
      </c>
      <c r="B438" s="41" t="s">
        <v>693</v>
      </c>
      <c r="C438" s="42" t="s">
        <v>1341</v>
      </c>
      <c r="D438" s="41">
        <v>1.0</v>
      </c>
      <c r="E438" s="43" t="s">
        <v>1342</v>
      </c>
      <c r="F438" s="44">
        <v>890.0</v>
      </c>
      <c r="G438" s="54">
        <v>45544.0</v>
      </c>
      <c r="H438" s="44">
        <v>477.49</v>
      </c>
      <c r="I438" s="52">
        <f t="shared" si="66"/>
        <v>482</v>
      </c>
      <c r="J438" s="84">
        <v>482.0</v>
      </c>
      <c r="K438" s="46">
        <v>360.0</v>
      </c>
      <c r="L438" s="46">
        <v>8.0</v>
      </c>
      <c r="M438" s="61" t="s">
        <v>24</v>
      </c>
      <c r="N438" s="61" t="s">
        <v>25</v>
      </c>
      <c r="O438" s="8" t="s">
        <v>867</v>
      </c>
      <c r="P438" s="73">
        <f t="shared" si="63"/>
        <v>48</v>
      </c>
      <c r="Q438" s="8"/>
      <c r="R438" s="36" t="s">
        <v>25</v>
      </c>
      <c r="S438" s="41" t="s">
        <v>1343</v>
      </c>
      <c r="T438" s="83"/>
    </row>
    <row r="439" ht="15.75" customHeight="1">
      <c r="A439" s="8" t="s">
        <v>20</v>
      </c>
      <c r="B439" s="41" t="s">
        <v>1344</v>
      </c>
      <c r="C439" s="42" t="s">
        <v>1345</v>
      </c>
      <c r="D439" s="41">
        <v>2.0</v>
      </c>
      <c r="E439" s="41" t="s">
        <v>472</v>
      </c>
      <c r="F439" s="44">
        <v>240.0</v>
      </c>
      <c r="G439" s="54">
        <v>45546.0</v>
      </c>
      <c r="H439" s="44">
        <v>0.0</v>
      </c>
      <c r="I439" s="52">
        <f t="shared" si="66"/>
        <v>0</v>
      </c>
      <c r="J439" s="73">
        <f t="shared" ref="J439:J443" si="70">I439+(I439*0.04)</f>
        <v>0</v>
      </c>
      <c r="K439" s="44">
        <v>200.0</v>
      </c>
      <c r="L439" s="46">
        <v>4.0</v>
      </c>
      <c r="M439" s="61" t="s">
        <v>24</v>
      </c>
      <c r="N439" s="61" t="s">
        <v>25</v>
      </c>
      <c r="O439" s="8" t="s">
        <v>867</v>
      </c>
      <c r="P439" s="73">
        <f t="shared" si="63"/>
        <v>40</v>
      </c>
      <c r="Q439" s="8"/>
      <c r="R439" s="36" t="s">
        <v>25</v>
      </c>
      <c r="S439" s="41" t="s">
        <v>1346</v>
      </c>
      <c r="T439" s="83"/>
    </row>
    <row r="440" ht="15.75" customHeight="1">
      <c r="A440" s="8" t="s">
        <v>20</v>
      </c>
      <c r="B440" s="41" t="s">
        <v>179</v>
      </c>
      <c r="C440" s="42" t="s">
        <v>1347</v>
      </c>
      <c r="D440" s="41"/>
      <c r="E440" s="41"/>
      <c r="F440" s="44">
        <v>550.0</v>
      </c>
      <c r="G440" s="54">
        <v>45552.0</v>
      </c>
      <c r="H440" s="44">
        <v>314.89</v>
      </c>
      <c r="I440" s="52">
        <f t="shared" si="66"/>
        <v>318</v>
      </c>
      <c r="J440" s="73">
        <f t="shared" si="70"/>
        <v>330.72</v>
      </c>
      <c r="K440" s="44">
        <v>45.0</v>
      </c>
      <c r="L440" s="46">
        <v>1.0</v>
      </c>
      <c r="M440" s="61" t="s">
        <v>24</v>
      </c>
      <c r="N440" s="61" t="s">
        <v>25</v>
      </c>
      <c r="O440" s="8" t="s">
        <v>1004</v>
      </c>
      <c r="P440" s="73">
        <f t="shared" si="63"/>
        <v>174.28</v>
      </c>
      <c r="Q440" s="8"/>
      <c r="R440" s="36" t="s">
        <v>25</v>
      </c>
      <c r="S440" s="41" t="s">
        <v>1348</v>
      </c>
      <c r="T440" s="83"/>
    </row>
    <row r="441" ht="15.75" customHeight="1">
      <c r="A441" s="8" t="s">
        <v>20</v>
      </c>
      <c r="B441" s="41" t="s">
        <v>841</v>
      </c>
      <c r="C441" s="42" t="s">
        <v>1349</v>
      </c>
      <c r="D441" s="41">
        <v>2.0</v>
      </c>
      <c r="E441" s="41"/>
      <c r="F441" s="44">
        <v>27.5</v>
      </c>
      <c r="G441" s="54">
        <v>45552.0</v>
      </c>
      <c r="H441" s="52"/>
      <c r="I441" s="52">
        <f t="shared" si="66"/>
        <v>0</v>
      </c>
      <c r="J441" s="73">
        <f t="shared" si="70"/>
        <v>0</v>
      </c>
      <c r="K441" s="44">
        <v>22.0</v>
      </c>
      <c r="L441" s="46">
        <v>0.5</v>
      </c>
      <c r="M441" s="61" t="s">
        <v>24</v>
      </c>
      <c r="N441" s="61" t="s">
        <v>25</v>
      </c>
      <c r="O441" s="8" t="s">
        <v>1004</v>
      </c>
      <c r="P441" s="73">
        <f t="shared" si="63"/>
        <v>5.5</v>
      </c>
      <c r="Q441" s="8"/>
      <c r="R441" s="36" t="s">
        <v>25</v>
      </c>
      <c r="S441" s="41" t="s">
        <v>1350</v>
      </c>
      <c r="T441" s="83"/>
    </row>
    <row r="442" ht="15.75" customHeight="1">
      <c r="A442" s="8" t="s">
        <v>20</v>
      </c>
      <c r="B442" s="41" t="s">
        <v>841</v>
      </c>
      <c r="C442" s="42" t="s">
        <v>1351</v>
      </c>
      <c r="D442" s="41">
        <v>2.0</v>
      </c>
      <c r="E442" s="41"/>
      <c r="F442" s="44">
        <v>27.5</v>
      </c>
      <c r="G442" s="54">
        <v>45552.0</v>
      </c>
      <c r="H442" s="52"/>
      <c r="I442" s="52">
        <f t="shared" si="66"/>
        <v>0</v>
      </c>
      <c r="J442" s="73">
        <f t="shared" si="70"/>
        <v>0</v>
      </c>
      <c r="K442" s="44">
        <v>22.0</v>
      </c>
      <c r="L442" s="46">
        <v>0.5</v>
      </c>
      <c r="M442" s="61" t="s">
        <v>24</v>
      </c>
      <c r="N442" s="61" t="s">
        <v>25</v>
      </c>
      <c r="O442" s="8" t="s">
        <v>1004</v>
      </c>
      <c r="P442" s="73">
        <f t="shared" si="63"/>
        <v>5.5</v>
      </c>
      <c r="Q442" s="8"/>
      <c r="R442" s="36" t="s">
        <v>25</v>
      </c>
      <c r="S442" s="41" t="s">
        <v>1352</v>
      </c>
      <c r="T442" s="83"/>
    </row>
    <row r="443" ht="15.75" customHeight="1">
      <c r="A443" s="8" t="s">
        <v>20</v>
      </c>
      <c r="B443" s="41" t="s">
        <v>841</v>
      </c>
      <c r="C443" s="42" t="s">
        <v>1353</v>
      </c>
      <c r="D443" s="41"/>
      <c r="E443" s="41"/>
      <c r="F443" s="44">
        <v>120.0</v>
      </c>
      <c r="G443" s="54">
        <v>45552.0</v>
      </c>
      <c r="H443" s="52"/>
      <c r="I443" s="52">
        <f t="shared" si="66"/>
        <v>0</v>
      </c>
      <c r="J443" s="73">
        <f t="shared" si="70"/>
        <v>0</v>
      </c>
      <c r="K443" s="44">
        <v>100.0</v>
      </c>
      <c r="L443" s="46">
        <v>2.0</v>
      </c>
      <c r="M443" s="61" t="s">
        <v>24</v>
      </c>
      <c r="N443" s="61" t="s">
        <v>25</v>
      </c>
      <c r="O443" s="8" t="s">
        <v>1004</v>
      </c>
      <c r="P443" s="73">
        <f t="shared" si="63"/>
        <v>20</v>
      </c>
      <c r="Q443" s="8"/>
      <c r="R443" s="36" t="s">
        <v>25</v>
      </c>
      <c r="S443" s="41" t="s">
        <v>481</v>
      </c>
      <c r="T443" s="83"/>
    </row>
    <row r="444" ht="15.75" customHeight="1">
      <c r="A444" s="8" t="s">
        <v>20</v>
      </c>
      <c r="B444" s="41" t="s">
        <v>841</v>
      </c>
      <c r="C444" s="42" t="s">
        <v>1354</v>
      </c>
      <c r="D444" s="41">
        <v>1.0</v>
      </c>
      <c r="E444" s="41"/>
      <c r="F444" s="84">
        <v>60.0</v>
      </c>
      <c r="G444" s="54">
        <v>45552.0</v>
      </c>
      <c r="H444" s="52"/>
      <c r="I444" s="52"/>
      <c r="J444" s="73"/>
      <c r="K444" s="44">
        <v>50.0</v>
      </c>
      <c r="L444" s="46">
        <v>1.0</v>
      </c>
      <c r="M444" s="61" t="s">
        <v>24</v>
      </c>
      <c r="N444" s="61" t="s">
        <v>25</v>
      </c>
      <c r="O444" s="8" t="s">
        <v>1004</v>
      </c>
      <c r="P444" s="73">
        <f t="shared" si="63"/>
        <v>10</v>
      </c>
      <c r="Q444" s="8"/>
      <c r="R444" s="36" t="s">
        <v>25</v>
      </c>
      <c r="S444" s="41" t="s">
        <v>481</v>
      </c>
      <c r="T444" s="83"/>
    </row>
    <row r="445" ht="15.75" customHeight="1">
      <c r="A445" s="8" t="s">
        <v>20</v>
      </c>
      <c r="B445" s="41" t="s">
        <v>1355</v>
      </c>
      <c r="C445" s="42" t="s">
        <v>1356</v>
      </c>
      <c r="D445" s="41">
        <v>1.0</v>
      </c>
      <c r="E445" s="41"/>
      <c r="F445" s="44">
        <v>650.0</v>
      </c>
      <c r="G445" s="54">
        <v>45554.0</v>
      </c>
      <c r="H445" s="52"/>
      <c r="I445" s="52">
        <f t="shared" ref="I445:I449" si="71">ROUND(H445+H445*0.01,0)</f>
        <v>0</v>
      </c>
      <c r="J445" s="73">
        <f t="shared" ref="J445:J449" si="72">I445+(I445*0.04)</f>
        <v>0</v>
      </c>
      <c r="K445" s="44">
        <v>500.0</v>
      </c>
      <c r="L445" s="46">
        <v>10.0</v>
      </c>
      <c r="M445" s="61" t="s">
        <v>24</v>
      </c>
      <c r="N445" s="61" t="s">
        <v>25</v>
      </c>
      <c r="O445" s="8" t="s">
        <v>1004</v>
      </c>
      <c r="P445" s="73">
        <f t="shared" si="63"/>
        <v>150</v>
      </c>
      <c r="Q445" s="8"/>
      <c r="R445" s="36" t="s">
        <v>25</v>
      </c>
      <c r="S445" s="41" t="s">
        <v>1357</v>
      </c>
      <c r="T445" s="83"/>
    </row>
    <row r="446" ht="15.75" customHeight="1">
      <c r="A446" s="8" t="s">
        <v>20</v>
      </c>
      <c r="B446" s="41" t="s">
        <v>1355</v>
      </c>
      <c r="C446" s="42" t="s">
        <v>1358</v>
      </c>
      <c r="D446" s="41">
        <v>1.0</v>
      </c>
      <c r="E446" s="41"/>
      <c r="F446" s="44">
        <v>250.0</v>
      </c>
      <c r="G446" s="54">
        <v>45554.0</v>
      </c>
      <c r="H446" s="52"/>
      <c r="I446" s="52">
        <f t="shared" si="71"/>
        <v>0</v>
      </c>
      <c r="J446" s="63">
        <f t="shared" si="72"/>
        <v>0</v>
      </c>
      <c r="K446" s="44">
        <v>200.0</v>
      </c>
      <c r="L446" s="46">
        <v>4.0</v>
      </c>
      <c r="M446" s="61" t="s">
        <v>24</v>
      </c>
      <c r="N446" s="61" t="s">
        <v>25</v>
      </c>
      <c r="O446" s="8" t="s">
        <v>1004</v>
      </c>
      <c r="P446" s="73">
        <f t="shared" si="63"/>
        <v>50</v>
      </c>
      <c r="Q446" s="8"/>
      <c r="R446" s="36" t="s">
        <v>25</v>
      </c>
      <c r="S446" s="41" t="s">
        <v>1359</v>
      </c>
      <c r="T446" s="83"/>
    </row>
    <row r="447" ht="15.75" customHeight="1">
      <c r="A447" s="8" t="s">
        <v>20</v>
      </c>
      <c r="B447" s="41" t="s">
        <v>179</v>
      </c>
      <c r="C447" s="42" t="s">
        <v>1360</v>
      </c>
      <c r="D447" s="41">
        <v>1.0</v>
      </c>
      <c r="E447" s="43" t="s">
        <v>1361</v>
      </c>
      <c r="F447" s="44">
        <v>200.0</v>
      </c>
      <c r="G447" s="54">
        <v>45558.0</v>
      </c>
      <c r="H447" s="44">
        <v>96.28</v>
      </c>
      <c r="I447" s="52">
        <f t="shared" si="71"/>
        <v>97</v>
      </c>
      <c r="J447" s="63">
        <f t="shared" si="72"/>
        <v>100.88</v>
      </c>
      <c r="K447" s="44">
        <v>45.0</v>
      </c>
      <c r="L447" s="46">
        <v>1.0</v>
      </c>
      <c r="M447" s="61" t="s">
        <v>24</v>
      </c>
      <c r="N447" s="61" t="s">
        <v>25</v>
      </c>
      <c r="O447" s="8" t="s">
        <v>1004</v>
      </c>
      <c r="P447" s="73">
        <f t="shared" si="63"/>
        <v>54.12</v>
      </c>
      <c r="Q447" s="8"/>
      <c r="R447" s="36" t="s">
        <v>25</v>
      </c>
      <c r="S447" s="41" t="s">
        <v>1362</v>
      </c>
      <c r="T447" s="83"/>
    </row>
    <row r="448" ht="15.75" customHeight="1">
      <c r="A448" s="8" t="s">
        <v>20</v>
      </c>
      <c r="B448" s="41" t="s">
        <v>1363</v>
      </c>
      <c r="C448" s="42" t="s">
        <v>1364</v>
      </c>
      <c r="D448" s="41">
        <v>1.0</v>
      </c>
      <c r="E448" s="43" t="s">
        <v>1365</v>
      </c>
      <c r="F448" s="44">
        <v>170.0</v>
      </c>
      <c r="G448" s="54">
        <v>45558.0</v>
      </c>
      <c r="H448" s="44">
        <v>86.91</v>
      </c>
      <c r="I448" s="52">
        <f t="shared" si="71"/>
        <v>88</v>
      </c>
      <c r="J448" s="63">
        <f t="shared" si="72"/>
        <v>91.52</v>
      </c>
      <c r="K448" s="44">
        <v>50.0</v>
      </c>
      <c r="L448" s="46">
        <v>1.0</v>
      </c>
      <c r="M448" s="61" t="s">
        <v>24</v>
      </c>
      <c r="N448" s="61" t="s">
        <v>25</v>
      </c>
      <c r="O448" s="8" t="s">
        <v>1004</v>
      </c>
      <c r="P448" s="73">
        <f t="shared" si="63"/>
        <v>28.48</v>
      </c>
      <c r="Q448" s="8"/>
      <c r="R448" s="36" t="s">
        <v>25</v>
      </c>
      <c r="S448" s="102" t="s">
        <v>1366</v>
      </c>
      <c r="T448" s="83"/>
    </row>
    <row r="449" ht="15.75" customHeight="1">
      <c r="A449" s="8" t="s">
        <v>20</v>
      </c>
      <c r="B449" s="41" t="s">
        <v>550</v>
      </c>
      <c r="C449" s="42" t="s">
        <v>1367</v>
      </c>
      <c r="D449" s="41">
        <v>1.0</v>
      </c>
      <c r="E449" s="43" t="s">
        <v>1368</v>
      </c>
      <c r="F449" s="44">
        <v>300.0</v>
      </c>
      <c r="G449" s="54">
        <v>45559.0</v>
      </c>
      <c r="H449" s="44">
        <v>178.6</v>
      </c>
      <c r="I449" s="52">
        <f t="shared" si="71"/>
        <v>180</v>
      </c>
      <c r="J449" s="63">
        <f t="shared" si="72"/>
        <v>187.2</v>
      </c>
      <c r="K449" s="44">
        <v>27.5</v>
      </c>
      <c r="L449" s="46">
        <v>0.5</v>
      </c>
      <c r="M449" s="61" t="s">
        <v>24</v>
      </c>
      <c r="N449" s="61" t="s">
        <v>25</v>
      </c>
      <c r="O449" s="8" t="s">
        <v>867</v>
      </c>
      <c r="P449" s="73">
        <f t="shared" si="63"/>
        <v>85.3</v>
      </c>
      <c r="Q449" s="8"/>
      <c r="R449" s="36" t="s">
        <v>25</v>
      </c>
      <c r="S449" s="102" t="s">
        <v>1369</v>
      </c>
      <c r="T449" s="83"/>
    </row>
    <row r="450" ht="15.75" customHeight="1">
      <c r="A450" s="8" t="s">
        <v>20</v>
      </c>
      <c r="B450" s="41" t="s">
        <v>1115</v>
      </c>
      <c r="C450" s="42" t="s">
        <v>892</v>
      </c>
      <c r="D450" s="41">
        <v>1.0</v>
      </c>
      <c r="E450" s="47" t="s">
        <v>1370</v>
      </c>
      <c r="F450" s="44">
        <v>205.0</v>
      </c>
      <c r="G450" s="54">
        <v>45559.0</v>
      </c>
      <c r="H450" s="44">
        <v>128.39</v>
      </c>
      <c r="I450" s="44">
        <v>128.39</v>
      </c>
      <c r="J450" s="44">
        <v>128.39</v>
      </c>
      <c r="K450" s="44">
        <v>45.0</v>
      </c>
      <c r="L450" s="46">
        <v>1.0</v>
      </c>
      <c r="M450" s="61" t="s">
        <v>24</v>
      </c>
      <c r="N450" s="61" t="s">
        <v>25</v>
      </c>
      <c r="O450" s="8" t="s">
        <v>867</v>
      </c>
      <c r="P450" s="73">
        <f t="shared" si="63"/>
        <v>31.61</v>
      </c>
      <c r="Q450" s="8"/>
      <c r="R450" s="36" t="s">
        <v>25</v>
      </c>
      <c r="S450" s="102" t="s">
        <v>1371</v>
      </c>
      <c r="T450" s="83"/>
    </row>
    <row r="451" ht="15.75" customHeight="1">
      <c r="A451" s="8" t="s">
        <v>20</v>
      </c>
      <c r="B451" s="41" t="s">
        <v>37</v>
      </c>
      <c r="C451" s="42" t="s">
        <v>1372</v>
      </c>
      <c r="D451" s="41">
        <v>1.0</v>
      </c>
      <c r="E451" s="43" t="s">
        <v>1373</v>
      </c>
      <c r="F451" s="44">
        <v>339.0</v>
      </c>
      <c r="G451" s="54">
        <v>45571.0</v>
      </c>
      <c r="H451" s="44">
        <v>0.0</v>
      </c>
      <c r="I451" s="52">
        <f t="shared" ref="I451:I511" si="73">ROUND(H451+H451*0.01,0)</f>
        <v>0</v>
      </c>
      <c r="J451" s="63">
        <f t="shared" ref="J451:J460" si="74">I451+(I451*0.04)</f>
        <v>0</v>
      </c>
      <c r="K451" s="44">
        <v>9.0</v>
      </c>
      <c r="L451" s="46">
        <v>450.0</v>
      </c>
      <c r="M451" s="61" t="s">
        <v>24</v>
      </c>
      <c r="N451" s="61" t="s">
        <v>25</v>
      </c>
      <c r="O451" s="8" t="s">
        <v>867</v>
      </c>
      <c r="P451" s="73">
        <f t="shared" si="63"/>
        <v>330</v>
      </c>
      <c r="Q451" s="8"/>
      <c r="R451" s="36" t="s">
        <v>25</v>
      </c>
      <c r="S451" s="102" t="s">
        <v>1374</v>
      </c>
      <c r="T451" s="83"/>
    </row>
    <row r="452" ht="15.75" customHeight="1">
      <c r="A452" s="8" t="s">
        <v>20</v>
      </c>
      <c r="B452" s="41" t="s">
        <v>1375</v>
      </c>
      <c r="C452" s="42" t="s">
        <v>1376</v>
      </c>
      <c r="D452" s="41">
        <v>1.0</v>
      </c>
      <c r="E452" s="83"/>
      <c r="F452" s="44">
        <v>1100.0</v>
      </c>
      <c r="G452" s="54">
        <v>45571.0</v>
      </c>
      <c r="H452" s="44">
        <v>709.0</v>
      </c>
      <c r="I452" s="52">
        <f t="shared" si="73"/>
        <v>716</v>
      </c>
      <c r="J452" s="63">
        <f t="shared" si="74"/>
        <v>744.64</v>
      </c>
      <c r="K452" s="44">
        <v>90.0</v>
      </c>
      <c r="L452" s="46">
        <v>2.0</v>
      </c>
      <c r="M452" s="61" t="s">
        <v>24</v>
      </c>
      <c r="N452" s="61" t="s">
        <v>25</v>
      </c>
      <c r="O452" s="8" t="s">
        <v>1004</v>
      </c>
      <c r="P452" s="73">
        <f t="shared" si="63"/>
        <v>265.36</v>
      </c>
      <c r="Q452" s="8"/>
      <c r="R452" s="36" t="s">
        <v>25</v>
      </c>
      <c r="S452" s="102" t="s">
        <v>1377</v>
      </c>
      <c r="T452" s="83"/>
    </row>
    <row r="453" ht="15.75" customHeight="1">
      <c r="A453" s="8" t="s">
        <v>20</v>
      </c>
      <c r="B453" s="41" t="s">
        <v>1378</v>
      </c>
      <c r="C453" s="42" t="s">
        <v>1379</v>
      </c>
      <c r="D453" s="41">
        <v>1.0</v>
      </c>
      <c r="E453" s="43" t="s">
        <v>1380</v>
      </c>
      <c r="F453" s="44">
        <v>200.0</v>
      </c>
      <c r="G453" s="54">
        <v>45571.0</v>
      </c>
      <c r="H453" s="44">
        <v>93.68</v>
      </c>
      <c r="I453" s="52">
        <f t="shared" si="73"/>
        <v>95</v>
      </c>
      <c r="J453" s="63">
        <f t="shared" si="74"/>
        <v>98.8</v>
      </c>
      <c r="K453" s="44">
        <v>45.0</v>
      </c>
      <c r="L453" s="46">
        <v>1.0</v>
      </c>
      <c r="M453" s="61" t="s">
        <v>24</v>
      </c>
      <c r="N453" s="61" t="s">
        <v>25</v>
      </c>
      <c r="O453" s="8" t="s">
        <v>1004</v>
      </c>
      <c r="P453" s="73">
        <f t="shared" si="63"/>
        <v>56.2</v>
      </c>
      <c r="Q453" s="8"/>
      <c r="R453" s="36" t="s">
        <v>25</v>
      </c>
      <c r="S453" s="102" t="s">
        <v>1381</v>
      </c>
      <c r="T453" s="83"/>
    </row>
    <row r="454" ht="15.75" customHeight="1">
      <c r="A454" s="8" t="s">
        <v>20</v>
      </c>
      <c r="B454" s="41" t="s">
        <v>1382</v>
      </c>
      <c r="C454" s="42" t="s">
        <v>1383</v>
      </c>
      <c r="D454" s="41">
        <v>1.0</v>
      </c>
      <c r="E454" s="43" t="s">
        <v>1384</v>
      </c>
      <c r="F454" s="44">
        <v>960.0</v>
      </c>
      <c r="G454" s="54">
        <v>45576.0</v>
      </c>
      <c r="H454" s="44">
        <v>649.14</v>
      </c>
      <c r="I454" s="52">
        <f t="shared" si="73"/>
        <v>656</v>
      </c>
      <c r="J454" s="63">
        <f t="shared" si="74"/>
        <v>682.24</v>
      </c>
      <c r="K454" s="44">
        <v>135.0</v>
      </c>
      <c r="L454" s="46">
        <v>3.0</v>
      </c>
      <c r="M454" s="61" t="s">
        <v>24</v>
      </c>
      <c r="N454" s="61" t="s">
        <v>25</v>
      </c>
      <c r="O454" s="8" t="s">
        <v>1004</v>
      </c>
      <c r="P454" s="73">
        <f t="shared" si="63"/>
        <v>142.76</v>
      </c>
      <c r="Q454" s="8"/>
      <c r="R454" s="36" t="s">
        <v>25</v>
      </c>
      <c r="S454" s="102" t="s">
        <v>1385</v>
      </c>
      <c r="T454" s="83"/>
    </row>
    <row r="455" ht="15.75" customHeight="1">
      <c r="A455" s="8" t="s">
        <v>20</v>
      </c>
      <c r="B455" s="41" t="s">
        <v>1382</v>
      </c>
      <c r="C455" s="42" t="s">
        <v>1386</v>
      </c>
      <c r="D455" s="41">
        <v>1.0</v>
      </c>
      <c r="E455" s="43" t="s">
        <v>1387</v>
      </c>
      <c r="F455" s="44">
        <v>460.0</v>
      </c>
      <c r="G455" s="54">
        <v>45576.0</v>
      </c>
      <c r="H455" s="44">
        <v>280.08</v>
      </c>
      <c r="I455" s="52">
        <f t="shared" si="73"/>
        <v>283</v>
      </c>
      <c r="J455" s="63">
        <f t="shared" si="74"/>
        <v>294.32</v>
      </c>
      <c r="K455" s="44">
        <v>135.0</v>
      </c>
      <c r="L455" s="46">
        <v>3.0</v>
      </c>
      <c r="M455" s="61" t="s">
        <v>24</v>
      </c>
      <c r="N455" s="61" t="s">
        <v>25</v>
      </c>
      <c r="O455" s="8" t="s">
        <v>1004</v>
      </c>
      <c r="P455" s="73">
        <f t="shared" si="63"/>
        <v>30.68</v>
      </c>
      <c r="Q455" s="8"/>
      <c r="R455" s="36" t="s">
        <v>25</v>
      </c>
      <c r="S455" s="102" t="s">
        <v>1388</v>
      </c>
      <c r="T455" s="83"/>
    </row>
    <row r="456" ht="15.75" customHeight="1">
      <c r="A456" s="8" t="s">
        <v>20</v>
      </c>
      <c r="B456" s="41" t="s">
        <v>1382</v>
      </c>
      <c r="C456" s="42" t="s">
        <v>1389</v>
      </c>
      <c r="D456" s="41">
        <v>1.0</v>
      </c>
      <c r="E456" s="43" t="s">
        <v>1390</v>
      </c>
      <c r="F456" s="44">
        <v>2690.0</v>
      </c>
      <c r="G456" s="54">
        <v>45576.0</v>
      </c>
      <c r="H456" s="44">
        <v>1555.48</v>
      </c>
      <c r="I456" s="52">
        <f t="shared" si="73"/>
        <v>1571</v>
      </c>
      <c r="J456" s="63">
        <f t="shared" si="74"/>
        <v>1633.84</v>
      </c>
      <c r="K456" s="44">
        <v>920.0</v>
      </c>
      <c r="L456" s="46">
        <v>3.0</v>
      </c>
      <c r="M456" s="61" t="s">
        <v>24</v>
      </c>
      <c r="N456" s="61" t="s">
        <v>25</v>
      </c>
      <c r="O456" s="8" t="s">
        <v>1004</v>
      </c>
      <c r="P456" s="73">
        <f t="shared" si="63"/>
        <v>136.16</v>
      </c>
      <c r="Q456" s="8"/>
      <c r="R456" s="36" t="s">
        <v>25</v>
      </c>
      <c r="S456" s="102" t="s">
        <v>1391</v>
      </c>
      <c r="T456" s="83"/>
    </row>
    <row r="457" ht="15.75" customHeight="1">
      <c r="A457" s="8" t="s">
        <v>20</v>
      </c>
      <c r="B457" s="41" t="s">
        <v>1382</v>
      </c>
      <c r="C457" s="42" t="s">
        <v>1392</v>
      </c>
      <c r="D457" s="41">
        <v>1.0</v>
      </c>
      <c r="E457" s="43" t="s">
        <v>1393</v>
      </c>
      <c r="F457" s="44">
        <v>70.0</v>
      </c>
      <c r="G457" s="54">
        <v>45576.0</v>
      </c>
      <c r="H457" s="44">
        <v>37.44</v>
      </c>
      <c r="I457" s="52">
        <f t="shared" si="73"/>
        <v>38</v>
      </c>
      <c r="J457" s="63">
        <f t="shared" si="74"/>
        <v>39.52</v>
      </c>
      <c r="K457" s="44">
        <v>0.0</v>
      </c>
      <c r="L457" s="46">
        <v>0.0</v>
      </c>
      <c r="M457" s="61" t="s">
        <v>24</v>
      </c>
      <c r="N457" s="61" t="s">
        <v>25</v>
      </c>
      <c r="O457" s="8" t="s">
        <v>1004</v>
      </c>
      <c r="P457" s="73">
        <f t="shared" si="63"/>
        <v>30.48</v>
      </c>
      <c r="Q457" s="8"/>
      <c r="R457" s="36" t="s">
        <v>25</v>
      </c>
      <c r="S457" s="111" t="s">
        <v>1394</v>
      </c>
      <c r="T457" s="83"/>
    </row>
    <row r="458" ht="15.75" customHeight="1">
      <c r="A458" s="8" t="s">
        <v>20</v>
      </c>
      <c r="B458" s="41" t="s">
        <v>1382</v>
      </c>
      <c r="C458" s="42" t="s">
        <v>1395</v>
      </c>
      <c r="D458" s="41">
        <v>1.0</v>
      </c>
      <c r="E458" s="43" t="s">
        <v>1396</v>
      </c>
      <c r="F458" s="44">
        <v>330.0</v>
      </c>
      <c r="G458" s="54">
        <v>45576.0</v>
      </c>
      <c r="H458" s="44">
        <v>177.61</v>
      </c>
      <c r="I458" s="52">
        <f t="shared" si="73"/>
        <v>179</v>
      </c>
      <c r="J458" s="63">
        <f t="shared" si="74"/>
        <v>186.16</v>
      </c>
      <c r="K458" s="44">
        <v>45.0</v>
      </c>
      <c r="L458" s="46">
        <v>1.0</v>
      </c>
      <c r="M458" s="61" t="s">
        <v>24</v>
      </c>
      <c r="N458" s="61" t="s">
        <v>25</v>
      </c>
      <c r="O458" s="8" t="s">
        <v>1004</v>
      </c>
      <c r="P458" s="73">
        <f t="shared" si="63"/>
        <v>98.84</v>
      </c>
      <c r="Q458" s="8"/>
      <c r="R458" s="36" t="s">
        <v>25</v>
      </c>
      <c r="S458" s="112" t="s">
        <v>1397</v>
      </c>
      <c r="T458" s="83"/>
    </row>
    <row r="459" ht="15.75" customHeight="1">
      <c r="A459" s="8" t="s">
        <v>20</v>
      </c>
      <c r="B459" s="41" t="s">
        <v>1382</v>
      </c>
      <c r="C459" s="42" t="s">
        <v>1398</v>
      </c>
      <c r="D459" s="41">
        <v>1.0</v>
      </c>
      <c r="E459" s="43" t="s">
        <v>1399</v>
      </c>
      <c r="F459" s="44">
        <v>380.0</v>
      </c>
      <c r="G459" s="54">
        <v>45576.0</v>
      </c>
      <c r="H459" s="44">
        <v>196.95</v>
      </c>
      <c r="I459" s="52">
        <f t="shared" si="73"/>
        <v>199</v>
      </c>
      <c r="J459" s="63">
        <f t="shared" si="74"/>
        <v>206.96</v>
      </c>
      <c r="K459" s="44">
        <v>112.0</v>
      </c>
      <c r="L459" s="46">
        <v>2.5</v>
      </c>
      <c r="M459" s="61" t="s">
        <v>24</v>
      </c>
      <c r="N459" s="61" t="s">
        <v>25</v>
      </c>
      <c r="O459" s="8" t="s">
        <v>1004</v>
      </c>
      <c r="P459" s="73">
        <f t="shared" si="63"/>
        <v>61.04</v>
      </c>
      <c r="Q459" s="8"/>
      <c r="R459" s="36" t="s">
        <v>25</v>
      </c>
      <c r="S459" s="41" t="s">
        <v>1400</v>
      </c>
      <c r="T459" s="83"/>
    </row>
    <row r="460" ht="15.75" customHeight="1">
      <c r="A460" s="8" t="s">
        <v>20</v>
      </c>
      <c r="B460" s="41" t="s">
        <v>1382</v>
      </c>
      <c r="C460" s="42" t="s">
        <v>1401</v>
      </c>
      <c r="D460" s="41">
        <v>1.0</v>
      </c>
      <c r="E460" s="43" t="s">
        <v>1402</v>
      </c>
      <c r="F460" s="44">
        <v>390.0</v>
      </c>
      <c r="G460" s="54">
        <v>45576.0</v>
      </c>
      <c r="H460" s="44">
        <v>232.78</v>
      </c>
      <c r="I460" s="52">
        <f t="shared" si="73"/>
        <v>235</v>
      </c>
      <c r="J460" s="63">
        <f t="shared" si="74"/>
        <v>244.4</v>
      </c>
      <c r="K460" s="44">
        <v>112.0</v>
      </c>
      <c r="L460" s="46">
        <v>2.5</v>
      </c>
      <c r="M460" s="61" t="s">
        <v>24</v>
      </c>
      <c r="N460" s="61" t="s">
        <v>25</v>
      </c>
      <c r="O460" s="8" t="s">
        <v>1004</v>
      </c>
      <c r="P460" s="73">
        <f t="shared" si="63"/>
        <v>33.6</v>
      </c>
      <c r="Q460" s="8"/>
      <c r="R460" s="36" t="s">
        <v>25</v>
      </c>
      <c r="S460" s="41" t="s">
        <v>1403</v>
      </c>
      <c r="T460" s="83"/>
    </row>
    <row r="461" ht="15.75" customHeight="1">
      <c r="A461" s="8" t="s">
        <v>20</v>
      </c>
      <c r="B461" s="41" t="s">
        <v>657</v>
      </c>
      <c r="C461" s="42" t="s">
        <v>1404</v>
      </c>
      <c r="D461" s="41">
        <v>2.0</v>
      </c>
      <c r="E461" s="43" t="s">
        <v>1405</v>
      </c>
      <c r="F461" s="44">
        <v>0.0</v>
      </c>
      <c r="G461" s="54">
        <v>45577.0</v>
      </c>
      <c r="H461" s="44">
        <v>140.9</v>
      </c>
      <c r="I461" s="52">
        <f t="shared" si="73"/>
        <v>142</v>
      </c>
      <c r="J461" s="44">
        <v>142.0</v>
      </c>
      <c r="K461" s="44">
        <v>27.5</v>
      </c>
      <c r="L461" s="46">
        <v>0.5</v>
      </c>
      <c r="M461" s="61" t="s">
        <v>24</v>
      </c>
      <c r="N461" s="61" t="s">
        <v>25</v>
      </c>
      <c r="O461" s="8" t="s">
        <v>1004</v>
      </c>
      <c r="P461" s="73">
        <f t="shared" si="63"/>
        <v>-169.5</v>
      </c>
      <c r="Q461" s="8"/>
      <c r="R461" s="36" t="s">
        <v>25</v>
      </c>
      <c r="S461" s="49" t="s">
        <v>1406</v>
      </c>
      <c r="T461" s="83"/>
    </row>
    <row r="462" ht="15.75" customHeight="1">
      <c r="A462" s="8" t="s">
        <v>20</v>
      </c>
      <c r="B462" s="41" t="s">
        <v>657</v>
      </c>
      <c r="C462" s="42" t="s">
        <v>1407</v>
      </c>
      <c r="D462" s="41">
        <v>1.0</v>
      </c>
      <c r="E462" s="43" t="s">
        <v>1408</v>
      </c>
      <c r="F462" s="44">
        <v>490.0</v>
      </c>
      <c r="G462" s="54">
        <v>45579.0</v>
      </c>
      <c r="H462" s="44">
        <v>292.1</v>
      </c>
      <c r="I462" s="52">
        <f t="shared" si="73"/>
        <v>295</v>
      </c>
      <c r="J462" s="63">
        <f t="shared" ref="J462:J464" si="75">I462+(I462*0.04)</f>
        <v>306.8</v>
      </c>
      <c r="K462" s="44">
        <v>100.0</v>
      </c>
      <c r="L462" s="46">
        <v>2.0</v>
      </c>
      <c r="M462" s="61" t="s">
        <v>24</v>
      </c>
      <c r="N462" s="61" t="s">
        <v>25</v>
      </c>
      <c r="O462" s="8" t="s">
        <v>1004</v>
      </c>
      <c r="P462" s="73">
        <f t="shared" si="63"/>
        <v>83.2</v>
      </c>
      <c r="Q462" s="8"/>
      <c r="R462" s="36" t="s">
        <v>25</v>
      </c>
      <c r="S462" s="41" t="s">
        <v>1409</v>
      </c>
      <c r="T462" s="83"/>
    </row>
    <row r="463" ht="15.75" customHeight="1">
      <c r="A463" s="8" t="s">
        <v>20</v>
      </c>
      <c r="B463" s="36" t="s">
        <v>37</v>
      </c>
      <c r="C463" s="36" t="s">
        <v>1410</v>
      </c>
      <c r="D463" s="36">
        <v>1.0</v>
      </c>
      <c r="E463" s="60" t="s">
        <v>1411</v>
      </c>
      <c r="F463" s="61">
        <v>0.0</v>
      </c>
      <c r="G463" s="62">
        <v>45589.0</v>
      </c>
      <c r="H463" s="113"/>
      <c r="I463" s="63">
        <f t="shared" si="73"/>
        <v>0</v>
      </c>
      <c r="J463" s="63">
        <f t="shared" si="75"/>
        <v>0</v>
      </c>
      <c r="K463" s="61">
        <v>0.0</v>
      </c>
      <c r="L463" s="64">
        <v>0.0</v>
      </c>
      <c r="M463" s="61" t="s">
        <v>24</v>
      </c>
      <c r="N463" s="61" t="s">
        <v>25</v>
      </c>
      <c r="O463" s="36" t="s">
        <v>867</v>
      </c>
      <c r="P463" s="73">
        <f t="shared" si="63"/>
        <v>0</v>
      </c>
      <c r="Q463" s="36"/>
      <c r="R463" s="36" t="s">
        <v>25</v>
      </c>
      <c r="S463" s="36" t="s">
        <v>481</v>
      </c>
      <c r="T463" s="114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</row>
    <row r="464" ht="15.75" customHeight="1">
      <c r="A464" s="8" t="s">
        <v>20</v>
      </c>
      <c r="B464" s="36" t="s">
        <v>1412</v>
      </c>
      <c r="C464" s="36" t="s">
        <v>1413</v>
      </c>
      <c r="D464" s="36">
        <v>1.0</v>
      </c>
      <c r="E464" s="60" t="s">
        <v>1414</v>
      </c>
      <c r="F464" s="61">
        <v>750.0</v>
      </c>
      <c r="G464" s="62">
        <v>45596.0</v>
      </c>
      <c r="H464" s="61">
        <v>299.59</v>
      </c>
      <c r="I464" s="63">
        <f t="shared" si="73"/>
        <v>303</v>
      </c>
      <c r="J464" s="63">
        <f t="shared" si="75"/>
        <v>315.12</v>
      </c>
      <c r="K464" s="61">
        <v>360.0</v>
      </c>
      <c r="L464" s="64">
        <v>8.0</v>
      </c>
      <c r="M464" s="61" t="s">
        <v>24</v>
      </c>
      <c r="N464" s="61" t="s">
        <v>25</v>
      </c>
      <c r="O464" s="36" t="s">
        <v>867</v>
      </c>
      <c r="P464" s="73">
        <f t="shared" si="63"/>
        <v>74.88</v>
      </c>
      <c r="Q464" s="36"/>
      <c r="R464" s="36" t="s">
        <v>25</v>
      </c>
      <c r="S464" s="36" t="s">
        <v>1415</v>
      </c>
      <c r="T464" s="114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</row>
    <row r="465" ht="15.75" customHeight="1">
      <c r="A465" s="8" t="s">
        <v>20</v>
      </c>
      <c r="B465" s="36" t="s">
        <v>1070</v>
      </c>
      <c r="C465" s="36" t="s">
        <v>1416</v>
      </c>
      <c r="D465" s="36">
        <v>1.0</v>
      </c>
      <c r="E465" s="115" t="s">
        <v>1417</v>
      </c>
      <c r="F465" s="61">
        <v>280.0</v>
      </c>
      <c r="G465" s="62">
        <v>45600.0</v>
      </c>
      <c r="H465" s="61">
        <v>160.58</v>
      </c>
      <c r="I465" s="63">
        <f t="shared" si="73"/>
        <v>162</v>
      </c>
      <c r="J465" s="116">
        <v>162.0</v>
      </c>
      <c r="K465" s="61">
        <v>100.0</v>
      </c>
      <c r="L465" s="64">
        <v>2.0</v>
      </c>
      <c r="M465" s="61" t="s">
        <v>24</v>
      </c>
      <c r="N465" s="61" t="s">
        <v>25</v>
      </c>
      <c r="O465" s="36" t="s">
        <v>867</v>
      </c>
      <c r="P465" s="73">
        <f t="shared" si="63"/>
        <v>18</v>
      </c>
      <c r="Q465" s="36"/>
      <c r="R465" s="36" t="s">
        <v>25</v>
      </c>
      <c r="S465" s="117" t="s">
        <v>1418</v>
      </c>
      <c r="T465" s="114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</row>
    <row r="466" ht="15.75" customHeight="1">
      <c r="A466" s="8" t="s">
        <v>20</v>
      </c>
      <c r="B466" s="36" t="s">
        <v>1419</v>
      </c>
      <c r="C466" s="36" t="s">
        <v>1420</v>
      </c>
      <c r="D466" s="36">
        <v>1.0</v>
      </c>
      <c r="E466" s="60" t="s">
        <v>1421</v>
      </c>
      <c r="F466" s="61">
        <v>600.0</v>
      </c>
      <c r="G466" s="62">
        <v>45602.0</v>
      </c>
      <c r="H466" s="61">
        <v>194.14</v>
      </c>
      <c r="I466" s="63">
        <f t="shared" si="73"/>
        <v>196</v>
      </c>
      <c r="J466" s="63">
        <f t="shared" ref="J466:J478" si="76">I466+(I466*0.04)</f>
        <v>203.84</v>
      </c>
      <c r="K466" s="61">
        <v>180.0</v>
      </c>
      <c r="L466" s="64">
        <v>4.0</v>
      </c>
      <c r="M466" s="61" t="s">
        <v>24</v>
      </c>
      <c r="N466" s="61" t="s">
        <v>25</v>
      </c>
      <c r="O466" s="36" t="s">
        <v>1004</v>
      </c>
      <c r="P466" s="73">
        <f t="shared" si="63"/>
        <v>216.16</v>
      </c>
      <c r="Q466" s="36"/>
      <c r="R466" s="36" t="s">
        <v>25</v>
      </c>
      <c r="S466" s="36" t="s">
        <v>1422</v>
      </c>
      <c r="T466" s="114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</row>
    <row r="467" ht="15.75" customHeight="1">
      <c r="A467" s="8" t="s">
        <v>20</v>
      </c>
      <c r="B467" s="36" t="s">
        <v>841</v>
      </c>
      <c r="C467" s="36" t="s">
        <v>1423</v>
      </c>
      <c r="D467" s="36">
        <v>2.0</v>
      </c>
      <c r="E467" s="60" t="s">
        <v>1424</v>
      </c>
      <c r="F467" s="61">
        <v>460.0</v>
      </c>
      <c r="G467" s="62">
        <v>45603.0</v>
      </c>
      <c r="H467" s="61">
        <v>304.28</v>
      </c>
      <c r="I467" s="63">
        <f t="shared" si="73"/>
        <v>307</v>
      </c>
      <c r="J467" s="63">
        <f t="shared" si="76"/>
        <v>319.28</v>
      </c>
      <c r="K467" s="61">
        <v>22.5</v>
      </c>
      <c r="L467" s="64">
        <v>0.5</v>
      </c>
      <c r="M467" s="61" t="s">
        <v>24</v>
      </c>
      <c r="N467" s="61" t="s">
        <v>25</v>
      </c>
      <c r="O467" s="36" t="s">
        <v>1004</v>
      </c>
      <c r="P467" s="73">
        <f t="shared" si="63"/>
        <v>118.22</v>
      </c>
      <c r="Q467" s="36"/>
      <c r="R467" s="36" t="s">
        <v>25</v>
      </c>
      <c r="S467" s="117" t="s">
        <v>1425</v>
      </c>
      <c r="T467" s="114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</row>
    <row r="468" ht="15.75" customHeight="1">
      <c r="A468" s="8" t="s">
        <v>20</v>
      </c>
      <c r="B468" s="36" t="s">
        <v>841</v>
      </c>
      <c r="C468" s="36" t="s">
        <v>1426</v>
      </c>
      <c r="D468" s="36">
        <v>1.0</v>
      </c>
      <c r="E468" s="114"/>
      <c r="F468" s="61">
        <v>55.0</v>
      </c>
      <c r="G468" s="118"/>
      <c r="H468" s="113"/>
      <c r="I468" s="63">
        <f t="shared" si="73"/>
        <v>0</v>
      </c>
      <c r="J468" s="63">
        <f t="shared" si="76"/>
        <v>0</v>
      </c>
      <c r="K468" s="61">
        <v>45.0</v>
      </c>
      <c r="L468" s="64">
        <v>1.0</v>
      </c>
      <c r="M468" s="61" t="s">
        <v>24</v>
      </c>
      <c r="N468" s="61" t="s">
        <v>25</v>
      </c>
      <c r="O468" s="36" t="s">
        <v>1004</v>
      </c>
      <c r="P468" s="73">
        <f t="shared" si="63"/>
        <v>10</v>
      </c>
      <c r="Q468" s="36"/>
      <c r="R468" s="36" t="s">
        <v>25</v>
      </c>
      <c r="S468" s="36" t="s">
        <v>1427</v>
      </c>
      <c r="T468" s="114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</row>
    <row r="469" ht="15.75" customHeight="1">
      <c r="A469" s="8" t="s">
        <v>20</v>
      </c>
      <c r="B469" s="36" t="s">
        <v>1375</v>
      </c>
      <c r="C469" s="36" t="s">
        <v>1428</v>
      </c>
      <c r="D469" s="36">
        <v>1.0</v>
      </c>
      <c r="E469" s="60" t="s">
        <v>1429</v>
      </c>
      <c r="F469" s="61">
        <v>320.0</v>
      </c>
      <c r="G469" s="62">
        <v>45604.0</v>
      </c>
      <c r="H469" s="61">
        <v>219.64</v>
      </c>
      <c r="I469" s="63">
        <f t="shared" si="73"/>
        <v>222</v>
      </c>
      <c r="J469" s="63">
        <f t="shared" si="76"/>
        <v>230.88</v>
      </c>
      <c r="K469" s="61">
        <v>22.5</v>
      </c>
      <c r="L469" s="64">
        <v>0.5</v>
      </c>
      <c r="M469" s="61" t="s">
        <v>24</v>
      </c>
      <c r="N469" s="61" t="s">
        <v>25</v>
      </c>
      <c r="O469" s="36" t="s">
        <v>1004</v>
      </c>
      <c r="P469" s="73">
        <f t="shared" si="63"/>
        <v>66.62</v>
      </c>
      <c r="Q469" s="36"/>
      <c r="R469" s="36" t="s">
        <v>25</v>
      </c>
      <c r="S469" s="18" t="s">
        <v>1430</v>
      </c>
      <c r="T469" s="114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</row>
    <row r="470" ht="15.75" customHeight="1">
      <c r="A470" s="8" t="s">
        <v>20</v>
      </c>
      <c r="B470" s="36" t="s">
        <v>179</v>
      </c>
      <c r="C470" s="36" t="s">
        <v>1431</v>
      </c>
      <c r="D470" s="36">
        <v>4.0</v>
      </c>
      <c r="E470" s="60" t="s">
        <v>1432</v>
      </c>
      <c r="F470" s="61">
        <v>320.0</v>
      </c>
      <c r="G470" s="62">
        <v>45608.0</v>
      </c>
      <c r="H470" s="61">
        <v>177.96</v>
      </c>
      <c r="I470" s="63">
        <f t="shared" si="73"/>
        <v>180</v>
      </c>
      <c r="J470" s="63">
        <f t="shared" si="76"/>
        <v>187.2</v>
      </c>
      <c r="K470" s="61">
        <v>33.75</v>
      </c>
      <c r="L470" s="64">
        <v>0.25</v>
      </c>
      <c r="M470" s="61" t="s">
        <v>24</v>
      </c>
      <c r="N470" s="61" t="s">
        <v>25</v>
      </c>
      <c r="O470" s="36" t="s">
        <v>1004</v>
      </c>
      <c r="P470" s="73">
        <f t="shared" si="63"/>
        <v>99.05</v>
      </c>
      <c r="Q470" s="36"/>
      <c r="R470" s="36" t="s">
        <v>25</v>
      </c>
      <c r="S470" s="36" t="s">
        <v>1433</v>
      </c>
      <c r="T470" s="114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</row>
    <row r="471" ht="15.75" customHeight="1">
      <c r="A471" s="8" t="s">
        <v>20</v>
      </c>
      <c r="B471" s="36" t="s">
        <v>67</v>
      </c>
      <c r="C471" s="36" t="s">
        <v>1434</v>
      </c>
      <c r="D471" s="36">
        <v>2.0</v>
      </c>
      <c r="E471" s="60" t="s">
        <v>1435</v>
      </c>
      <c r="F471" s="61">
        <f>J471+K471</f>
        <v>358.32</v>
      </c>
      <c r="G471" s="62">
        <v>45615.0</v>
      </c>
      <c r="H471" s="61">
        <v>255.78</v>
      </c>
      <c r="I471" s="63">
        <f t="shared" si="73"/>
        <v>258</v>
      </c>
      <c r="J471" s="63">
        <f t="shared" si="76"/>
        <v>268.32</v>
      </c>
      <c r="K471" s="61">
        <v>90.0</v>
      </c>
      <c r="L471" s="64">
        <v>2.0</v>
      </c>
      <c r="M471" s="61" t="s">
        <v>24</v>
      </c>
      <c r="N471" s="61" t="s">
        <v>25</v>
      </c>
      <c r="O471" s="36" t="s">
        <v>867</v>
      </c>
      <c r="P471" s="73">
        <f t="shared" si="63"/>
        <v>0</v>
      </c>
      <c r="Q471" s="36"/>
      <c r="R471" s="36" t="s">
        <v>25</v>
      </c>
      <c r="S471" s="36" t="s">
        <v>1436</v>
      </c>
      <c r="T471" s="114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</row>
    <row r="472" ht="15.75" customHeight="1">
      <c r="A472" s="8" t="s">
        <v>20</v>
      </c>
      <c r="B472" s="36" t="s">
        <v>1437</v>
      </c>
      <c r="C472" s="36" t="s">
        <v>1438</v>
      </c>
      <c r="D472" s="36">
        <v>1.0</v>
      </c>
      <c r="E472" s="60" t="s">
        <v>1439</v>
      </c>
      <c r="F472" s="61">
        <v>290.0</v>
      </c>
      <c r="G472" s="62">
        <v>45616.0</v>
      </c>
      <c r="H472" s="61">
        <v>179.03</v>
      </c>
      <c r="I472" s="63">
        <f t="shared" si="73"/>
        <v>181</v>
      </c>
      <c r="J472" s="63">
        <f t="shared" si="76"/>
        <v>188.24</v>
      </c>
      <c r="K472" s="61">
        <v>33.75</v>
      </c>
      <c r="L472" s="64">
        <v>0.25</v>
      </c>
      <c r="M472" s="61" t="s">
        <v>24</v>
      </c>
      <c r="N472" s="61" t="s">
        <v>25</v>
      </c>
      <c r="O472" s="36" t="s">
        <v>867</v>
      </c>
      <c r="P472" s="73">
        <f t="shared" si="63"/>
        <v>68.01</v>
      </c>
      <c r="Q472" s="36"/>
      <c r="R472" s="36" t="s">
        <v>25</v>
      </c>
      <c r="S472" s="36" t="s">
        <v>1440</v>
      </c>
      <c r="T472" s="114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</row>
    <row r="473" ht="15.75" customHeight="1">
      <c r="A473" s="8" t="s">
        <v>20</v>
      </c>
      <c r="B473" s="36" t="s">
        <v>1419</v>
      </c>
      <c r="C473" s="36" t="s">
        <v>1441</v>
      </c>
      <c r="D473" s="36">
        <v>1.0</v>
      </c>
      <c r="E473" s="60" t="s">
        <v>1442</v>
      </c>
      <c r="F473" s="61">
        <v>150.0</v>
      </c>
      <c r="G473" s="62">
        <v>45616.0</v>
      </c>
      <c r="H473" s="61">
        <v>58.85</v>
      </c>
      <c r="I473" s="63">
        <f t="shared" si="73"/>
        <v>59</v>
      </c>
      <c r="J473" s="63">
        <f t="shared" si="76"/>
        <v>61.36</v>
      </c>
      <c r="K473" s="61">
        <v>33.75</v>
      </c>
      <c r="L473" s="64">
        <v>0.25</v>
      </c>
      <c r="M473" s="61" t="s">
        <v>24</v>
      </c>
      <c r="N473" s="61" t="s">
        <v>25</v>
      </c>
      <c r="O473" s="36" t="s">
        <v>1004</v>
      </c>
      <c r="P473" s="73">
        <f t="shared" si="63"/>
        <v>54.89</v>
      </c>
      <c r="Q473" s="36"/>
      <c r="R473" s="36" t="s">
        <v>25</v>
      </c>
      <c r="S473" s="36" t="s">
        <v>1443</v>
      </c>
      <c r="T473" s="114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</row>
    <row r="474" ht="15.75" customHeight="1">
      <c r="A474" s="8" t="s">
        <v>20</v>
      </c>
      <c r="B474" s="36" t="s">
        <v>67</v>
      </c>
      <c r="C474" s="36" t="s">
        <v>1444</v>
      </c>
      <c r="D474" s="36">
        <v>1.0</v>
      </c>
      <c r="E474" s="60" t="s">
        <v>1445</v>
      </c>
      <c r="F474" s="61">
        <v>725.0</v>
      </c>
      <c r="G474" s="62">
        <v>45617.0</v>
      </c>
      <c r="H474" s="61">
        <v>471.4</v>
      </c>
      <c r="I474" s="63">
        <f t="shared" si="73"/>
        <v>476</v>
      </c>
      <c r="J474" s="63">
        <f t="shared" si="76"/>
        <v>495.04</v>
      </c>
      <c r="K474" s="61">
        <v>110.0</v>
      </c>
      <c r="L474" s="64">
        <v>2.0</v>
      </c>
      <c r="M474" s="61" t="s">
        <v>24</v>
      </c>
      <c r="N474" s="61" t="s">
        <v>25</v>
      </c>
      <c r="O474" s="36" t="s">
        <v>867</v>
      </c>
      <c r="P474" s="73">
        <f t="shared" si="63"/>
        <v>119.96</v>
      </c>
      <c r="Q474" s="36"/>
      <c r="R474" s="36" t="s">
        <v>25</v>
      </c>
      <c r="S474" s="36" t="s">
        <v>1446</v>
      </c>
      <c r="T474" s="114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</row>
    <row r="475" ht="15.75" customHeight="1">
      <c r="A475" s="8" t="s">
        <v>20</v>
      </c>
      <c r="B475" s="36" t="s">
        <v>657</v>
      </c>
      <c r="C475" s="36" t="s">
        <v>1447</v>
      </c>
      <c r="D475" s="36">
        <v>1.0</v>
      </c>
      <c r="E475" s="60" t="s">
        <v>1448</v>
      </c>
      <c r="F475" s="61">
        <v>720.0</v>
      </c>
      <c r="G475" s="62">
        <v>45621.0</v>
      </c>
      <c r="H475" s="61">
        <v>462.0</v>
      </c>
      <c r="I475" s="63">
        <f t="shared" si="73"/>
        <v>467</v>
      </c>
      <c r="J475" s="63">
        <f t="shared" si="76"/>
        <v>485.68</v>
      </c>
      <c r="K475" s="61">
        <v>100.0</v>
      </c>
      <c r="L475" s="64">
        <v>2.0</v>
      </c>
      <c r="M475" s="61" t="s">
        <v>24</v>
      </c>
      <c r="N475" s="61" t="s">
        <v>25</v>
      </c>
      <c r="O475" s="36" t="s">
        <v>867</v>
      </c>
      <c r="P475" s="73">
        <f t="shared" si="63"/>
        <v>134.32</v>
      </c>
      <c r="Q475" s="36"/>
      <c r="R475" s="36" t="s">
        <v>25</v>
      </c>
      <c r="S475" s="36" t="s">
        <v>1449</v>
      </c>
      <c r="T475" s="114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</row>
    <row r="476" ht="15.75" customHeight="1">
      <c r="A476" s="8" t="s">
        <v>20</v>
      </c>
      <c r="B476" s="36" t="s">
        <v>1450</v>
      </c>
      <c r="C476" s="36" t="s">
        <v>1451</v>
      </c>
      <c r="D476" s="36">
        <v>1.0</v>
      </c>
      <c r="E476" s="60" t="s">
        <v>1452</v>
      </c>
      <c r="F476" s="61">
        <v>320.0</v>
      </c>
      <c r="G476" s="62">
        <v>45624.0</v>
      </c>
      <c r="H476" s="61">
        <v>213.9</v>
      </c>
      <c r="I476" s="63">
        <f t="shared" si="73"/>
        <v>216</v>
      </c>
      <c r="J476" s="63">
        <f t="shared" si="76"/>
        <v>224.64</v>
      </c>
      <c r="K476" s="61">
        <v>25.0</v>
      </c>
      <c r="L476" s="64">
        <v>0.5</v>
      </c>
      <c r="M476" s="61" t="s">
        <v>24</v>
      </c>
      <c r="N476" s="61" t="s">
        <v>25</v>
      </c>
      <c r="O476" s="36" t="s">
        <v>1004</v>
      </c>
      <c r="P476" s="73">
        <f t="shared" si="63"/>
        <v>70.36</v>
      </c>
      <c r="Q476" s="36"/>
      <c r="R476" s="36" t="s">
        <v>25</v>
      </c>
      <c r="S476" s="36" t="s">
        <v>1453</v>
      </c>
      <c r="T476" s="114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</row>
    <row r="477" ht="15.75" customHeight="1">
      <c r="A477" s="8" t="s">
        <v>20</v>
      </c>
      <c r="B477" s="36" t="s">
        <v>1450</v>
      </c>
      <c r="C477" s="36" t="s">
        <v>1454</v>
      </c>
      <c r="D477" s="36">
        <v>1.0</v>
      </c>
      <c r="E477" s="60" t="s">
        <v>1455</v>
      </c>
      <c r="F477" s="61">
        <v>300.0</v>
      </c>
      <c r="G477" s="62">
        <v>45621.0</v>
      </c>
      <c r="H477" s="61">
        <v>205.51</v>
      </c>
      <c r="I477" s="63">
        <f t="shared" si="73"/>
        <v>208</v>
      </c>
      <c r="J477" s="63">
        <f t="shared" si="76"/>
        <v>216.32</v>
      </c>
      <c r="K477" s="61">
        <v>33.74</v>
      </c>
      <c r="L477" s="64">
        <v>0.25</v>
      </c>
      <c r="M477" s="61" t="s">
        <v>24</v>
      </c>
      <c r="N477" s="61" t="s">
        <v>25</v>
      </c>
      <c r="O477" s="36" t="s">
        <v>1004</v>
      </c>
      <c r="P477" s="73">
        <f t="shared" si="63"/>
        <v>49.94</v>
      </c>
      <c r="Q477" s="36"/>
      <c r="R477" s="36" t="s">
        <v>25</v>
      </c>
      <c r="S477" s="36" t="s">
        <v>1456</v>
      </c>
      <c r="T477" s="114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</row>
    <row r="478" ht="15.75" customHeight="1">
      <c r="A478" s="8" t="s">
        <v>20</v>
      </c>
      <c r="B478" s="36" t="s">
        <v>1457</v>
      </c>
      <c r="C478" s="36" t="s">
        <v>1458</v>
      </c>
      <c r="D478" s="36">
        <v>1.0</v>
      </c>
      <c r="E478" s="114"/>
      <c r="F478" s="61">
        <v>840.0</v>
      </c>
      <c r="G478" s="118"/>
      <c r="H478" s="113"/>
      <c r="I478" s="63">
        <f t="shared" si="73"/>
        <v>0</v>
      </c>
      <c r="J478" s="63">
        <f t="shared" si="76"/>
        <v>0</v>
      </c>
      <c r="K478" s="61">
        <v>630.0</v>
      </c>
      <c r="L478" s="64">
        <v>14.0</v>
      </c>
      <c r="M478" s="61" t="s">
        <v>24</v>
      </c>
      <c r="N478" s="61" t="s">
        <v>25</v>
      </c>
      <c r="O478" s="36" t="s">
        <v>1004</v>
      </c>
      <c r="P478" s="73">
        <f t="shared" si="63"/>
        <v>210</v>
      </c>
      <c r="Q478" s="36"/>
      <c r="R478" s="36" t="s">
        <v>25</v>
      </c>
      <c r="S478" s="36" t="s">
        <v>1459</v>
      </c>
      <c r="T478" s="114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</row>
    <row r="479" ht="15.75" customHeight="1">
      <c r="A479" s="8" t="s">
        <v>20</v>
      </c>
      <c r="B479" s="36" t="s">
        <v>1070</v>
      </c>
      <c r="C479" s="36" t="s">
        <v>1460</v>
      </c>
      <c r="D479" s="36">
        <v>2.0</v>
      </c>
      <c r="E479" s="60" t="s">
        <v>1461</v>
      </c>
      <c r="F479" s="61">
        <v>280.0</v>
      </c>
      <c r="G479" s="62">
        <v>45624.0</v>
      </c>
      <c r="H479" s="61">
        <v>53.14</v>
      </c>
      <c r="I479" s="63">
        <f t="shared" si="73"/>
        <v>54</v>
      </c>
      <c r="J479" s="116">
        <v>54.0</v>
      </c>
      <c r="K479" s="61">
        <v>135.0</v>
      </c>
      <c r="L479" s="64">
        <v>3.0</v>
      </c>
      <c r="M479" s="61" t="s">
        <v>24</v>
      </c>
      <c r="N479" s="61" t="s">
        <v>25</v>
      </c>
      <c r="O479" s="36" t="s">
        <v>867</v>
      </c>
      <c r="P479" s="73">
        <f t="shared" si="63"/>
        <v>91</v>
      </c>
      <c r="Q479" s="36"/>
      <c r="R479" s="36" t="s">
        <v>25</v>
      </c>
      <c r="S479" s="36" t="s">
        <v>1462</v>
      </c>
      <c r="T479" s="114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</row>
    <row r="480" ht="15.75" customHeight="1">
      <c r="A480" s="8" t="s">
        <v>20</v>
      </c>
      <c r="B480" s="36" t="s">
        <v>1070</v>
      </c>
      <c r="C480" s="36" t="s">
        <v>1463</v>
      </c>
      <c r="D480" s="36">
        <v>2.0</v>
      </c>
      <c r="E480" s="60" t="s">
        <v>1464</v>
      </c>
      <c r="F480" s="61">
        <v>115.0</v>
      </c>
      <c r="G480" s="62">
        <v>45624.0</v>
      </c>
      <c r="H480" s="61">
        <v>61.18</v>
      </c>
      <c r="I480" s="63">
        <f t="shared" si="73"/>
        <v>62</v>
      </c>
      <c r="J480" s="116">
        <v>62.0</v>
      </c>
      <c r="K480" s="61">
        <v>55.0</v>
      </c>
      <c r="L480" s="64">
        <v>1.0</v>
      </c>
      <c r="M480" s="61" t="s">
        <v>24</v>
      </c>
      <c r="N480" s="61" t="s">
        <v>25</v>
      </c>
      <c r="O480" s="36" t="s">
        <v>867</v>
      </c>
      <c r="P480" s="73">
        <f t="shared" si="63"/>
        <v>-2</v>
      </c>
      <c r="Q480" s="36"/>
      <c r="R480" s="36" t="s">
        <v>25</v>
      </c>
      <c r="S480" s="36" t="s">
        <v>1465</v>
      </c>
      <c r="T480" s="114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</row>
    <row r="481" ht="15.75" customHeight="1">
      <c r="A481" s="8" t="s">
        <v>20</v>
      </c>
      <c r="B481" s="117" t="s">
        <v>1070</v>
      </c>
      <c r="C481" s="117" t="s">
        <v>1466</v>
      </c>
      <c r="D481" s="117">
        <v>1.0</v>
      </c>
      <c r="E481" s="119" t="s">
        <v>1467</v>
      </c>
      <c r="F481" s="98">
        <v>20.0</v>
      </c>
      <c r="G481" s="99">
        <v>45624.0</v>
      </c>
      <c r="H481" s="98">
        <v>18.0</v>
      </c>
      <c r="I481" s="120">
        <f t="shared" si="73"/>
        <v>18</v>
      </c>
      <c r="J481" s="120">
        <f>ROUND(I481+I481*0.01,0)</f>
        <v>18</v>
      </c>
      <c r="K481" s="98">
        <v>0.0</v>
      </c>
      <c r="L481" s="121">
        <v>0.0</v>
      </c>
      <c r="M481" s="61" t="s">
        <v>24</v>
      </c>
      <c r="N481" s="61" t="s">
        <v>25</v>
      </c>
      <c r="O481" s="36" t="s">
        <v>867</v>
      </c>
      <c r="P481" s="73">
        <f t="shared" si="63"/>
        <v>2</v>
      </c>
      <c r="Q481" s="36"/>
      <c r="R481" s="36" t="s">
        <v>25</v>
      </c>
      <c r="S481" s="36" t="s">
        <v>1468</v>
      </c>
      <c r="T481" s="114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</row>
    <row r="482" ht="15.75" customHeight="1">
      <c r="A482" s="8" t="s">
        <v>20</v>
      </c>
      <c r="B482" s="36" t="s">
        <v>67</v>
      </c>
      <c r="C482" s="36" t="s">
        <v>1469</v>
      </c>
      <c r="D482" s="36">
        <v>1.0</v>
      </c>
      <c r="E482" s="60" t="s">
        <v>1470</v>
      </c>
      <c r="F482" s="61">
        <v>350.0</v>
      </c>
      <c r="G482" s="62">
        <v>45625.0</v>
      </c>
      <c r="H482" s="61">
        <v>171.2</v>
      </c>
      <c r="I482" s="63">
        <f t="shared" si="73"/>
        <v>173</v>
      </c>
      <c r="J482" s="63">
        <f t="shared" ref="J482:J511" si="77">I482+(I482*0.04)</f>
        <v>179.92</v>
      </c>
      <c r="K482" s="61">
        <v>110.0</v>
      </c>
      <c r="L482" s="64">
        <v>2.0</v>
      </c>
      <c r="M482" s="61" t="s">
        <v>24</v>
      </c>
      <c r="N482" s="61" t="s">
        <v>25</v>
      </c>
      <c r="O482" s="36" t="s">
        <v>867</v>
      </c>
      <c r="P482" s="73">
        <f t="shared" si="63"/>
        <v>60.08</v>
      </c>
      <c r="Q482" s="36"/>
      <c r="R482" s="36" t="s">
        <v>25</v>
      </c>
      <c r="S482" s="36" t="s">
        <v>1471</v>
      </c>
      <c r="T482" s="114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</row>
    <row r="483" ht="15.75" customHeight="1">
      <c r="A483" s="8" t="s">
        <v>20</v>
      </c>
      <c r="B483" s="36" t="s">
        <v>67</v>
      </c>
      <c r="C483" s="36" t="s">
        <v>1472</v>
      </c>
      <c r="D483" s="36">
        <v>1.0</v>
      </c>
      <c r="E483" s="60" t="s">
        <v>1473</v>
      </c>
      <c r="F483" s="61">
        <v>150.0</v>
      </c>
      <c r="G483" s="62">
        <v>45625.0</v>
      </c>
      <c r="H483" s="61">
        <v>34.42</v>
      </c>
      <c r="I483" s="63">
        <f t="shared" si="73"/>
        <v>35</v>
      </c>
      <c r="J483" s="63">
        <f t="shared" si="77"/>
        <v>36.4</v>
      </c>
      <c r="K483" s="61">
        <v>90.0</v>
      </c>
      <c r="L483" s="64">
        <v>2.0</v>
      </c>
      <c r="M483" s="61" t="s">
        <v>24</v>
      </c>
      <c r="N483" s="61" t="s">
        <v>25</v>
      </c>
      <c r="O483" s="36" t="s">
        <v>867</v>
      </c>
      <c r="P483" s="73">
        <f t="shared" si="63"/>
        <v>23.6</v>
      </c>
      <c r="Q483" s="36"/>
      <c r="R483" s="36" t="s">
        <v>25</v>
      </c>
      <c r="S483" s="36" t="s">
        <v>1474</v>
      </c>
      <c r="T483" s="114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</row>
    <row r="484" ht="15.75" customHeight="1">
      <c r="A484" s="8" t="s">
        <v>20</v>
      </c>
      <c r="B484" s="36" t="s">
        <v>657</v>
      </c>
      <c r="C484" s="36" t="s">
        <v>1475</v>
      </c>
      <c r="D484" s="36">
        <v>1.0</v>
      </c>
      <c r="E484" s="60" t="s">
        <v>1476</v>
      </c>
      <c r="F484" s="61">
        <f t="shared" ref="F484:F487" si="78">J484+60*L484</f>
        <v>135.04</v>
      </c>
      <c r="G484" s="62">
        <v>45628.0</v>
      </c>
      <c r="H484" s="61">
        <v>99.58</v>
      </c>
      <c r="I484" s="63">
        <f t="shared" si="73"/>
        <v>101</v>
      </c>
      <c r="J484" s="63">
        <f t="shared" si="77"/>
        <v>105.04</v>
      </c>
      <c r="K484" s="61">
        <v>25.0</v>
      </c>
      <c r="L484" s="64">
        <v>0.5</v>
      </c>
      <c r="M484" s="61" t="s">
        <v>24</v>
      </c>
      <c r="N484" s="61" t="s">
        <v>25</v>
      </c>
      <c r="O484" s="36" t="s">
        <v>867</v>
      </c>
      <c r="P484" s="73">
        <f t="shared" si="63"/>
        <v>5</v>
      </c>
      <c r="Q484" s="36"/>
      <c r="R484" s="36" t="s">
        <v>25</v>
      </c>
      <c r="S484" s="36" t="s">
        <v>1477</v>
      </c>
      <c r="T484" s="114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</row>
    <row r="485" ht="15.75" customHeight="1">
      <c r="A485" s="8" t="s">
        <v>20</v>
      </c>
      <c r="B485" s="36" t="s">
        <v>657</v>
      </c>
      <c r="C485" s="36" t="s">
        <v>1478</v>
      </c>
      <c r="D485" s="36">
        <v>1.0</v>
      </c>
      <c r="E485" s="60" t="s">
        <v>1479</v>
      </c>
      <c r="F485" s="61">
        <f t="shared" si="78"/>
        <v>69.52</v>
      </c>
      <c r="G485" s="62">
        <v>45628.0</v>
      </c>
      <c r="H485" s="61">
        <v>37.45</v>
      </c>
      <c r="I485" s="63">
        <f t="shared" si="73"/>
        <v>38</v>
      </c>
      <c r="J485" s="63">
        <f t="shared" si="77"/>
        <v>39.52</v>
      </c>
      <c r="K485" s="61">
        <v>27.5</v>
      </c>
      <c r="L485" s="64">
        <v>0.5</v>
      </c>
      <c r="M485" s="61" t="s">
        <v>24</v>
      </c>
      <c r="N485" s="61" t="s">
        <v>25</v>
      </c>
      <c r="O485" s="36" t="s">
        <v>867</v>
      </c>
      <c r="P485" s="73">
        <f t="shared" si="63"/>
        <v>2.5</v>
      </c>
      <c r="Q485" s="36"/>
      <c r="R485" s="36" t="s">
        <v>25</v>
      </c>
      <c r="S485" s="122" t="s">
        <v>1480</v>
      </c>
      <c r="T485" s="114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</row>
    <row r="486" ht="15.75" customHeight="1">
      <c r="A486" s="8" t="s">
        <v>20</v>
      </c>
      <c r="B486" s="36" t="s">
        <v>657</v>
      </c>
      <c r="C486" s="36" t="s">
        <v>1481</v>
      </c>
      <c r="D486" s="36">
        <v>1.0</v>
      </c>
      <c r="E486" s="60" t="s">
        <v>1482</v>
      </c>
      <c r="F486" s="61">
        <f t="shared" si="78"/>
        <v>54.96</v>
      </c>
      <c r="G486" s="62">
        <v>45628.0</v>
      </c>
      <c r="H486" s="61">
        <v>23.93</v>
      </c>
      <c r="I486" s="63">
        <f t="shared" si="73"/>
        <v>24</v>
      </c>
      <c r="J486" s="63">
        <f t="shared" si="77"/>
        <v>24.96</v>
      </c>
      <c r="K486" s="61">
        <v>27.5</v>
      </c>
      <c r="L486" s="64">
        <v>0.5</v>
      </c>
      <c r="M486" s="61" t="s">
        <v>24</v>
      </c>
      <c r="N486" s="61" t="s">
        <v>25</v>
      </c>
      <c r="O486" s="36" t="s">
        <v>867</v>
      </c>
      <c r="P486" s="73">
        <f t="shared" si="63"/>
        <v>2.5</v>
      </c>
      <c r="Q486" s="36"/>
      <c r="R486" s="36" t="s">
        <v>25</v>
      </c>
      <c r="S486" s="36" t="s">
        <v>1483</v>
      </c>
      <c r="T486" s="114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</row>
    <row r="487" ht="15.75" customHeight="1">
      <c r="A487" s="8" t="s">
        <v>20</v>
      </c>
      <c r="B487" s="36" t="s">
        <v>657</v>
      </c>
      <c r="C487" s="36" t="s">
        <v>1484</v>
      </c>
      <c r="D487" s="36">
        <v>2.0</v>
      </c>
      <c r="E487" s="60" t="s">
        <v>1485</v>
      </c>
      <c r="F487" s="61">
        <f t="shared" si="78"/>
        <v>115.28</v>
      </c>
      <c r="G487" s="62">
        <v>45628.0</v>
      </c>
      <c r="H487" s="61">
        <v>81.33</v>
      </c>
      <c r="I487" s="63">
        <f t="shared" si="73"/>
        <v>82</v>
      </c>
      <c r="J487" s="63">
        <f t="shared" si="77"/>
        <v>85.28</v>
      </c>
      <c r="K487" s="61">
        <v>27.5</v>
      </c>
      <c r="L487" s="64">
        <v>0.5</v>
      </c>
      <c r="M487" s="61" t="s">
        <v>24</v>
      </c>
      <c r="N487" s="61" t="s">
        <v>25</v>
      </c>
      <c r="O487" s="36" t="s">
        <v>867</v>
      </c>
      <c r="P487" s="73">
        <f t="shared" si="63"/>
        <v>2.5</v>
      </c>
      <c r="Q487" s="36"/>
      <c r="R487" s="36" t="s">
        <v>25</v>
      </c>
      <c r="S487" s="36" t="s">
        <v>1486</v>
      </c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</row>
    <row r="488" ht="15.75" customHeight="1">
      <c r="A488" s="8" t="s">
        <v>20</v>
      </c>
      <c r="B488" s="36" t="s">
        <v>1457</v>
      </c>
      <c r="C488" s="36" t="s">
        <v>1487</v>
      </c>
      <c r="D488" s="36">
        <v>1.0</v>
      </c>
      <c r="E488" s="114"/>
      <c r="F488" s="61">
        <v>360.0</v>
      </c>
      <c r="G488" s="118"/>
      <c r="H488" s="113"/>
      <c r="I488" s="63">
        <f t="shared" si="73"/>
        <v>0</v>
      </c>
      <c r="J488" s="63">
        <f t="shared" si="77"/>
        <v>0</v>
      </c>
      <c r="K488" s="61">
        <v>330.0</v>
      </c>
      <c r="L488" s="64">
        <v>6.0</v>
      </c>
      <c r="M488" s="61" t="s">
        <v>24</v>
      </c>
      <c r="N488" s="61" t="s">
        <v>25</v>
      </c>
      <c r="O488" s="36" t="s">
        <v>867</v>
      </c>
      <c r="P488" s="73">
        <f t="shared" si="63"/>
        <v>30</v>
      </c>
      <c r="Q488" s="36"/>
      <c r="R488" s="36" t="s">
        <v>25</v>
      </c>
      <c r="S488" s="36" t="s">
        <v>1488</v>
      </c>
      <c r="T488" s="114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</row>
    <row r="489" ht="15.75" customHeight="1">
      <c r="A489" s="8" t="s">
        <v>20</v>
      </c>
      <c r="B489" s="36" t="s">
        <v>1450</v>
      </c>
      <c r="C489" s="36" t="s">
        <v>1489</v>
      </c>
      <c r="D489" s="36">
        <v>1.0</v>
      </c>
      <c r="E489" s="60" t="s">
        <v>1490</v>
      </c>
      <c r="F489" s="61">
        <v>30.0</v>
      </c>
      <c r="G489" s="62">
        <v>45643.0</v>
      </c>
      <c r="H489" s="61">
        <v>16.04</v>
      </c>
      <c r="I489" s="63">
        <f t="shared" si="73"/>
        <v>16</v>
      </c>
      <c r="J489" s="63">
        <f t="shared" si="77"/>
        <v>16.64</v>
      </c>
      <c r="K489" s="61">
        <v>0.0</v>
      </c>
      <c r="L489" s="64">
        <v>0.0</v>
      </c>
      <c r="M489" s="61" t="s">
        <v>24</v>
      </c>
      <c r="N489" s="61" t="s">
        <v>25</v>
      </c>
      <c r="O489" s="36" t="s">
        <v>1004</v>
      </c>
      <c r="P489" s="73">
        <f t="shared" si="63"/>
        <v>13.36</v>
      </c>
      <c r="Q489" s="36"/>
      <c r="R489" s="36" t="s">
        <v>25</v>
      </c>
      <c r="S489" s="36" t="s">
        <v>1491</v>
      </c>
      <c r="T489" s="114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</row>
    <row r="490" ht="15.75" customHeight="1">
      <c r="A490" s="8" t="s">
        <v>20</v>
      </c>
      <c r="B490" s="36" t="s">
        <v>1419</v>
      </c>
      <c r="C490" s="36" t="s">
        <v>1194</v>
      </c>
      <c r="D490" s="36">
        <v>1.0</v>
      </c>
      <c r="E490" s="60" t="s">
        <v>1492</v>
      </c>
      <c r="F490" s="61">
        <v>530.0</v>
      </c>
      <c r="G490" s="62">
        <v>45643.0</v>
      </c>
      <c r="H490" s="61">
        <v>263.21</v>
      </c>
      <c r="I490" s="63">
        <f t="shared" si="73"/>
        <v>266</v>
      </c>
      <c r="J490" s="63">
        <f t="shared" si="77"/>
        <v>276.64</v>
      </c>
      <c r="K490" s="61">
        <v>140.0</v>
      </c>
      <c r="L490" s="64">
        <v>2.0</v>
      </c>
      <c r="M490" s="61" t="s">
        <v>24</v>
      </c>
      <c r="N490" s="61" t="s">
        <v>25</v>
      </c>
      <c r="O490" s="36" t="s">
        <v>1004</v>
      </c>
      <c r="P490" s="73">
        <f t="shared" si="63"/>
        <v>113.36</v>
      </c>
      <c r="Q490" s="36"/>
      <c r="R490" s="36" t="s">
        <v>25</v>
      </c>
      <c r="S490" s="60" t="s">
        <v>1493</v>
      </c>
      <c r="T490" s="114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</row>
    <row r="491" ht="15.75" customHeight="1">
      <c r="A491" s="8" t="s">
        <v>20</v>
      </c>
      <c r="B491" s="36" t="s">
        <v>37</v>
      </c>
      <c r="C491" s="36" t="s">
        <v>1494</v>
      </c>
      <c r="D491" s="36">
        <v>1.0</v>
      </c>
      <c r="E491" s="60" t="s">
        <v>1495</v>
      </c>
      <c r="F491" s="61">
        <v>0.0</v>
      </c>
      <c r="G491" s="62">
        <v>45643.0</v>
      </c>
      <c r="H491" s="113"/>
      <c r="I491" s="63">
        <f t="shared" si="73"/>
        <v>0</v>
      </c>
      <c r="J491" s="63">
        <f t="shared" si="77"/>
        <v>0</v>
      </c>
      <c r="K491" s="61">
        <v>0.0</v>
      </c>
      <c r="L491" s="64">
        <v>0.0</v>
      </c>
      <c r="M491" s="61" t="s">
        <v>24</v>
      </c>
      <c r="N491" s="61" t="s">
        <v>25</v>
      </c>
      <c r="O491" s="36" t="s">
        <v>867</v>
      </c>
      <c r="P491" s="73">
        <f t="shared" si="63"/>
        <v>0</v>
      </c>
      <c r="Q491" s="36"/>
      <c r="R491" s="36" t="s">
        <v>25</v>
      </c>
      <c r="S491" s="36" t="s">
        <v>1496</v>
      </c>
      <c r="T491" s="114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</row>
    <row r="492" ht="15.75" customHeight="1">
      <c r="A492" s="8" t="s">
        <v>20</v>
      </c>
      <c r="B492" s="36" t="s">
        <v>67</v>
      </c>
      <c r="C492" s="36" t="s">
        <v>1497</v>
      </c>
      <c r="D492" s="36">
        <v>2.0</v>
      </c>
      <c r="E492" s="60" t="s">
        <v>1498</v>
      </c>
      <c r="F492" s="61">
        <v>50.0</v>
      </c>
      <c r="G492" s="62">
        <v>45644.0</v>
      </c>
      <c r="H492" s="61">
        <v>43.85</v>
      </c>
      <c r="I492" s="63">
        <f t="shared" si="73"/>
        <v>44</v>
      </c>
      <c r="J492" s="63">
        <f t="shared" si="77"/>
        <v>45.76</v>
      </c>
      <c r="K492" s="61">
        <v>0.0</v>
      </c>
      <c r="L492" s="64">
        <v>0.0</v>
      </c>
      <c r="M492" s="61" t="s">
        <v>24</v>
      </c>
      <c r="N492" s="61" t="s">
        <v>25</v>
      </c>
      <c r="O492" s="36" t="s">
        <v>867</v>
      </c>
      <c r="P492" s="73">
        <f t="shared" si="63"/>
        <v>4.24</v>
      </c>
      <c r="Q492" s="36"/>
      <c r="R492" s="36" t="s">
        <v>25</v>
      </c>
      <c r="S492" s="36" t="s">
        <v>1499</v>
      </c>
      <c r="T492" s="114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</row>
    <row r="493" ht="15.75" customHeight="1">
      <c r="A493" s="8" t="s">
        <v>20</v>
      </c>
      <c r="B493" s="36" t="s">
        <v>37</v>
      </c>
      <c r="C493" s="36" t="s">
        <v>1500</v>
      </c>
      <c r="D493" s="36">
        <v>1.0</v>
      </c>
      <c r="E493" s="60" t="s">
        <v>1501</v>
      </c>
      <c r="F493" s="61">
        <v>0.0</v>
      </c>
      <c r="G493" s="62">
        <v>45644.0</v>
      </c>
      <c r="H493" s="61">
        <v>0.0</v>
      </c>
      <c r="I493" s="63">
        <f t="shared" si="73"/>
        <v>0</v>
      </c>
      <c r="J493" s="63">
        <f t="shared" si="77"/>
        <v>0</v>
      </c>
      <c r="K493" s="61">
        <v>165.0</v>
      </c>
      <c r="L493" s="64">
        <v>3.0</v>
      </c>
      <c r="M493" s="61" t="s">
        <v>24</v>
      </c>
      <c r="N493" s="61" t="s">
        <v>25</v>
      </c>
      <c r="O493" s="36" t="s">
        <v>867</v>
      </c>
      <c r="P493" s="73">
        <f t="shared" si="63"/>
        <v>-165</v>
      </c>
      <c r="Q493" s="36"/>
      <c r="R493" s="36" t="s">
        <v>25</v>
      </c>
      <c r="S493" s="36" t="s">
        <v>1502</v>
      </c>
      <c r="T493" s="114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</row>
    <row r="494" ht="15.75" customHeight="1">
      <c r="A494" s="8" t="s">
        <v>20</v>
      </c>
      <c r="B494" s="36" t="s">
        <v>1070</v>
      </c>
      <c r="C494" s="36" t="s">
        <v>1503</v>
      </c>
      <c r="D494" s="36">
        <v>1.0</v>
      </c>
      <c r="E494" s="60" t="s">
        <v>1504</v>
      </c>
      <c r="F494" s="61">
        <v>65.0</v>
      </c>
      <c r="G494" s="62">
        <v>45656.0</v>
      </c>
      <c r="H494" s="61">
        <v>25.99</v>
      </c>
      <c r="I494" s="63">
        <f t="shared" si="73"/>
        <v>26</v>
      </c>
      <c r="J494" s="63">
        <f t="shared" si="77"/>
        <v>27.04</v>
      </c>
      <c r="K494" s="61">
        <v>0.0</v>
      </c>
      <c r="L494" s="64">
        <v>0.0</v>
      </c>
      <c r="M494" s="61" t="s">
        <v>24</v>
      </c>
      <c r="N494" s="61" t="s">
        <v>25</v>
      </c>
      <c r="O494" s="36" t="s">
        <v>867</v>
      </c>
      <c r="P494" s="73">
        <f t="shared" si="63"/>
        <v>37.96</v>
      </c>
      <c r="Q494" s="36"/>
      <c r="R494" s="36" t="s">
        <v>25</v>
      </c>
      <c r="S494" s="36" t="s">
        <v>1505</v>
      </c>
      <c r="T494" s="114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</row>
    <row r="495" ht="15.75" customHeight="1">
      <c r="A495" s="8" t="s">
        <v>20</v>
      </c>
      <c r="B495" s="36" t="s">
        <v>1070</v>
      </c>
      <c r="C495" s="36" t="s">
        <v>1506</v>
      </c>
      <c r="D495" s="36">
        <v>1.0</v>
      </c>
      <c r="E495" s="60" t="s">
        <v>1507</v>
      </c>
      <c r="F495" s="61">
        <v>215.0</v>
      </c>
      <c r="G495" s="62">
        <v>45659.0</v>
      </c>
      <c r="H495" s="61">
        <v>80.78</v>
      </c>
      <c r="I495" s="63">
        <f t="shared" si="73"/>
        <v>82</v>
      </c>
      <c r="J495" s="63">
        <f t="shared" si="77"/>
        <v>85.28</v>
      </c>
      <c r="K495" s="64">
        <v>55.0</v>
      </c>
      <c r="L495" s="64">
        <v>1.0</v>
      </c>
      <c r="M495" s="61" t="s">
        <v>24</v>
      </c>
      <c r="N495" s="61" t="s">
        <v>25</v>
      </c>
      <c r="O495" s="36" t="s">
        <v>867</v>
      </c>
      <c r="P495" s="73">
        <f t="shared" si="63"/>
        <v>74.72</v>
      </c>
      <c r="Q495" s="36"/>
      <c r="R495" s="36" t="s">
        <v>25</v>
      </c>
      <c r="S495" s="36" t="s">
        <v>1508</v>
      </c>
      <c r="T495" s="114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</row>
    <row r="496" ht="15.75" customHeight="1">
      <c r="A496" s="8" t="s">
        <v>20</v>
      </c>
      <c r="B496" s="36" t="s">
        <v>1070</v>
      </c>
      <c r="C496" s="36" t="s">
        <v>1509</v>
      </c>
      <c r="D496" s="36">
        <v>1.0</v>
      </c>
      <c r="E496" s="60" t="s">
        <v>1510</v>
      </c>
      <c r="F496" s="61">
        <v>330.0</v>
      </c>
      <c r="G496" s="62">
        <v>45663.0</v>
      </c>
      <c r="H496" s="61">
        <v>159.0</v>
      </c>
      <c r="I496" s="63">
        <f t="shared" si="73"/>
        <v>161</v>
      </c>
      <c r="J496" s="63">
        <f t="shared" si="77"/>
        <v>167.44</v>
      </c>
      <c r="K496" s="61">
        <v>110.0</v>
      </c>
      <c r="L496" s="64">
        <v>2.0</v>
      </c>
      <c r="M496" s="61" t="s">
        <v>24</v>
      </c>
      <c r="N496" s="61" t="s">
        <v>25</v>
      </c>
      <c r="O496" s="36" t="s">
        <v>867</v>
      </c>
      <c r="P496" s="73">
        <f t="shared" si="63"/>
        <v>52.56</v>
      </c>
      <c r="Q496" s="36"/>
      <c r="R496" s="36" t="s">
        <v>25</v>
      </c>
      <c r="S496" s="36" t="s">
        <v>1511</v>
      </c>
      <c r="T496" s="114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</row>
    <row r="497" ht="15.75" customHeight="1">
      <c r="A497" s="8" t="s">
        <v>20</v>
      </c>
      <c r="B497" s="36" t="s">
        <v>1070</v>
      </c>
      <c r="C497" s="36" t="s">
        <v>1512</v>
      </c>
      <c r="D497" s="36">
        <v>6.0</v>
      </c>
      <c r="E497" s="60" t="s">
        <v>1510</v>
      </c>
      <c r="F497" s="61">
        <v>0.0</v>
      </c>
      <c r="G497" s="62">
        <v>45663.0</v>
      </c>
      <c r="H497" s="61">
        <v>51.96</v>
      </c>
      <c r="I497" s="63">
        <f t="shared" si="73"/>
        <v>52</v>
      </c>
      <c r="J497" s="63">
        <f t="shared" si="77"/>
        <v>54.08</v>
      </c>
      <c r="K497" s="113"/>
      <c r="L497" s="123"/>
      <c r="M497" s="61" t="s">
        <v>24</v>
      </c>
      <c r="N497" s="61" t="s">
        <v>25</v>
      </c>
      <c r="O497" s="36" t="s">
        <v>867</v>
      </c>
      <c r="P497" s="73">
        <f t="shared" si="63"/>
        <v>-54.08</v>
      </c>
      <c r="Q497" s="36"/>
      <c r="R497" s="36" t="s">
        <v>25</v>
      </c>
      <c r="S497" s="36" t="s">
        <v>1513</v>
      </c>
      <c r="T497" s="114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</row>
    <row r="498" ht="15.75" customHeight="1">
      <c r="A498" s="8" t="s">
        <v>20</v>
      </c>
      <c r="B498" s="36" t="s">
        <v>1070</v>
      </c>
      <c r="C498" s="36" t="s">
        <v>1514</v>
      </c>
      <c r="D498" s="36">
        <v>1.0</v>
      </c>
      <c r="E498" s="60" t="s">
        <v>1515</v>
      </c>
      <c r="F498" s="61">
        <v>125.0</v>
      </c>
      <c r="G498" s="62">
        <v>45663.0</v>
      </c>
      <c r="H498" s="61">
        <v>74.95</v>
      </c>
      <c r="I498" s="63">
        <f t="shared" si="73"/>
        <v>76</v>
      </c>
      <c r="J498" s="63">
        <f t="shared" si="77"/>
        <v>79.04</v>
      </c>
      <c r="K498" s="61">
        <v>25.0</v>
      </c>
      <c r="L498" s="64">
        <v>0.5</v>
      </c>
      <c r="M498" s="61" t="s">
        <v>24</v>
      </c>
      <c r="N498" s="61" t="s">
        <v>25</v>
      </c>
      <c r="O498" s="36" t="s">
        <v>867</v>
      </c>
      <c r="P498" s="73">
        <f t="shared" si="63"/>
        <v>20.96</v>
      </c>
      <c r="Q498" s="36"/>
      <c r="R498" s="36" t="s">
        <v>25</v>
      </c>
      <c r="S498" s="36" t="s">
        <v>1516</v>
      </c>
      <c r="T498" s="114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</row>
    <row r="499" ht="15.75" customHeight="1">
      <c r="A499" s="8" t="s">
        <v>20</v>
      </c>
      <c r="B499" s="36" t="s">
        <v>1070</v>
      </c>
      <c r="C499" s="36" t="s">
        <v>1517</v>
      </c>
      <c r="D499" s="36">
        <v>2.0</v>
      </c>
      <c r="E499" s="60" t="s">
        <v>1518</v>
      </c>
      <c r="F499" s="61">
        <v>480.0</v>
      </c>
      <c r="G499" s="62">
        <v>45663.0</v>
      </c>
      <c r="H499" s="61">
        <v>278.64</v>
      </c>
      <c r="I499" s="63">
        <f t="shared" si="73"/>
        <v>281</v>
      </c>
      <c r="J499" s="63">
        <f t="shared" si="77"/>
        <v>292.24</v>
      </c>
      <c r="K499" s="61">
        <v>110.0</v>
      </c>
      <c r="L499" s="64">
        <v>2.0</v>
      </c>
      <c r="M499" s="61" t="s">
        <v>24</v>
      </c>
      <c r="N499" s="61" t="s">
        <v>25</v>
      </c>
      <c r="O499" s="36" t="s">
        <v>867</v>
      </c>
      <c r="P499" s="73">
        <f t="shared" si="63"/>
        <v>77.76</v>
      </c>
      <c r="Q499" s="36"/>
      <c r="R499" s="36" t="s">
        <v>25</v>
      </c>
      <c r="S499" s="36" t="s">
        <v>1519</v>
      </c>
      <c r="T499" s="114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</row>
    <row r="500" ht="15.75" customHeight="1">
      <c r="A500" s="8" t="s">
        <v>20</v>
      </c>
      <c r="B500" s="36" t="s">
        <v>71</v>
      </c>
      <c r="C500" s="36" t="s">
        <v>1520</v>
      </c>
      <c r="D500" s="36">
        <v>1.0</v>
      </c>
      <c r="E500" s="60" t="s">
        <v>1521</v>
      </c>
      <c r="F500" s="61">
        <v>2800.0</v>
      </c>
      <c r="G500" s="62">
        <v>45671.0</v>
      </c>
      <c r="H500" s="61">
        <v>1267.85</v>
      </c>
      <c r="I500" s="63">
        <f t="shared" si="73"/>
        <v>1281</v>
      </c>
      <c r="J500" s="63">
        <f t="shared" si="77"/>
        <v>1332.24</v>
      </c>
      <c r="K500" s="61">
        <v>1120.0</v>
      </c>
      <c r="L500" s="64">
        <v>16.0</v>
      </c>
      <c r="M500" s="61" t="s">
        <v>24</v>
      </c>
      <c r="N500" s="61" t="s">
        <v>25</v>
      </c>
      <c r="O500" s="36" t="s">
        <v>1004</v>
      </c>
      <c r="P500" s="73">
        <f t="shared" si="63"/>
        <v>347.76</v>
      </c>
      <c r="Q500" s="36"/>
      <c r="R500" s="36" t="s">
        <v>25</v>
      </c>
      <c r="S500" s="36" t="s">
        <v>1522</v>
      </c>
      <c r="T500" s="114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</row>
    <row r="501" ht="15.75" customHeight="1">
      <c r="A501" s="8" t="s">
        <v>20</v>
      </c>
      <c r="B501" s="36" t="s">
        <v>179</v>
      </c>
      <c r="C501" s="36" t="s">
        <v>1523</v>
      </c>
      <c r="D501" s="36">
        <v>6.0</v>
      </c>
      <c r="E501" s="60" t="s">
        <v>1524</v>
      </c>
      <c r="F501" s="61">
        <v>300.0</v>
      </c>
      <c r="G501" s="62">
        <v>45671.0</v>
      </c>
      <c r="H501" s="61">
        <v>120.86</v>
      </c>
      <c r="I501" s="63">
        <f t="shared" si="73"/>
        <v>122</v>
      </c>
      <c r="J501" s="63">
        <f t="shared" si="77"/>
        <v>126.88</v>
      </c>
      <c r="K501" s="61">
        <v>140.0</v>
      </c>
      <c r="L501" s="64">
        <v>2.0</v>
      </c>
      <c r="M501" s="61" t="s">
        <v>24</v>
      </c>
      <c r="N501" s="61" t="s">
        <v>25</v>
      </c>
      <c r="O501" s="36" t="s">
        <v>1004</v>
      </c>
      <c r="P501" s="73">
        <f t="shared" si="63"/>
        <v>33.12</v>
      </c>
      <c r="Q501" s="36"/>
      <c r="R501" s="36" t="s">
        <v>25</v>
      </c>
      <c r="S501" s="36" t="s">
        <v>1525</v>
      </c>
      <c r="T501" s="114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</row>
    <row r="502" ht="15.75" customHeight="1">
      <c r="A502" s="8" t="s">
        <v>20</v>
      </c>
      <c r="B502" s="36" t="s">
        <v>67</v>
      </c>
      <c r="C502" s="36" t="s">
        <v>1526</v>
      </c>
      <c r="D502" s="36">
        <v>1.0</v>
      </c>
      <c r="E502" s="114"/>
      <c r="F502" s="61">
        <v>0.0</v>
      </c>
      <c r="G502" s="118"/>
      <c r="H502" s="61">
        <v>0.0</v>
      </c>
      <c r="I502" s="63">
        <f t="shared" si="73"/>
        <v>0</v>
      </c>
      <c r="J502" s="63">
        <f t="shared" si="77"/>
        <v>0</v>
      </c>
      <c r="K502" s="113"/>
      <c r="L502" s="64">
        <v>0.0</v>
      </c>
      <c r="M502" s="61" t="s">
        <v>24</v>
      </c>
      <c r="N502" s="61" t="s">
        <v>25</v>
      </c>
      <c r="O502" s="36" t="s">
        <v>867</v>
      </c>
      <c r="P502" s="73">
        <f t="shared" si="63"/>
        <v>0</v>
      </c>
      <c r="Q502" s="36"/>
      <c r="R502" s="36" t="s">
        <v>25</v>
      </c>
      <c r="S502" s="117" t="s">
        <v>1527</v>
      </c>
      <c r="T502" s="114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</row>
    <row r="503" ht="15.75" customHeight="1">
      <c r="A503" s="8" t="s">
        <v>20</v>
      </c>
      <c r="B503" s="36" t="s">
        <v>67</v>
      </c>
      <c r="C503" s="36" t="s">
        <v>1528</v>
      </c>
      <c r="D503" s="36">
        <v>1.0</v>
      </c>
      <c r="E503" s="60" t="s">
        <v>1529</v>
      </c>
      <c r="F503" s="61">
        <v>140.0</v>
      </c>
      <c r="G503" s="62">
        <v>45677.0</v>
      </c>
      <c r="H503" s="61">
        <v>59.9</v>
      </c>
      <c r="I503" s="63">
        <f t="shared" si="73"/>
        <v>60</v>
      </c>
      <c r="J503" s="63">
        <f t="shared" si="77"/>
        <v>62.4</v>
      </c>
      <c r="K503" s="61">
        <v>55.0</v>
      </c>
      <c r="L503" s="64">
        <v>1.0</v>
      </c>
      <c r="M503" s="61" t="s">
        <v>24</v>
      </c>
      <c r="N503" s="61" t="s">
        <v>25</v>
      </c>
      <c r="O503" s="36" t="s">
        <v>867</v>
      </c>
      <c r="P503" s="73">
        <f t="shared" si="63"/>
        <v>22.6</v>
      </c>
      <c r="Q503" s="36"/>
      <c r="R503" s="36" t="s">
        <v>25</v>
      </c>
      <c r="S503" s="36" t="s">
        <v>1530</v>
      </c>
      <c r="T503" s="114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</row>
    <row r="504" ht="15.75" customHeight="1">
      <c r="A504" s="8" t="s">
        <v>20</v>
      </c>
      <c r="B504" s="36" t="s">
        <v>905</v>
      </c>
      <c r="C504" s="36" t="s">
        <v>1531</v>
      </c>
      <c r="D504" s="36">
        <v>1.0</v>
      </c>
      <c r="E504" s="60" t="s">
        <v>1532</v>
      </c>
      <c r="F504" s="61">
        <v>400.0</v>
      </c>
      <c r="G504" s="62">
        <v>45679.0</v>
      </c>
      <c r="H504" s="61">
        <v>179.99</v>
      </c>
      <c r="I504" s="63">
        <f t="shared" si="73"/>
        <v>182</v>
      </c>
      <c r="J504" s="63">
        <f t="shared" si="77"/>
        <v>189.28</v>
      </c>
      <c r="K504" s="61">
        <v>55.0</v>
      </c>
      <c r="L504" s="64">
        <v>1.0</v>
      </c>
      <c r="M504" s="61" t="s">
        <v>24</v>
      </c>
      <c r="N504" s="61" t="s">
        <v>25</v>
      </c>
      <c r="O504" s="36" t="s">
        <v>1004</v>
      </c>
      <c r="P504" s="73">
        <f t="shared" si="63"/>
        <v>155.72</v>
      </c>
      <c r="Q504" s="36"/>
      <c r="R504" s="36" t="s">
        <v>25</v>
      </c>
      <c r="S504" s="36" t="s">
        <v>1533</v>
      </c>
      <c r="T504" s="114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</row>
    <row r="505" ht="15.75" customHeight="1">
      <c r="A505" s="8" t="s">
        <v>20</v>
      </c>
      <c r="B505" s="36" t="s">
        <v>67</v>
      </c>
      <c r="C505" s="36" t="s">
        <v>1534</v>
      </c>
      <c r="D505" s="36">
        <v>1.0</v>
      </c>
      <c r="E505" s="60" t="s">
        <v>1535</v>
      </c>
      <c r="F505" s="61">
        <v>805.0</v>
      </c>
      <c r="G505" s="62">
        <v>45680.0</v>
      </c>
      <c r="H505" s="61">
        <v>455.69</v>
      </c>
      <c r="I505" s="63">
        <f t="shared" si="73"/>
        <v>460</v>
      </c>
      <c r="J505" s="63">
        <f t="shared" si="77"/>
        <v>478.4</v>
      </c>
      <c r="K505" s="61">
        <v>220.0</v>
      </c>
      <c r="L505" s="64">
        <v>4.0</v>
      </c>
      <c r="M505" s="61" t="s">
        <v>24</v>
      </c>
      <c r="N505" s="61" t="s">
        <v>25</v>
      </c>
      <c r="O505" s="36" t="s">
        <v>867</v>
      </c>
      <c r="P505" s="73">
        <f t="shared" si="63"/>
        <v>106.6</v>
      </c>
      <c r="Q505" s="36"/>
      <c r="R505" s="36" t="s">
        <v>25</v>
      </c>
      <c r="S505" s="36" t="s">
        <v>1536</v>
      </c>
      <c r="T505" s="114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</row>
    <row r="506" ht="15.75" customHeight="1">
      <c r="A506" s="8" t="s">
        <v>20</v>
      </c>
      <c r="B506" s="36" t="s">
        <v>1537</v>
      </c>
      <c r="C506" s="36" t="s">
        <v>1538</v>
      </c>
      <c r="D506" s="36">
        <v>1.0</v>
      </c>
      <c r="E506" s="60" t="s">
        <v>1539</v>
      </c>
      <c r="F506" s="61">
        <v>1180.0</v>
      </c>
      <c r="G506" s="62">
        <v>45681.0</v>
      </c>
      <c r="H506" s="61">
        <v>405.53</v>
      </c>
      <c r="I506" s="63">
        <f t="shared" si="73"/>
        <v>410</v>
      </c>
      <c r="J506" s="63">
        <f t="shared" si="77"/>
        <v>426.4</v>
      </c>
      <c r="K506" s="61">
        <v>440.0</v>
      </c>
      <c r="L506" s="64">
        <v>8.0</v>
      </c>
      <c r="M506" s="61" t="s">
        <v>24</v>
      </c>
      <c r="N506" s="61" t="s">
        <v>25</v>
      </c>
      <c r="O506" s="36" t="s">
        <v>1004</v>
      </c>
      <c r="P506" s="73">
        <f t="shared" si="63"/>
        <v>313.6</v>
      </c>
      <c r="Q506" s="36"/>
      <c r="R506" s="36" t="s">
        <v>25</v>
      </c>
      <c r="S506" s="36" t="s">
        <v>1540</v>
      </c>
      <c r="T506" s="114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</row>
    <row r="507" ht="15.75" customHeight="1">
      <c r="A507" s="8" t="s">
        <v>20</v>
      </c>
      <c r="B507" s="36" t="s">
        <v>1541</v>
      </c>
      <c r="C507" s="36" t="s">
        <v>1542</v>
      </c>
      <c r="D507" s="36">
        <v>5.0</v>
      </c>
      <c r="E507" s="114"/>
      <c r="F507" s="61">
        <v>540.0</v>
      </c>
      <c r="G507" s="62">
        <v>45684.0</v>
      </c>
      <c r="H507" s="61">
        <v>219.98</v>
      </c>
      <c r="I507" s="63">
        <f t="shared" si="73"/>
        <v>222</v>
      </c>
      <c r="J507" s="63">
        <f t="shared" si="77"/>
        <v>230.88</v>
      </c>
      <c r="K507" s="61">
        <v>165.0</v>
      </c>
      <c r="L507" s="64">
        <v>3.0</v>
      </c>
      <c r="M507" s="61" t="s">
        <v>24</v>
      </c>
      <c r="N507" s="61" t="s">
        <v>25</v>
      </c>
      <c r="O507" s="36" t="s">
        <v>1004</v>
      </c>
      <c r="P507" s="73">
        <f t="shared" si="63"/>
        <v>144.12</v>
      </c>
      <c r="Q507" s="36"/>
      <c r="R507" s="36" t="s">
        <v>25</v>
      </c>
      <c r="S507" s="117" t="s">
        <v>1543</v>
      </c>
      <c r="T507" s="114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</row>
    <row r="508" ht="15.75" customHeight="1">
      <c r="A508" s="8" t="s">
        <v>20</v>
      </c>
      <c r="B508" s="36" t="s">
        <v>533</v>
      </c>
      <c r="C508" s="36" t="s">
        <v>1544</v>
      </c>
      <c r="D508" s="36">
        <v>4.0</v>
      </c>
      <c r="E508" s="60" t="s">
        <v>1545</v>
      </c>
      <c r="F508" s="61">
        <v>75.0</v>
      </c>
      <c r="G508" s="62">
        <v>45687.0</v>
      </c>
      <c r="H508" s="61">
        <v>35.4</v>
      </c>
      <c r="I508" s="63">
        <f t="shared" si="73"/>
        <v>36</v>
      </c>
      <c r="J508" s="63">
        <f t="shared" si="77"/>
        <v>37.44</v>
      </c>
      <c r="K508" s="61">
        <v>27.5</v>
      </c>
      <c r="L508" s="64">
        <v>0.5</v>
      </c>
      <c r="M508" s="61" t="s">
        <v>24</v>
      </c>
      <c r="N508" s="61" t="s">
        <v>25</v>
      </c>
      <c r="O508" s="36" t="s">
        <v>867</v>
      </c>
      <c r="P508" s="73">
        <f t="shared" si="63"/>
        <v>10.06</v>
      </c>
      <c r="Q508" s="36"/>
      <c r="R508" s="36" t="s">
        <v>25</v>
      </c>
      <c r="S508" s="117" t="s">
        <v>1546</v>
      </c>
      <c r="T508" s="114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</row>
    <row r="509" ht="15.75" customHeight="1">
      <c r="A509" s="8" t="s">
        <v>20</v>
      </c>
      <c r="B509" s="36" t="s">
        <v>533</v>
      </c>
      <c r="C509" s="36" t="s">
        <v>1547</v>
      </c>
      <c r="D509" s="36">
        <v>1.0</v>
      </c>
      <c r="E509" s="60" t="s">
        <v>1548</v>
      </c>
      <c r="F509" s="61">
        <v>50.0</v>
      </c>
      <c r="G509" s="62">
        <v>45687.0</v>
      </c>
      <c r="H509" s="61">
        <v>14.22</v>
      </c>
      <c r="I509" s="63">
        <f t="shared" si="73"/>
        <v>14</v>
      </c>
      <c r="J509" s="63">
        <f t="shared" si="77"/>
        <v>14.56</v>
      </c>
      <c r="K509" s="61">
        <v>27.5</v>
      </c>
      <c r="L509" s="64">
        <v>0.5</v>
      </c>
      <c r="M509" s="61" t="s">
        <v>24</v>
      </c>
      <c r="N509" s="61" t="s">
        <v>25</v>
      </c>
      <c r="O509" s="36" t="s">
        <v>867</v>
      </c>
      <c r="P509" s="73">
        <f t="shared" si="63"/>
        <v>7.94</v>
      </c>
      <c r="Q509" s="36"/>
      <c r="R509" s="36" t="s">
        <v>25</v>
      </c>
      <c r="S509" s="117" t="s">
        <v>1549</v>
      </c>
      <c r="T509" s="114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</row>
    <row r="510" ht="15.75" customHeight="1">
      <c r="A510" s="8" t="s">
        <v>20</v>
      </c>
      <c r="B510" s="36" t="s">
        <v>67</v>
      </c>
      <c r="C510" s="36" t="s">
        <v>1550</v>
      </c>
      <c r="D510" s="36">
        <v>1.0</v>
      </c>
      <c r="E510" s="60" t="s">
        <v>1551</v>
      </c>
      <c r="F510" s="61">
        <v>750.0</v>
      </c>
      <c r="G510" s="62">
        <v>45692.0</v>
      </c>
      <c r="H510" s="61">
        <v>568.97</v>
      </c>
      <c r="I510" s="63">
        <f t="shared" si="73"/>
        <v>575</v>
      </c>
      <c r="J510" s="63">
        <f t="shared" si="77"/>
        <v>598</v>
      </c>
      <c r="K510" s="61">
        <v>27.5</v>
      </c>
      <c r="L510" s="64">
        <v>0.5</v>
      </c>
      <c r="M510" s="61" t="s">
        <v>24</v>
      </c>
      <c r="N510" s="61" t="s">
        <v>25</v>
      </c>
      <c r="O510" s="36" t="s">
        <v>867</v>
      </c>
      <c r="P510" s="73">
        <f t="shared" si="63"/>
        <v>124.5</v>
      </c>
      <c r="Q510" s="36"/>
      <c r="R510" s="36" t="s">
        <v>25</v>
      </c>
      <c r="S510" s="36" t="s">
        <v>1552</v>
      </c>
      <c r="T510" s="114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</row>
    <row r="511" ht="15.75" customHeight="1">
      <c r="A511" s="8" t="s">
        <v>20</v>
      </c>
      <c r="B511" s="36" t="s">
        <v>67</v>
      </c>
      <c r="C511" s="36" t="s">
        <v>1553</v>
      </c>
      <c r="D511" s="36">
        <v>1.0</v>
      </c>
      <c r="E511" s="114"/>
      <c r="F511" s="61">
        <v>220.0</v>
      </c>
      <c r="G511" s="62">
        <v>45698.0</v>
      </c>
      <c r="H511" s="61">
        <v>0.0</v>
      </c>
      <c r="I511" s="63">
        <f t="shared" si="73"/>
        <v>0</v>
      </c>
      <c r="J511" s="63">
        <f t="shared" si="77"/>
        <v>0</v>
      </c>
      <c r="K511" s="61">
        <v>220.0</v>
      </c>
      <c r="L511" s="64">
        <v>4.0</v>
      </c>
      <c r="M511" s="61" t="s">
        <v>24</v>
      </c>
      <c r="N511" s="61" t="s">
        <v>25</v>
      </c>
      <c r="O511" s="36" t="s">
        <v>867</v>
      </c>
      <c r="P511" s="73">
        <f t="shared" si="63"/>
        <v>0</v>
      </c>
      <c r="Q511" s="36"/>
      <c r="R511" s="36" t="s">
        <v>25</v>
      </c>
      <c r="S511" s="36" t="s">
        <v>1554</v>
      </c>
      <c r="T511" s="114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</row>
    <row r="512" ht="15.75" customHeight="1">
      <c r="A512" s="8" t="s">
        <v>20</v>
      </c>
      <c r="B512" s="36" t="s">
        <v>1115</v>
      </c>
      <c r="C512" s="36" t="s">
        <v>1555</v>
      </c>
      <c r="D512" s="36">
        <v>1.0</v>
      </c>
      <c r="E512" s="60" t="s">
        <v>1556</v>
      </c>
      <c r="F512" s="61">
        <v>720.0</v>
      </c>
      <c r="G512" s="62">
        <v>45698.0</v>
      </c>
      <c r="H512" s="61">
        <v>464.0</v>
      </c>
      <c r="I512" s="61">
        <v>464.0</v>
      </c>
      <c r="J512" s="61">
        <v>464.0</v>
      </c>
      <c r="K512" s="61">
        <v>165.0</v>
      </c>
      <c r="L512" s="64">
        <v>3.0</v>
      </c>
      <c r="M512" s="61" t="s">
        <v>24</v>
      </c>
      <c r="N512" s="61" t="s">
        <v>25</v>
      </c>
      <c r="O512" s="36" t="s">
        <v>867</v>
      </c>
      <c r="P512" s="73">
        <f t="shared" si="63"/>
        <v>91</v>
      </c>
      <c r="Q512" s="36"/>
      <c r="R512" s="36" t="s">
        <v>25</v>
      </c>
      <c r="S512" s="36" t="s">
        <v>1557</v>
      </c>
      <c r="T512" s="114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</row>
    <row r="513" ht="15.75" customHeight="1">
      <c r="A513" s="8" t="s">
        <v>20</v>
      </c>
      <c r="B513" s="36" t="s">
        <v>1182</v>
      </c>
      <c r="C513" s="36" t="s">
        <v>1558</v>
      </c>
      <c r="D513" s="36">
        <v>1.0</v>
      </c>
      <c r="E513" s="60" t="s">
        <v>1559</v>
      </c>
      <c r="F513" s="61">
        <v>270.0</v>
      </c>
      <c r="G513" s="62">
        <v>45699.0</v>
      </c>
      <c r="H513" s="61">
        <v>169.92</v>
      </c>
      <c r="I513" s="61">
        <v>169.92</v>
      </c>
      <c r="J513" s="61">
        <v>169.92</v>
      </c>
      <c r="K513" s="61">
        <v>55.0</v>
      </c>
      <c r="L513" s="64">
        <v>1.0</v>
      </c>
      <c r="M513" s="61" t="s">
        <v>24</v>
      </c>
      <c r="N513" s="61" t="s">
        <v>25</v>
      </c>
      <c r="O513" s="36" t="s">
        <v>867</v>
      </c>
      <c r="P513" s="73">
        <f t="shared" si="63"/>
        <v>45.08</v>
      </c>
      <c r="Q513" s="36"/>
      <c r="R513" s="36" t="s">
        <v>25</v>
      </c>
      <c r="S513" s="36" t="s">
        <v>1560</v>
      </c>
      <c r="T513" s="114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</row>
    <row r="514" ht="15.75" customHeight="1">
      <c r="A514" s="8" t="s">
        <v>20</v>
      </c>
      <c r="B514" s="36" t="s">
        <v>179</v>
      </c>
      <c r="C514" s="36" t="s">
        <v>1561</v>
      </c>
      <c r="D514" s="36">
        <v>1.0</v>
      </c>
      <c r="E514" s="114"/>
      <c r="F514" s="61">
        <v>240.0</v>
      </c>
      <c r="G514" s="62">
        <v>45699.0</v>
      </c>
      <c r="H514" s="61">
        <v>145.0</v>
      </c>
      <c r="I514" s="63">
        <f t="shared" ref="I514:I521" si="79">ROUND(H514+H514*0.01,0)</f>
        <v>146</v>
      </c>
      <c r="J514" s="63">
        <f t="shared" ref="J514:J521" si="80">I514+(I514*0.04)</f>
        <v>151.84</v>
      </c>
      <c r="K514" s="61">
        <v>27.5</v>
      </c>
      <c r="L514" s="64">
        <v>0.5</v>
      </c>
      <c r="M514" s="61" t="s">
        <v>24</v>
      </c>
      <c r="N514" s="61" t="s">
        <v>25</v>
      </c>
      <c r="O514" s="36" t="s">
        <v>1004</v>
      </c>
      <c r="P514" s="73">
        <f t="shared" si="63"/>
        <v>60.66</v>
      </c>
      <c r="Q514" s="36"/>
      <c r="R514" s="36" t="s">
        <v>25</v>
      </c>
      <c r="S514" s="36" t="s">
        <v>1562</v>
      </c>
      <c r="T514" s="114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</row>
    <row r="515" ht="15.75" customHeight="1">
      <c r="A515" s="8" t="s">
        <v>20</v>
      </c>
      <c r="B515" s="36" t="s">
        <v>657</v>
      </c>
      <c r="C515" s="36" t="s">
        <v>1407</v>
      </c>
      <c r="D515" s="36">
        <v>1.0</v>
      </c>
      <c r="E515" s="60" t="s">
        <v>1563</v>
      </c>
      <c r="F515" s="61">
        <v>670.0</v>
      </c>
      <c r="G515" s="62">
        <v>45705.0</v>
      </c>
      <c r="H515" s="61">
        <v>374.5</v>
      </c>
      <c r="I515" s="63">
        <f t="shared" si="79"/>
        <v>378</v>
      </c>
      <c r="J515" s="63">
        <f t="shared" si="80"/>
        <v>393.12</v>
      </c>
      <c r="K515" s="61">
        <v>70.0</v>
      </c>
      <c r="L515" s="64">
        <v>1.0</v>
      </c>
      <c r="M515" s="61" t="s">
        <v>24</v>
      </c>
      <c r="N515" s="61" t="s">
        <v>25</v>
      </c>
      <c r="O515" s="36" t="s">
        <v>867</v>
      </c>
      <c r="P515" s="73">
        <f t="shared" si="63"/>
        <v>206.88</v>
      </c>
      <c r="Q515" s="36"/>
      <c r="R515" s="36" t="s">
        <v>25</v>
      </c>
      <c r="S515" s="36" t="s">
        <v>1564</v>
      </c>
      <c r="T515" s="114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</row>
    <row r="516" ht="15.75" customHeight="1">
      <c r="A516" s="8" t="s">
        <v>20</v>
      </c>
      <c r="B516" s="36" t="s">
        <v>864</v>
      </c>
      <c r="C516" s="36" t="s">
        <v>1565</v>
      </c>
      <c r="D516" s="36">
        <v>1.0</v>
      </c>
      <c r="E516" s="60" t="s">
        <v>1566</v>
      </c>
      <c r="F516" s="61">
        <v>65.0</v>
      </c>
      <c r="G516" s="81">
        <v>45706.0</v>
      </c>
      <c r="H516" s="61">
        <v>60.99</v>
      </c>
      <c r="I516" s="63">
        <f t="shared" si="79"/>
        <v>62</v>
      </c>
      <c r="J516" s="63">
        <f t="shared" si="80"/>
        <v>64.48</v>
      </c>
      <c r="K516" s="61">
        <v>0.0</v>
      </c>
      <c r="L516" s="64">
        <v>0.0</v>
      </c>
      <c r="M516" s="61" t="s">
        <v>24</v>
      </c>
      <c r="N516" s="61" t="s">
        <v>25</v>
      </c>
      <c r="O516" s="36" t="s">
        <v>867</v>
      </c>
      <c r="P516" s="73">
        <f t="shared" si="63"/>
        <v>0.52</v>
      </c>
      <c r="Q516" s="36"/>
      <c r="R516" s="36" t="s">
        <v>25</v>
      </c>
      <c r="S516" s="36" t="s">
        <v>1567</v>
      </c>
      <c r="T516" s="114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</row>
    <row r="517" ht="15.75" customHeight="1">
      <c r="A517" s="8" t="s">
        <v>20</v>
      </c>
      <c r="B517" s="36" t="s">
        <v>179</v>
      </c>
      <c r="C517" s="36" t="s">
        <v>1568</v>
      </c>
      <c r="D517" s="36">
        <v>1.0</v>
      </c>
      <c r="E517" s="114"/>
      <c r="F517" s="61">
        <v>1600.0</v>
      </c>
      <c r="G517" s="118"/>
      <c r="H517" s="61">
        <v>978.93</v>
      </c>
      <c r="I517" s="63">
        <f t="shared" si="79"/>
        <v>989</v>
      </c>
      <c r="J517" s="63">
        <f t="shared" si="80"/>
        <v>1028.56</v>
      </c>
      <c r="K517" s="61">
        <v>275.0</v>
      </c>
      <c r="L517" s="64">
        <v>5.0</v>
      </c>
      <c r="M517" s="61" t="s">
        <v>24</v>
      </c>
      <c r="N517" s="61" t="s">
        <v>25</v>
      </c>
      <c r="O517" s="36" t="s">
        <v>1004</v>
      </c>
      <c r="P517" s="73">
        <f t="shared" si="63"/>
        <v>296.44</v>
      </c>
      <c r="Q517" s="36"/>
      <c r="R517" s="36" t="s">
        <v>25</v>
      </c>
      <c r="S517" s="36" t="s">
        <v>1569</v>
      </c>
      <c r="T517" s="114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</row>
    <row r="518" ht="15.75" customHeight="1">
      <c r="A518" s="8" t="s">
        <v>20</v>
      </c>
      <c r="B518" s="36" t="s">
        <v>1070</v>
      </c>
      <c r="C518" s="36" t="s">
        <v>1570</v>
      </c>
      <c r="D518" s="36">
        <v>1.0</v>
      </c>
      <c r="E518" s="114"/>
      <c r="F518" s="61">
        <v>0.0</v>
      </c>
      <c r="G518" s="118"/>
      <c r="H518" s="61">
        <v>0.0</v>
      </c>
      <c r="I518" s="63">
        <f t="shared" si="79"/>
        <v>0</v>
      </c>
      <c r="J518" s="63">
        <f t="shared" si="80"/>
        <v>0</v>
      </c>
      <c r="K518" s="61">
        <v>0.0</v>
      </c>
      <c r="L518" s="64">
        <v>0.0</v>
      </c>
      <c r="M518" s="61" t="s">
        <v>24</v>
      </c>
      <c r="N518" s="61" t="s">
        <v>25</v>
      </c>
      <c r="O518" s="36" t="s">
        <v>867</v>
      </c>
      <c r="P518" s="73">
        <f t="shared" si="63"/>
        <v>0</v>
      </c>
      <c r="Q518" s="36"/>
      <c r="R518" s="36" t="s">
        <v>25</v>
      </c>
      <c r="S518" s="36" t="s">
        <v>1571</v>
      </c>
      <c r="T518" s="114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</row>
    <row r="519" ht="15.75" customHeight="1">
      <c r="A519" s="8" t="s">
        <v>20</v>
      </c>
      <c r="B519" s="36" t="s">
        <v>1038</v>
      </c>
      <c r="C519" s="36" t="s">
        <v>1572</v>
      </c>
      <c r="D519" s="36">
        <v>1.0</v>
      </c>
      <c r="E519" s="60" t="s">
        <v>1573</v>
      </c>
      <c r="F519" s="61">
        <v>1850.0</v>
      </c>
      <c r="G519" s="62">
        <v>45722.0</v>
      </c>
      <c r="H519" s="61">
        <v>319.92</v>
      </c>
      <c r="I519" s="63">
        <f t="shared" si="79"/>
        <v>323</v>
      </c>
      <c r="J519" s="63">
        <f t="shared" si="80"/>
        <v>335.92</v>
      </c>
      <c r="K519" s="61">
        <v>1190.0</v>
      </c>
      <c r="L519" s="64">
        <v>17.0</v>
      </c>
      <c r="M519" s="61" t="s">
        <v>24</v>
      </c>
      <c r="N519" s="61" t="s">
        <v>25</v>
      </c>
      <c r="O519" s="36" t="s">
        <v>1004</v>
      </c>
      <c r="P519" s="73">
        <f t="shared" si="63"/>
        <v>324.08</v>
      </c>
      <c r="Q519" s="36"/>
      <c r="R519" s="36" t="s">
        <v>25</v>
      </c>
      <c r="S519" s="36" t="s">
        <v>1574</v>
      </c>
      <c r="T519" s="114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</row>
    <row r="520" ht="15.75" customHeight="1">
      <c r="A520" s="8" t="s">
        <v>20</v>
      </c>
      <c r="B520" s="36" t="s">
        <v>1038</v>
      </c>
      <c r="C520" s="36" t="s">
        <v>1575</v>
      </c>
      <c r="D520" s="36">
        <v>1.0</v>
      </c>
      <c r="E520" s="60" t="s">
        <v>1576</v>
      </c>
      <c r="F520" s="61">
        <v>750.0</v>
      </c>
      <c r="G520" s="62">
        <v>45722.0</v>
      </c>
      <c r="H520" s="61">
        <v>318.64</v>
      </c>
      <c r="I520" s="63">
        <f t="shared" si="79"/>
        <v>322</v>
      </c>
      <c r="J520" s="63">
        <f t="shared" si="80"/>
        <v>334.88</v>
      </c>
      <c r="K520" s="61">
        <v>210.0</v>
      </c>
      <c r="L520" s="64">
        <v>3.0</v>
      </c>
      <c r="M520" s="61" t="s">
        <v>24</v>
      </c>
      <c r="N520" s="61" t="s">
        <v>25</v>
      </c>
      <c r="O520" s="36" t="s">
        <v>1004</v>
      </c>
      <c r="P520" s="73">
        <f t="shared" si="63"/>
        <v>205.12</v>
      </c>
      <c r="Q520" s="36"/>
      <c r="R520" s="36" t="s">
        <v>25</v>
      </c>
      <c r="S520" s="36" t="s">
        <v>1577</v>
      </c>
      <c r="T520" s="114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</row>
    <row r="521" ht="15.75" customHeight="1">
      <c r="A521" s="8" t="s">
        <v>20</v>
      </c>
      <c r="B521" s="36" t="s">
        <v>1578</v>
      </c>
      <c r="C521" s="36" t="s">
        <v>1579</v>
      </c>
      <c r="D521" s="36">
        <v>1.0</v>
      </c>
      <c r="E521" s="60" t="s">
        <v>1580</v>
      </c>
      <c r="F521" s="61">
        <v>1300.0</v>
      </c>
      <c r="G521" s="62">
        <v>45722.0</v>
      </c>
      <c r="H521" s="61">
        <v>535.97</v>
      </c>
      <c r="I521" s="63">
        <f t="shared" si="79"/>
        <v>541</v>
      </c>
      <c r="J521" s="63">
        <f t="shared" si="80"/>
        <v>562.64</v>
      </c>
      <c r="K521" s="61">
        <v>490.0</v>
      </c>
      <c r="L521" s="64">
        <v>7.0</v>
      </c>
      <c r="M521" s="61" t="s">
        <v>24</v>
      </c>
      <c r="N521" s="61" t="s">
        <v>25</v>
      </c>
      <c r="O521" s="36" t="s">
        <v>1004</v>
      </c>
      <c r="P521" s="73">
        <f t="shared" si="63"/>
        <v>247.36</v>
      </c>
      <c r="Q521" s="36"/>
      <c r="R521" s="36" t="s">
        <v>25</v>
      </c>
      <c r="S521" s="36" t="s">
        <v>1581</v>
      </c>
      <c r="T521" s="114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</row>
    <row r="522" ht="15.75" customHeight="1">
      <c r="A522" s="8" t="s">
        <v>20</v>
      </c>
      <c r="B522" s="36" t="s">
        <v>1582</v>
      </c>
      <c r="C522" s="36" t="s">
        <v>1583</v>
      </c>
      <c r="D522" s="36">
        <v>1.0</v>
      </c>
      <c r="E522" s="36"/>
      <c r="F522" s="61">
        <v>320.0</v>
      </c>
      <c r="G522" s="62"/>
      <c r="H522" s="61"/>
      <c r="I522" s="63"/>
      <c r="J522" s="63"/>
      <c r="K522" s="61">
        <v>280.0</v>
      </c>
      <c r="L522" s="64">
        <v>4.0</v>
      </c>
      <c r="M522" s="61" t="s">
        <v>24</v>
      </c>
      <c r="N522" s="61" t="s">
        <v>25</v>
      </c>
      <c r="O522" s="36" t="s">
        <v>1004</v>
      </c>
      <c r="P522" s="73">
        <f t="shared" si="63"/>
        <v>40</v>
      </c>
      <c r="Q522" s="36"/>
      <c r="R522" s="36" t="s">
        <v>25</v>
      </c>
      <c r="S522" s="36"/>
      <c r="T522" s="114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</row>
    <row r="523" ht="15.75" customHeight="1">
      <c r="A523" s="8" t="s">
        <v>20</v>
      </c>
      <c r="B523" s="36" t="s">
        <v>67</v>
      </c>
      <c r="C523" s="36" t="s">
        <v>1584</v>
      </c>
      <c r="D523" s="36">
        <v>1.0</v>
      </c>
      <c r="E523" s="60" t="s">
        <v>1585</v>
      </c>
      <c r="F523" s="61">
        <v>575.0</v>
      </c>
      <c r="G523" s="62">
        <v>45722.0</v>
      </c>
      <c r="H523" s="61">
        <v>429.97</v>
      </c>
      <c r="I523" s="63">
        <f t="shared" ref="I523:I542" si="81">ROUND(H523+H523*0.01,0)</f>
        <v>434</v>
      </c>
      <c r="J523" s="63">
        <f t="shared" ref="J523:J529" si="82">I523+(I523*0.04)</f>
        <v>451.36</v>
      </c>
      <c r="K523" s="61">
        <v>27.5</v>
      </c>
      <c r="L523" s="64">
        <v>0.5</v>
      </c>
      <c r="M523" s="61" t="s">
        <v>24</v>
      </c>
      <c r="N523" s="61" t="s">
        <v>25</v>
      </c>
      <c r="O523" s="36" t="s">
        <v>867</v>
      </c>
      <c r="P523" s="73">
        <f t="shared" si="63"/>
        <v>96.14</v>
      </c>
      <c r="Q523" s="36"/>
      <c r="R523" s="36" t="s">
        <v>25</v>
      </c>
      <c r="S523" s="36" t="s">
        <v>1586</v>
      </c>
      <c r="T523" s="114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</row>
    <row r="524" ht="15.75" customHeight="1">
      <c r="A524" s="8" t="s">
        <v>20</v>
      </c>
      <c r="B524" s="36" t="s">
        <v>67</v>
      </c>
      <c r="C524" s="36" t="s">
        <v>1587</v>
      </c>
      <c r="D524" s="36">
        <v>3.0</v>
      </c>
      <c r="E524" s="115" t="s">
        <v>1588</v>
      </c>
      <c r="F524" s="61">
        <v>250.0</v>
      </c>
      <c r="G524" s="62">
        <v>45722.0</v>
      </c>
      <c r="H524" s="61">
        <v>143.52</v>
      </c>
      <c r="I524" s="63">
        <f t="shared" si="81"/>
        <v>145</v>
      </c>
      <c r="J524" s="63">
        <f t="shared" si="82"/>
        <v>150.8</v>
      </c>
      <c r="K524" s="61">
        <v>55.0</v>
      </c>
      <c r="L524" s="64">
        <v>55.0</v>
      </c>
      <c r="M524" s="61" t="s">
        <v>24</v>
      </c>
      <c r="N524" s="61" t="s">
        <v>25</v>
      </c>
      <c r="O524" s="36" t="s">
        <v>867</v>
      </c>
      <c r="P524" s="73">
        <f t="shared" si="63"/>
        <v>44.2</v>
      </c>
      <c r="Q524" s="36"/>
      <c r="R524" s="36" t="s">
        <v>25</v>
      </c>
      <c r="S524" s="36" t="s">
        <v>1589</v>
      </c>
      <c r="T524" s="114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</row>
    <row r="525" ht="15.75" customHeight="1">
      <c r="A525" s="8" t="s">
        <v>20</v>
      </c>
      <c r="B525" s="36" t="s">
        <v>581</v>
      </c>
      <c r="C525" s="36" t="s">
        <v>1590</v>
      </c>
      <c r="D525" s="36">
        <v>5.0</v>
      </c>
      <c r="E525" s="60" t="s">
        <v>1591</v>
      </c>
      <c r="F525" s="61">
        <v>270.0</v>
      </c>
      <c r="G525" s="62">
        <v>45726.0</v>
      </c>
      <c r="H525" s="61">
        <v>128.02</v>
      </c>
      <c r="I525" s="63">
        <f t="shared" si="81"/>
        <v>129</v>
      </c>
      <c r="J525" s="63">
        <f t="shared" si="82"/>
        <v>134.16</v>
      </c>
      <c r="K525" s="61">
        <v>110.0</v>
      </c>
      <c r="L525" s="64">
        <v>1.0</v>
      </c>
      <c r="M525" s="61" t="s">
        <v>24</v>
      </c>
      <c r="N525" s="61" t="s">
        <v>25</v>
      </c>
      <c r="O525" s="36" t="s">
        <v>867</v>
      </c>
      <c r="P525" s="73">
        <f t="shared" si="63"/>
        <v>25.84</v>
      </c>
      <c r="Q525" s="36"/>
      <c r="R525" s="36" t="s">
        <v>25</v>
      </c>
      <c r="S525" s="36" t="s">
        <v>1592</v>
      </c>
      <c r="T525" s="114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</row>
    <row r="526" ht="15.75" customHeight="1">
      <c r="A526" s="8" t="s">
        <v>20</v>
      </c>
      <c r="B526" s="36" t="s">
        <v>1593</v>
      </c>
      <c r="C526" s="80" t="s">
        <v>1594</v>
      </c>
      <c r="D526" s="36">
        <v>1.0</v>
      </c>
      <c r="E526" s="115" t="s">
        <v>1595</v>
      </c>
      <c r="F526" s="61">
        <v>23250.0</v>
      </c>
      <c r="G526" s="62">
        <v>45726.0</v>
      </c>
      <c r="H526" s="61">
        <f>14980.2+1530.78</f>
        <v>16510.98</v>
      </c>
      <c r="I526" s="63">
        <f t="shared" si="81"/>
        <v>16676</v>
      </c>
      <c r="J526" s="63">
        <f t="shared" si="82"/>
        <v>17343.04</v>
      </c>
      <c r="K526" s="64">
        <f>2930+175</f>
        <v>3105</v>
      </c>
      <c r="L526" s="64">
        <v>53.0</v>
      </c>
      <c r="M526" s="61" t="s">
        <v>24</v>
      </c>
      <c r="N526" s="61" t="s">
        <v>25</v>
      </c>
      <c r="O526" s="36" t="s">
        <v>867</v>
      </c>
      <c r="P526" s="73">
        <f t="shared" si="63"/>
        <v>2801.96</v>
      </c>
      <c r="Q526" s="36"/>
      <c r="R526" s="36" t="s">
        <v>25</v>
      </c>
      <c r="S526" s="36" t="s">
        <v>1596</v>
      </c>
      <c r="T526" s="36" t="s">
        <v>1597</v>
      </c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</row>
    <row r="527" ht="15.75" customHeight="1">
      <c r="A527" s="8" t="s">
        <v>20</v>
      </c>
      <c r="B527" s="36" t="s">
        <v>71</v>
      </c>
      <c r="C527" s="36" t="s">
        <v>1598</v>
      </c>
      <c r="D527" s="36">
        <v>1.0</v>
      </c>
      <c r="E527" s="60" t="s">
        <v>1599</v>
      </c>
      <c r="F527" s="61">
        <v>730.0</v>
      </c>
      <c r="G527" s="62">
        <v>45727.0</v>
      </c>
      <c r="H527" s="61">
        <v>365.32</v>
      </c>
      <c r="I527" s="63">
        <f t="shared" si="81"/>
        <v>369</v>
      </c>
      <c r="J527" s="63">
        <f t="shared" si="82"/>
        <v>383.76</v>
      </c>
      <c r="K527" s="61">
        <v>165.0</v>
      </c>
      <c r="L527" s="64">
        <v>3.0</v>
      </c>
      <c r="M527" s="61" t="s">
        <v>24</v>
      </c>
      <c r="N527" s="61" t="s">
        <v>25</v>
      </c>
      <c r="O527" s="36" t="s">
        <v>1004</v>
      </c>
      <c r="P527" s="73">
        <f t="shared" si="63"/>
        <v>181.24</v>
      </c>
      <c r="Q527" s="36"/>
      <c r="R527" s="36" t="s">
        <v>25</v>
      </c>
      <c r="S527" s="36" t="s">
        <v>1600</v>
      </c>
      <c r="T527" s="114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</row>
    <row r="528" ht="15.75" customHeight="1">
      <c r="A528" s="8" t="s">
        <v>20</v>
      </c>
      <c r="B528" s="36" t="s">
        <v>1601</v>
      </c>
      <c r="C528" s="36" t="s">
        <v>1602</v>
      </c>
      <c r="D528" s="36">
        <v>1.0</v>
      </c>
      <c r="E528" s="60" t="s">
        <v>1603</v>
      </c>
      <c r="F528" s="61">
        <v>110.0</v>
      </c>
      <c r="G528" s="81">
        <v>45729.0</v>
      </c>
      <c r="H528" s="61">
        <v>53.16</v>
      </c>
      <c r="I528" s="63">
        <f t="shared" si="81"/>
        <v>54</v>
      </c>
      <c r="J528" s="63">
        <f t="shared" si="82"/>
        <v>56.16</v>
      </c>
      <c r="K528" s="61">
        <v>27.5</v>
      </c>
      <c r="L528" s="64">
        <v>0.5</v>
      </c>
      <c r="M528" s="61" t="s">
        <v>24</v>
      </c>
      <c r="N528" s="61" t="s">
        <v>25</v>
      </c>
      <c r="O528" s="36" t="s">
        <v>1004</v>
      </c>
      <c r="P528" s="73">
        <f t="shared" si="63"/>
        <v>26.34</v>
      </c>
      <c r="Q528" s="36"/>
      <c r="R528" s="36" t="s">
        <v>25</v>
      </c>
      <c r="S528" s="36" t="s">
        <v>1604</v>
      </c>
      <c r="T528" s="114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</row>
    <row r="529" ht="15.75" customHeight="1">
      <c r="A529" s="8" t="s">
        <v>20</v>
      </c>
      <c r="B529" s="36" t="s">
        <v>1601</v>
      </c>
      <c r="C529" s="36" t="s">
        <v>1605</v>
      </c>
      <c r="D529" s="36">
        <v>1.0</v>
      </c>
      <c r="E529" s="60" t="s">
        <v>1606</v>
      </c>
      <c r="F529" s="61">
        <v>250.0</v>
      </c>
      <c r="G529" s="62">
        <v>45729.0</v>
      </c>
      <c r="H529" s="61">
        <v>95.0</v>
      </c>
      <c r="I529" s="63">
        <f t="shared" si="81"/>
        <v>96</v>
      </c>
      <c r="J529" s="63">
        <f t="shared" si="82"/>
        <v>99.84</v>
      </c>
      <c r="K529" s="61">
        <v>70.0</v>
      </c>
      <c r="L529" s="64">
        <v>1.0</v>
      </c>
      <c r="M529" s="61" t="s">
        <v>24</v>
      </c>
      <c r="N529" s="61" t="s">
        <v>25</v>
      </c>
      <c r="O529" s="36" t="s">
        <v>1004</v>
      </c>
      <c r="P529" s="73">
        <f t="shared" si="63"/>
        <v>80.16</v>
      </c>
      <c r="Q529" s="36"/>
      <c r="R529" s="36" t="s">
        <v>25</v>
      </c>
      <c r="S529" s="36" t="s">
        <v>1607</v>
      </c>
      <c r="T529" s="114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</row>
    <row r="530" ht="15.75" customHeight="1">
      <c r="A530" s="8" t="s">
        <v>20</v>
      </c>
      <c r="B530" s="36" t="s">
        <v>1608</v>
      </c>
      <c r="C530" s="36" t="s">
        <v>1609</v>
      </c>
      <c r="D530" s="36">
        <v>1.0</v>
      </c>
      <c r="E530" s="124" t="s">
        <v>1610</v>
      </c>
      <c r="F530" s="61">
        <v>2600.0</v>
      </c>
      <c r="G530" s="62">
        <v>45747.0</v>
      </c>
      <c r="H530" s="61">
        <v>1584.4</v>
      </c>
      <c r="I530" s="63">
        <f t="shared" si="81"/>
        <v>1600</v>
      </c>
      <c r="J530" s="63">
        <f>ROUND(I530+I530*0.01,0)</f>
        <v>1616</v>
      </c>
      <c r="K530" s="61">
        <f>175+127</f>
        <v>302</v>
      </c>
      <c r="L530" s="64">
        <v>3.0</v>
      </c>
      <c r="M530" s="61" t="s">
        <v>24</v>
      </c>
      <c r="N530" s="61" t="s">
        <v>25</v>
      </c>
      <c r="O530" s="36" t="s">
        <v>1004</v>
      </c>
      <c r="P530" s="73">
        <f t="shared" si="63"/>
        <v>682</v>
      </c>
      <c r="Q530" s="36"/>
      <c r="R530" s="36" t="s">
        <v>25</v>
      </c>
      <c r="S530" s="125" t="s">
        <v>1611</v>
      </c>
      <c r="T530" s="114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</row>
    <row r="531" ht="15.75" customHeight="1">
      <c r="A531" s="8" t="s">
        <v>20</v>
      </c>
      <c r="B531" s="36" t="s">
        <v>1122</v>
      </c>
      <c r="C531" s="36" t="s">
        <v>1612</v>
      </c>
      <c r="D531" s="36">
        <v>1.0</v>
      </c>
      <c r="E531" s="60" t="s">
        <v>1613</v>
      </c>
      <c r="F531" s="61">
        <v>150.0</v>
      </c>
      <c r="G531" s="62">
        <v>45755.0</v>
      </c>
      <c r="H531" s="61">
        <v>45.0</v>
      </c>
      <c r="I531" s="63">
        <f t="shared" si="81"/>
        <v>45</v>
      </c>
      <c r="J531" s="63">
        <f t="shared" ref="J531:J542" si="83">I531+(I531*0.04)</f>
        <v>46.8</v>
      </c>
      <c r="K531" s="61">
        <v>55.0</v>
      </c>
      <c r="L531" s="64">
        <v>1.0</v>
      </c>
      <c r="M531" s="61" t="s">
        <v>24</v>
      </c>
      <c r="N531" s="61" t="s">
        <v>25</v>
      </c>
      <c r="O531" s="36" t="s">
        <v>1004</v>
      </c>
      <c r="P531" s="73">
        <f t="shared" si="63"/>
        <v>48.2</v>
      </c>
      <c r="Q531" s="36"/>
      <c r="R531" s="36" t="s">
        <v>25</v>
      </c>
      <c r="S531" s="36" t="s">
        <v>1614</v>
      </c>
      <c r="T531" s="114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</row>
    <row r="532" ht="15.75" customHeight="1">
      <c r="A532" s="8" t="s">
        <v>20</v>
      </c>
      <c r="B532" s="36" t="s">
        <v>1122</v>
      </c>
      <c r="C532" s="36" t="s">
        <v>1615</v>
      </c>
      <c r="D532" s="36">
        <v>1.0</v>
      </c>
      <c r="E532" s="60" t="s">
        <v>1616</v>
      </c>
      <c r="F532" s="61">
        <v>170.0</v>
      </c>
      <c r="G532" s="62">
        <v>45755.0</v>
      </c>
      <c r="H532" s="61">
        <v>45.0</v>
      </c>
      <c r="I532" s="63">
        <f t="shared" si="81"/>
        <v>45</v>
      </c>
      <c r="J532" s="63">
        <f t="shared" si="83"/>
        <v>46.8</v>
      </c>
      <c r="K532" s="61">
        <v>55.0</v>
      </c>
      <c r="L532" s="64">
        <v>1.0</v>
      </c>
      <c r="M532" s="61" t="s">
        <v>24</v>
      </c>
      <c r="N532" s="61" t="s">
        <v>25</v>
      </c>
      <c r="O532" s="36" t="s">
        <v>1004</v>
      </c>
      <c r="P532" s="73">
        <f t="shared" si="63"/>
        <v>68.2</v>
      </c>
      <c r="Q532" s="36"/>
      <c r="R532" s="36" t="s">
        <v>25</v>
      </c>
      <c r="S532" s="36" t="s">
        <v>1614</v>
      </c>
      <c r="T532" s="114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</row>
    <row r="533" ht="15.75" customHeight="1">
      <c r="A533" s="8" t="s">
        <v>20</v>
      </c>
      <c r="B533" s="36" t="s">
        <v>334</v>
      </c>
      <c r="C533" s="36" t="s">
        <v>1617</v>
      </c>
      <c r="D533" s="36">
        <v>1.0</v>
      </c>
      <c r="E533" s="60" t="s">
        <v>1618</v>
      </c>
      <c r="F533" s="61">
        <v>280.0</v>
      </c>
      <c r="G533" s="62">
        <v>45757.0</v>
      </c>
      <c r="H533" s="61">
        <v>157.0</v>
      </c>
      <c r="I533" s="63">
        <f t="shared" si="81"/>
        <v>159</v>
      </c>
      <c r="J533" s="63">
        <f t="shared" si="83"/>
        <v>165.36</v>
      </c>
      <c r="K533" s="61">
        <v>55.0</v>
      </c>
      <c r="L533" s="64">
        <v>1.0</v>
      </c>
      <c r="M533" s="61" t="s">
        <v>24</v>
      </c>
      <c r="N533" s="61" t="s">
        <v>25</v>
      </c>
      <c r="O533" s="36" t="s">
        <v>1004</v>
      </c>
      <c r="P533" s="73">
        <f t="shared" si="63"/>
        <v>59.64</v>
      </c>
      <c r="Q533" s="36"/>
      <c r="R533" s="36" t="s">
        <v>25</v>
      </c>
      <c r="S533" s="36" t="s">
        <v>1619</v>
      </c>
      <c r="T533" s="114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</row>
    <row r="534" ht="15.75" customHeight="1">
      <c r="A534" s="8" t="s">
        <v>20</v>
      </c>
      <c r="B534" s="36" t="s">
        <v>37</v>
      </c>
      <c r="C534" s="36" t="s">
        <v>1620</v>
      </c>
      <c r="D534" s="36">
        <v>4.0</v>
      </c>
      <c r="E534" s="60" t="s">
        <v>1621</v>
      </c>
      <c r="F534" s="61">
        <v>0.0</v>
      </c>
      <c r="G534" s="62">
        <v>45759.0</v>
      </c>
      <c r="H534" s="113"/>
      <c r="I534" s="63">
        <f t="shared" si="81"/>
        <v>0</v>
      </c>
      <c r="J534" s="63">
        <f t="shared" si="83"/>
        <v>0</v>
      </c>
      <c r="K534" s="61">
        <v>110.0</v>
      </c>
      <c r="L534" s="64">
        <v>2.0</v>
      </c>
      <c r="M534" s="61" t="s">
        <v>24</v>
      </c>
      <c r="N534" s="61" t="s">
        <v>25</v>
      </c>
      <c r="O534" s="36" t="s">
        <v>867</v>
      </c>
      <c r="P534" s="73">
        <f t="shared" si="63"/>
        <v>-110</v>
      </c>
      <c r="Q534" s="36"/>
      <c r="R534" s="36" t="s">
        <v>25</v>
      </c>
      <c r="S534" s="36" t="s">
        <v>1622</v>
      </c>
      <c r="T534" s="114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</row>
    <row r="535" ht="15.75" customHeight="1">
      <c r="A535" s="8" t="s">
        <v>20</v>
      </c>
      <c r="B535" s="36" t="s">
        <v>421</v>
      </c>
      <c r="C535" s="36" t="s">
        <v>1623</v>
      </c>
      <c r="D535" s="36">
        <v>3.0</v>
      </c>
      <c r="E535" s="115" t="s">
        <v>1624</v>
      </c>
      <c r="F535" s="61">
        <v>1220.0</v>
      </c>
      <c r="G535" s="62">
        <v>45771.0</v>
      </c>
      <c r="H535" s="61">
        <v>720.5</v>
      </c>
      <c r="I535" s="63">
        <f t="shared" si="81"/>
        <v>728</v>
      </c>
      <c r="J535" s="63">
        <f t="shared" si="83"/>
        <v>757.12</v>
      </c>
      <c r="K535" s="61">
        <v>192.5</v>
      </c>
      <c r="L535" s="64">
        <v>3.5</v>
      </c>
      <c r="M535" s="61" t="s">
        <v>24</v>
      </c>
      <c r="N535" s="61" t="s">
        <v>25</v>
      </c>
      <c r="O535" s="36" t="s">
        <v>867</v>
      </c>
      <c r="P535" s="73">
        <f t="shared" si="63"/>
        <v>270.38</v>
      </c>
      <c r="Q535" s="36"/>
      <c r="R535" s="36" t="s">
        <v>25</v>
      </c>
      <c r="S535" s="36" t="s">
        <v>1625</v>
      </c>
      <c r="T535" s="114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</row>
    <row r="536" ht="15.75" customHeight="1">
      <c r="A536" s="8" t="s">
        <v>20</v>
      </c>
      <c r="B536" s="36" t="s">
        <v>421</v>
      </c>
      <c r="C536" s="36" t="s">
        <v>1626</v>
      </c>
      <c r="D536" s="36">
        <v>1.0</v>
      </c>
      <c r="E536" s="115" t="s">
        <v>1627</v>
      </c>
      <c r="F536" s="61">
        <v>870.0</v>
      </c>
      <c r="G536" s="62">
        <v>45771.0</v>
      </c>
      <c r="H536" s="61">
        <v>596.15</v>
      </c>
      <c r="I536" s="63">
        <f t="shared" si="81"/>
        <v>602</v>
      </c>
      <c r="J536" s="63">
        <f t="shared" si="83"/>
        <v>626.08</v>
      </c>
      <c r="K536" s="61">
        <v>137.5</v>
      </c>
      <c r="L536" s="64">
        <v>2.5</v>
      </c>
      <c r="M536" s="61" t="s">
        <v>24</v>
      </c>
      <c r="N536" s="61" t="s">
        <v>25</v>
      </c>
      <c r="O536" s="36" t="s">
        <v>867</v>
      </c>
      <c r="P536" s="73">
        <f t="shared" si="63"/>
        <v>106.42</v>
      </c>
      <c r="Q536" s="36"/>
      <c r="R536" s="36" t="s">
        <v>25</v>
      </c>
      <c r="S536" s="36" t="s">
        <v>1628</v>
      </c>
      <c r="T536" s="114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</row>
    <row r="537" ht="15.75" customHeight="1">
      <c r="A537" s="8" t="s">
        <v>20</v>
      </c>
      <c r="B537" s="36" t="s">
        <v>421</v>
      </c>
      <c r="C537" s="36" t="s">
        <v>1629</v>
      </c>
      <c r="D537" s="36">
        <v>1.0</v>
      </c>
      <c r="E537" s="115" t="s">
        <v>1630</v>
      </c>
      <c r="F537" s="126">
        <v>510.0</v>
      </c>
      <c r="G537" s="62">
        <v>45771.0</v>
      </c>
      <c r="H537" s="61">
        <v>336.49</v>
      </c>
      <c r="I537" s="63">
        <f t="shared" si="81"/>
        <v>340</v>
      </c>
      <c r="J537" s="63">
        <f t="shared" si="83"/>
        <v>353.6</v>
      </c>
      <c r="K537" s="61">
        <v>82.0</v>
      </c>
      <c r="L537" s="64">
        <v>1.5</v>
      </c>
      <c r="M537" s="61" t="s">
        <v>24</v>
      </c>
      <c r="N537" s="61" t="s">
        <v>25</v>
      </c>
      <c r="O537" s="36" t="s">
        <v>867</v>
      </c>
      <c r="P537" s="73">
        <f t="shared" si="63"/>
        <v>74.4</v>
      </c>
      <c r="Q537" s="36"/>
      <c r="R537" s="36" t="s">
        <v>25</v>
      </c>
      <c r="S537" s="36" t="s">
        <v>1631</v>
      </c>
      <c r="T537" s="114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</row>
    <row r="538" ht="15.75" customHeight="1">
      <c r="A538" s="8" t="s">
        <v>20</v>
      </c>
      <c r="B538" s="36" t="s">
        <v>657</v>
      </c>
      <c r="C538" s="36" t="s">
        <v>1632</v>
      </c>
      <c r="D538" s="36">
        <v>1.0</v>
      </c>
      <c r="E538" s="60" t="s">
        <v>1633</v>
      </c>
      <c r="F538" s="61">
        <v>985.0</v>
      </c>
      <c r="G538" s="62">
        <v>45772.0</v>
      </c>
      <c r="H538" s="61">
        <v>723.0</v>
      </c>
      <c r="I538" s="63">
        <f t="shared" si="81"/>
        <v>730</v>
      </c>
      <c r="J538" s="63">
        <f t="shared" si="83"/>
        <v>759.2</v>
      </c>
      <c r="K538" s="61">
        <v>70.0</v>
      </c>
      <c r="L538" s="64">
        <v>1.0</v>
      </c>
      <c r="M538" s="61" t="s">
        <v>24</v>
      </c>
      <c r="N538" s="61" t="s">
        <v>25</v>
      </c>
      <c r="O538" s="36" t="s">
        <v>867</v>
      </c>
      <c r="P538" s="73">
        <f t="shared" si="63"/>
        <v>155.8</v>
      </c>
      <c r="Q538" s="36"/>
      <c r="R538" s="36" t="s">
        <v>25</v>
      </c>
      <c r="S538" s="36" t="s">
        <v>1634</v>
      </c>
      <c r="T538" s="114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</row>
    <row r="539" ht="15.75" customHeight="1">
      <c r="A539" s="8" t="s">
        <v>20</v>
      </c>
      <c r="B539" s="36" t="s">
        <v>1126</v>
      </c>
      <c r="C539" s="36" t="s">
        <v>1635</v>
      </c>
      <c r="D539" s="36">
        <v>1.0</v>
      </c>
      <c r="E539" s="114"/>
      <c r="F539" s="61">
        <v>140.0</v>
      </c>
      <c r="G539" s="118"/>
      <c r="H539" s="113"/>
      <c r="I539" s="63">
        <f t="shared" si="81"/>
        <v>0</v>
      </c>
      <c r="J539" s="63">
        <f t="shared" si="83"/>
        <v>0</v>
      </c>
      <c r="K539" s="61">
        <v>110.0</v>
      </c>
      <c r="L539" s="64">
        <v>2.0</v>
      </c>
      <c r="M539" s="61" t="s">
        <v>24</v>
      </c>
      <c r="N539" s="61" t="s">
        <v>25</v>
      </c>
      <c r="O539" s="36" t="s">
        <v>1004</v>
      </c>
      <c r="P539" s="73">
        <f t="shared" si="63"/>
        <v>30</v>
      </c>
      <c r="Q539" s="36"/>
      <c r="R539" s="36" t="s">
        <v>25</v>
      </c>
      <c r="S539" s="36" t="s">
        <v>1636</v>
      </c>
      <c r="T539" s="114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</row>
    <row r="540" ht="15.75" customHeight="1">
      <c r="A540" s="8" t="s">
        <v>20</v>
      </c>
      <c r="B540" s="36" t="s">
        <v>1126</v>
      </c>
      <c r="C540" s="36" t="s">
        <v>1637</v>
      </c>
      <c r="D540" s="36">
        <v>1.0</v>
      </c>
      <c r="E540" s="114"/>
      <c r="F540" s="61">
        <v>210.0</v>
      </c>
      <c r="G540" s="118"/>
      <c r="H540" s="113"/>
      <c r="I540" s="63">
        <f t="shared" si="81"/>
        <v>0</v>
      </c>
      <c r="J540" s="63">
        <f t="shared" si="83"/>
        <v>0</v>
      </c>
      <c r="K540" s="61">
        <v>165.0</v>
      </c>
      <c r="L540" s="64">
        <v>3.0</v>
      </c>
      <c r="M540" s="61" t="s">
        <v>24</v>
      </c>
      <c r="N540" s="61" t="s">
        <v>25</v>
      </c>
      <c r="O540" s="36" t="s">
        <v>1004</v>
      </c>
      <c r="P540" s="73">
        <f t="shared" si="63"/>
        <v>45</v>
      </c>
      <c r="Q540" s="36"/>
      <c r="R540" s="36" t="s">
        <v>25</v>
      </c>
      <c r="S540" s="60" t="s">
        <v>1638</v>
      </c>
      <c r="T540" s="114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</row>
    <row r="541" ht="15.75" customHeight="1">
      <c r="A541" s="8" t="s">
        <v>20</v>
      </c>
      <c r="B541" s="36" t="s">
        <v>67</v>
      </c>
      <c r="C541" s="36" t="s">
        <v>1639</v>
      </c>
      <c r="D541" s="36">
        <v>1.0</v>
      </c>
      <c r="E541" s="115" t="s">
        <v>1640</v>
      </c>
      <c r="F541" s="61">
        <v>285.0</v>
      </c>
      <c r="G541" s="81">
        <v>45775.0</v>
      </c>
      <c r="H541" s="61">
        <v>199.1</v>
      </c>
      <c r="I541" s="63">
        <f t="shared" si="81"/>
        <v>201</v>
      </c>
      <c r="J541" s="63">
        <f t="shared" si="83"/>
        <v>209.04</v>
      </c>
      <c r="K541" s="61">
        <v>27.5</v>
      </c>
      <c r="L541" s="64">
        <v>0.5</v>
      </c>
      <c r="M541" s="61" t="s">
        <v>24</v>
      </c>
      <c r="N541" s="61" t="s">
        <v>25</v>
      </c>
      <c r="O541" s="36" t="s">
        <v>867</v>
      </c>
      <c r="P541" s="73">
        <f t="shared" si="63"/>
        <v>48.46</v>
      </c>
      <c r="Q541" s="36"/>
      <c r="R541" s="36" t="s">
        <v>25</v>
      </c>
      <c r="S541" s="36" t="s">
        <v>1641</v>
      </c>
      <c r="T541" s="114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</row>
    <row r="542" ht="15.75" customHeight="1">
      <c r="A542" s="8" t="s">
        <v>20</v>
      </c>
      <c r="B542" s="36" t="s">
        <v>179</v>
      </c>
      <c r="C542" s="36" t="s">
        <v>1642</v>
      </c>
      <c r="D542" s="36">
        <v>1.0</v>
      </c>
      <c r="E542" s="60" t="s">
        <v>1643</v>
      </c>
      <c r="F542" s="61">
        <v>140.0</v>
      </c>
      <c r="G542" s="62">
        <v>45783.0</v>
      </c>
      <c r="H542" s="61">
        <v>63.09</v>
      </c>
      <c r="I542" s="63">
        <f t="shared" si="81"/>
        <v>64</v>
      </c>
      <c r="J542" s="63">
        <f t="shared" si="83"/>
        <v>66.56</v>
      </c>
      <c r="K542" s="61">
        <v>55.0</v>
      </c>
      <c r="L542" s="64">
        <v>1.0</v>
      </c>
      <c r="M542" s="61" t="s">
        <v>24</v>
      </c>
      <c r="N542" s="61" t="s">
        <v>25</v>
      </c>
      <c r="O542" s="36" t="s">
        <v>1004</v>
      </c>
      <c r="P542" s="73">
        <f t="shared" si="63"/>
        <v>18.44</v>
      </c>
      <c r="Q542" s="36"/>
      <c r="R542" s="36" t="s">
        <v>25</v>
      </c>
      <c r="S542" s="36" t="s">
        <v>1644</v>
      </c>
      <c r="T542" s="114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</row>
    <row r="543" ht="15.75" customHeight="1">
      <c r="A543" s="8" t="s">
        <v>20</v>
      </c>
      <c r="B543" s="36" t="s">
        <v>37</v>
      </c>
      <c r="C543" s="36" t="s">
        <v>1645</v>
      </c>
      <c r="D543" s="36">
        <v>1.0</v>
      </c>
      <c r="E543" s="60" t="s">
        <v>1646</v>
      </c>
      <c r="F543" s="61">
        <v>0.0</v>
      </c>
      <c r="G543" s="62">
        <v>45789.0</v>
      </c>
      <c r="H543" s="61">
        <v>0.0</v>
      </c>
      <c r="I543" s="61">
        <v>0.0</v>
      </c>
      <c r="J543" s="61">
        <v>0.0</v>
      </c>
      <c r="K543" s="61">
        <v>0.0</v>
      </c>
      <c r="L543" s="64">
        <v>0.0</v>
      </c>
      <c r="M543" s="61" t="s">
        <v>24</v>
      </c>
      <c r="N543" s="61" t="s">
        <v>25</v>
      </c>
      <c r="O543" s="36" t="s">
        <v>867</v>
      </c>
      <c r="P543" s="73">
        <f t="shared" si="63"/>
        <v>0</v>
      </c>
      <c r="Q543" s="36"/>
      <c r="R543" s="36" t="s">
        <v>25</v>
      </c>
      <c r="S543" s="36" t="s">
        <v>1647</v>
      </c>
      <c r="T543" s="114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</row>
    <row r="544" ht="15.75" customHeight="1">
      <c r="A544" s="8" t="s">
        <v>20</v>
      </c>
      <c r="B544" s="36" t="s">
        <v>37</v>
      </c>
      <c r="C544" s="36" t="s">
        <v>1648</v>
      </c>
      <c r="D544" s="36">
        <v>1.0</v>
      </c>
      <c r="E544" s="60" t="s">
        <v>1649</v>
      </c>
      <c r="F544" s="61">
        <v>0.0</v>
      </c>
      <c r="G544" s="62">
        <v>45797.0</v>
      </c>
      <c r="H544" s="61">
        <v>0.0</v>
      </c>
      <c r="I544" s="61">
        <v>0.0</v>
      </c>
      <c r="J544" s="61">
        <v>0.0</v>
      </c>
      <c r="K544" s="61">
        <v>0.0</v>
      </c>
      <c r="L544" s="64">
        <v>0.0</v>
      </c>
      <c r="M544" s="61" t="s">
        <v>24</v>
      </c>
      <c r="N544" s="61" t="s">
        <v>25</v>
      </c>
      <c r="O544" s="36" t="s">
        <v>867</v>
      </c>
      <c r="P544" s="73">
        <f t="shared" si="63"/>
        <v>0</v>
      </c>
      <c r="Q544" s="36"/>
      <c r="R544" s="36" t="s">
        <v>25</v>
      </c>
      <c r="S544" s="36" t="s">
        <v>1650</v>
      </c>
      <c r="T544" s="114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</row>
    <row r="545" ht="15.75" customHeight="1">
      <c r="A545" s="8" t="s">
        <v>20</v>
      </c>
      <c r="B545" s="36" t="s">
        <v>657</v>
      </c>
      <c r="C545" s="36" t="s">
        <v>1407</v>
      </c>
      <c r="D545" s="36">
        <v>1.0</v>
      </c>
      <c r="E545" s="60" t="s">
        <v>1651</v>
      </c>
      <c r="F545" s="61">
        <v>750.0</v>
      </c>
      <c r="G545" s="62">
        <v>45798.0</v>
      </c>
      <c r="H545" s="61">
        <v>566.0</v>
      </c>
      <c r="I545" s="61">
        <v>566.0</v>
      </c>
      <c r="J545" s="61">
        <f>566+175</f>
        <v>741</v>
      </c>
      <c r="K545" s="61">
        <v>110.0</v>
      </c>
      <c r="L545" s="64">
        <v>2.0</v>
      </c>
      <c r="M545" s="61" t="s">
        <v>24</v>
      </c>
      <c r="N545" s="61" t="s">
        <v>25</v>
      </c>
      <c r="O545" s="36" t="s">
        <v>867</v>
      </c>
      <c r="P545" s="73">
        <f t="shared" si="63"/>
        <v>-101</v>
      </c>
      <c r="Q545" s="36"/>
      <c r="R545" s="36" t="s">
        <v>25</v>
      </c>
      <c r="S545" s="36" t="s">
        <v>1652</v>
      </c>
      <c r="T545" s="114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</row>
    <row r="546" ht="15.75" customHeight="1">
      <c r="A546" s="8" t="s">
        <v>20</v>
      </c>
      <c r="B546" s="36" t="s">
        <v>1038</v>
      </c>
      <c r="C546" s="36" t="s">
        <v>1653</v>
      </c>
      <c r="D546" s="36">
        <v>1.0</v>
      </c>
      <c r="E546" s="60" t="s">
        <v>1654</v>
      </c>
      <c r="F546" s="61">
        <v>900.0</v>
      </c>
      <c r="G546" s="62">
        <v>45804.0</v>
      </c>
      <c r="H546" s="61">
        <v>519.95</v>
      </c>
      <c r="I546" s="63">
        <f t="shared" ref="I546:I574" si="84">ROUND(H546+H546*0.01,0)</f>
        <v>525</v>
      </c>
      <c r="J546" s="63">
        <f t="shared" ref="J546:J554" si="85">I546+(I546*0.04)</f>
        <v>546</v>
      </c>
      <c r="K546" s="61">
        <v>165.0</v>
      </c>
      <c r="L546" s="64">
        <v>3.0</v>
      </c>
      <c r="M546" s="61" t="s">
        <v>24</v>
      </c>
      <c r="N546" s="61" t="s">
        <v>25</v>
      </c>
      <c r="O546" s="36" t="s">
        <v>1004</v>
      </c>
      <c r="P546" s="73">
        <f t="shared" si="63"/>
        <v>189</v>
      </c>
      <c r="Q546" s="36"/>
      <c r="R546" s="36" t="s">
        <v>25</v>
      </c>
      <c r="S546" s="36" t="s">
        <v>1655</v>
      </c>
      <c r="T546" s="114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</row>
    <row r="547" ht="15.75" customHeight="1">
      <c r="A547" s="8" t="s">
        <v>20</v>
      </c>
      <c r="B547" s="36" t="s">
        <v>1593</v>
      </c>
      <c r="C547" s="36" t="s">
        <v>1656</v>
      </c>
      <c r="D547" s="36">
        <v>1.0</v>
      </c>
      <c r="E547" s="60" t="s">
        <v>1657</v>
      </c>
      <c r="F547" s="61">
        <v>7900.0</v>
      </c>
      <c r="G547" s="81">
        <v>45805.0</v>
      </c>
      <c r="H547" s="61">
        <v>4338.64</v>
      </c>
      <c r="I547" s="63">
        <f t="shared" si="84"/>
        <v>4382</v>
      </c>
      <c r="J547" s="63">
        <f t="shared" si="85"/>
        <v>4557.28</v>
      </c>
      <c r="K547" s="61">
        <v>1540.0</v>
      </c>
      <c r="L547" s="64">
        <v>28.0</v>
      </c>
      <c r="M547" s="61" t="s">
        <v>24</v>
      </c>
      <c r="N547" s="61" t="s">
        <v>25</v>
      </c>
      <c r="O547" s="36" t="s">
        <v>867</v>
      </c>
      <c r="P547" s="73">
        <f t="shared" si="63"/>
        <v>1802.72</v>
      </c>
      <c r="Q547" s="36"/>
      <c r="R547" s="36" t="s">
        <v>25</v>
      </c>
      <c r="S547" s="36" t="s">
        <v>1658</v>
      </c>
      <c r="T547" s="114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</row>
    <row r="548" ht="15.75" customHeight="1">
      <c r="A548" s="8" t="s">
        <v>20</v>
      </c>
      <c r="B548" s="36" t="s">
        <v>1659</v>
      </c>
      <c r="C548" s="36" t="s">
        <v>1660</v>
      </c>
      <c r="D548" s="36">
        <v>1.0</v>
      </c>
      <c r="E548" s="60" t="s">
        <v>1661</v>
      </c>
      <c r="F548" s="61">
        <f>65*L548</f>
        <v>390</v>
      </c>
      <c r="G548" s="62">
        <v>45814.0</v>
      </c>
      <c r="H548" s="61">
        <v>0.0</v>
      </c>
      <c r="I548" s="63">
        <f t="shared" si="84"/>
        <v>0</v>
      </c>
      <c r="J548" s="63">
        <f t="shared" si="85"/>
        <v>0</v>
      </c>
      <c r="K548" s="61">
        <v>330.0</v>
      </c>
      <c r="L548" s="64">
        <v>6.0</v>
      </c>
      <c r="M548" s="61" t="s">
        <v>24</v>
      </c>
      <c r="N548" s="61" t="s">
        <v>25</v>
      </c>
      <c r="O548" s="36" t="s">
        <v>867</v>
      </c>
      <c r="P548" s="73">
        <f t="shared" si="63"/>
        <v>60</v>
      </c>
      <c r="Q548" s="36"/>
      <c r="R548" s="36" t="s">
        <v>25</v>
      </c>
      <c r="S548" s="36" t="s">
        <v>1662</v>
      </c>
      <c r="T548" s="114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</row>
    <row r="549" ht="15.75" customHeight="1">
      <c r="A549" s="8" t="s">
        <v>20</v>
      </c>
      <c r="B549" s="36" t="s">
        <v>1080</v>
      </c>
      <c r="C549" s="36" t="s">
        <v>1663</v>
      </c>
      <c r="D549" s="36">
        <v>1.0</v>
      </c>
      <c r="E549" s="115" t="s">
        <v>1664</v>
      </c>
      <c r="F549" s="61">
        <v>520.0</v>
      </c>
      <c r="G549" s="62">
        <v>45817.0</v>
      </c>
      <c r="H549" s="61">
        <v>249.0</v>
      </c>
      <c r="I549" s="63">
        <f t="shared" si="84"/>
        <v>251</v>
      </c>
      <c r="J549" s="63">
        <f t="shared" si="85"/>
        <v>261.04</v>
      </c>
      <c r="K549" s="61">
        <v>165.0</v>
      </c>
      <c r="L549" s="64">
        <v>3.0</v>
      </c>
      <c r="M549" s="61" t="s">
        <v>24</v>
      </c>
      <c r="N549" s="61" t="s">
        <v>25</v>
      </c>
      <c r="O549" s="36" t="s">
        <v>1004</v>
      </c>
      <c r="P549" s="73">
        <f t="shared" si="63"/>
        <v>93.96</v>
      </c>
      <c r="Q549" s="36"/>
      <c r="R549" s="36" t="s">
        <v>25</v>
      </c>
      <c r="S549" s="36" t="s">
        <v>1665</v>
      </c>
      <c r="T549" s="114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</row>
    <row r="550" ht="15.75" customHeight="1">
      <c r="A550" s="8" t="s">
        <v>20</v>
      </c>
      <c r="B550" s="36" t="s">
        <v>1666</v>
      </c>
      <c r="C550" s="36" t="s">
        <v>1667</v>
      </c>
      <c r="D550" s="36">
        <v>1.0</v>
      </c>
      <c r="E550" s="115" t="s">
        <v>1668</v>
      </c>
      <c r="F550" s="61">
        <f t="shared" ref="F550:F551" si="86">65*L550</f>
        <v>455</v>
      </c>
      <c r="G550" s="62">
        <v>45820.0</v>
      </c>
      <c r="H550" s="61">
        <v>0.0</v>
      </c>
      <c r="I550" s="63">
        <f t="shared" si="84"/>
        <v>0</v>
      </c>
      <c r="J550" s="63">
        <f t="shared" si="85"/>
        <v>0</v>
      </c>
      <c r="K550" s="61">
        <v>385.0</v>
      </c>
      <c r="L550" s="64">
        <v>7.0</v>
      </c>
      <c r="M550" s="61" t="s">
        <v>24</v>
      </c>
      <c r="N550" s="61" t="s">
        <v>25</v>
      </c>
      <c r="O550" s="36" t="s">
        <v>867</v>
      </c>
      <c r="P550" s="73">
        <f t="shared" si="63"/>
        <v>70</v>
      </c>
      <c r="Q550" s="36"/>
      <c r="R550" s="36" t="s">
        <v>25</v>
      </c>
      <c r="S550" s="36" t="s">
        <v>1669</v>
      </c>
      <c r="T550" s="114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</row>
    <row r="551" ht="15.75" customHeight="1">
      <c r="A551" s="8" t="s">
        <v>20</v>
      </c>
      <c r="B551" s="36" t="s">
        <v>1666</v>
      </c>
      <c r="C551" s="36" t="s">
        <v>1670</v>
      </c>
      <c r="D551" s="36">
        <v>1.0</v>
      </c>
      <c r="E551" s="60" t="s">
        <v>1671</v>
      </c>
      <c r="F551" s="61">
        <f t="shared" si="86"/>
        <v>390</v>
      </c>
      <c r="G551" s="62">
        <v>45834.0</v>
      </c>
      <c r="H551" s="61">
        <v>0.0</v>
      </c>
      <c r="I551" s="63">
        <f t="shared" si="84"/>
        <v>0</v>
      </c>
      <c r="J551" s="63">
        <f t="shared" si="85"/>
        <v>0</v>
      </c>
      <c r="K551" s="61">
        <v>330.0</v>
      </c>
      <c r="L551" s="64">
        <v>6.0</v>
      </c>
      <c r="M551" s="61" t="s">
        <v>24</v>
      </c>
      <c r="N551" s="61" t="s">
        <v>25</v>
      </c>
      <c r="O551" s="36" t="s">
        <v>867</v>
      </c>
      <c r="P551" s="73">
        <f t="shared" si="63"/>
        <v>60</v>
      </c>
      <c r="Q551" s="36"/>
      <c r="R551" s="36" t="s">
        <v>25</v>
      </c>
      <c r="S551" s="36" t="s">
        <v>1672</v>
      </c>
      <c r="T551" s="114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</row>
    <row r="552" ht="15.75" customHeight="1">
      <c r="A552" s="8" t="s">
        <v>20</v>
      </c>
      <c r="B552" s="36" t="s">
        <v>1666</v>
      </c>
      <c r="C552" s="36" t="s">
        <v>1673</v>
      </c>
      <c r="D552" s="36">
        <v>1.0</v>
      </c>
      <c r="E552" s="60" t="s">
        <v>1674</v>
      </c>
      <c r="F552" s="61">
        <v>0.0</v>
      </c>
      <c r="G552" s="62">
        <v>45834.0</v>
      </c>
      <c r="H552" s="61">
        <v>0.0</v>
      </c>
      <c r="I552" s="63">
        <f t="shared" si="84"/>
        <v>0</v>
      </c>
      <c r="J552" s="63">
        <f t="shared" si="85"/>
        <v>0</v>
      </c>
      <c r="K552" s="61">
        <v>0.0</v>
      </c>
      <c r="L552" s="64">
        <v>0.0</v>
      </c>
      <c r="M552" s="61" t="s">
        <v>24</v>
      </c>
      <c r="N552" s="61" t="s">
        <v>25</v>
      </c>
      <c r="O552" s="36" t="s">
        <v>867</v>
      </c>
      <c r="P552" s="73">
        <f t="shared" si="63"/>
        <v>0</v>
      </c>
      <c r="Q552" s="36"/>
      <c r="R552" s="36" t="s">
        <v>25</v>
      </c>
      <c r="S552" s="36" t="s">
        <v>1672</v>
      </c>
      <c r="T552" s="114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</row>
    <row r="553" ht="15.75" customHeight="1">
      <c r="A553" s="8" t="s">
        <v>20</v>
      </c>
      <c r="B553" s="36" t="s">
        <v>179</v>
      </c>
      <c r="C553" s="36" t="s">
        <v>1675</v>
      </c>
      <c r="D553" s="36">
        <v>2.0</v>
      </c>
      <c r="E553" s="60" t="s">
        <v>1676</v>
      </c>
      <c r="F553" s="61">
        <v>140.0</v>
      </c>
      <c r="G553" s="62">
        <v>45825.0</v>
      </c>
      <c r="H553" s="61">
        <v>54.97</v>
      </c>
      <c r="I553" s="63">
        <f t="shared" si="84"/>
        <v>56</v>
      </c>
      <c r="J553" s="63">
        <f t="shared" si="85"/>
        <v>58.24</v>
      </c>
      <c r="K553" s="61">
        <v>110.0</v>
      </c>
      <c r="L553" s="64">
        <v>2.0</v>
      </c>
      <c r="M553" s="61" t="s">
        <v>24</v>
      </c>
      <c r="N553" s="61" t="s">
        <v>25</v>
      </c>
      <c r="O553" s="36" t="s">
        <v>1004</v>
      </c>
      <c r="P553" s="73">
        <f t="shared" si="63"/>
        <v>-28.24</v>
      </c>
      <c r="Q553" s="36"/>
      <c r="R553" s="36" t="s">
        <v>25</v>
      </c>
      <c r="S553" s="36" t="s">
        <v>1677</v>
      </c>
      <c r="T553" s="114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</row>
    <row r="554" ht="15.75" customHeight="1">
      <c r="A554" s="8" t="s">
        <v>20</v>
      </c>
      <c r="B554" s="36" t="s">
        <v>179</v>
      </c>
      <c r="C554" s="36" t="s">
        <v>1678</v>
      </c>
      <c r="D554" s="36">
        <v>1.0</v>
      </c>
      <c r="E554" s="114"/>
      <c r="F554" s="113"/>
      <c r="G554" s="118"/>
      <c r="H554" s="113"/>
      <c r="I554" s="63">
        <f t="shared" si="84"/>
        <v>0</v>
      </c>
      <c r="J554" s="63">
        <f t="shared" si="85"/>
        <v>0</v>
      </c>
      <c r="K554" s="61">
        <v>0.0</v>
      </c>
      <c r="L554" s="64">
        <v>0.0</v>
      </c>
      <c r="M554" s="61" t="s">
        <v>24</v>
      </c>
      <c r="N554" s="61" t="s">
        <v>25</v>
      </c>
      <c r="O554" s="36" t="s">
        <v>1004</v>
      </c>
      <c r="P554" s="73">
        <f t="shared" si="63"/>
        <v>0</v>
      </c>
      <c r="Q554" s="36"/>
      <c r="R554" s="36" t="s">
        <v>25</v>
      </c>
      <c r="S554" s="36" t="s">
        <v>1679</v>
      </c>
      <c r="T554" s="114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</row>
    <row r="555" ht="15.75" customHeight="1">
      <c r="A555" s="8" t="s">
        <v>20</v>
      </c>
      <c r="B555" s="36" t="s">
        <v>533</v>
      </c>
      <c r="C555" s="36" t="s">
        <v>1680</v>
      </c>
      <c r="D555" s="36">
        <v>1.0</v>
      </c>
      <c r="E555" s="60" t="s">
        <v>1681</v>
      </c>
      <c r="F555" s="61">
        <v>220.0</v>
      </c>
      <c r="G555" s="62">
        <v>45827.0</v>
      </c>
      <c r="H555" s="61">
        <v>151.0</v>
      </c>
      <c r="I555" s="63">
        <f t="shared" si="84"/>
        <v>153</v>
      </c>
      <c r="J555" s="63">
        <f>ROUND(I555+I555*0.01,0)</f>
        <v>155</v>
      </c>
      <c r="K555" s="61">
        <v>27.5</v>
      </c>
      <c r="L555" s="64">
        <v>0.5</v>
      </c>
      <c r="M555" s="61" t="s">
        <v>24</v>
      </c>
      <c r="N555" s="61" t="s">
        <v>25</v>
      </c>
      <c r="O555" s="36" t="s">
        <v>867</v>
      </c>
      <c r="P555" s="73">
        <f t="shared" si="63"/>
        <v>37.5</v>
      </c>
      <c r="Q555" s="36"/>
      <c r="R555" s="36" t="s">
        <v>25</v>
      </c>
      <c r="S555" s="115" t="s">
        <v>1682</v>
      </c>
      <c r="T555" s="114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</row>
    <row r="556" ht="15.75" customHeight="1">
      <c r="A556" s="8" t="s">
        <v>20</v>
      </c>
      <c r="B556" s="36" t="s">
        <v>67</v>
      </c>
      <c r="C556" s="36" t="s">
        <v>1683</v>
      </c>
      <c r="D556" s="36">
        <v>1.0</v>
      </c>
      <c r="E556" s="114"/>
      <c r="F556" s="61">
        <v>240.0</v>
      </c>
      <c r="G556" s="118"/>
      <c r="H556" s="113"/>
      <c r="I556" s="63">
        <f t="shared" si="84"/>
        <v>0</v>
      </c>
      <c r="J556" s="63">
        <f t="shared" ref="J556:J558" si="87">I556+(I556*0.04)</f>
        <v>0</v>
      </c>
      <c r="K556" s="61">
        <v>220.0</v>
      </c>
      <c r="L556" s="64">
        <v>4.0</v>
      </c>
      <c r="M556" s="61" t="s">
        <v>24</v>
      </c>
      <c r="N556" s="61" t="s">
        <v>25</v>
      </c>
      <c r="O556" s="36" t="s">
        <v>1004</v>
      </c>
      <c r="P556" s="73">
        <f t="shared" si="63"/>
        <v>20</v>
      </c>
      <c r="Q556" s="36"/>
      <c r="R556" s="36" t="s">
        <v>25</v>
      </c>
      <c r="S556" s="36" t="s">
        <v>1684</v>
      </c>
      <c r="T556" s="114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</row>
    <row r="557" ht="15.75" customHeight="1">
      <c r="A557" s="8" t="s">
        <v>20</v>
      </c>
      <c r="B557" s="36" t="s">
        <v>445</v>
      </c>
      <c r="C557" s="36" t="s">
        <v>1685</v>
      </c>
      <c r="D557" s="36">
        <v>1.0</v>
      </c>
      <c r="E557" s="60" t="s">
        <v>1686</v>
      </c>
      <c r="F557" s="61">
        <v>50.0</v>
      </c>
      <c r="G557" s="62">
        <v>45834.0</v>
      </c>
      <c r="H557" s="61">
        <v>38.98</v>
      </c>
      <c r="I557" s="63">
        <f t="shared" si="84"/>
        <v>39</v>
      </c>
      <c r="J557" s="63">
        <f t="shared" si="87"/>
        <v>40.56</v>
      </c>
      <c r="K557" s="61">
        <v>0.0</v>
      </c>
      <c r="L557" s="64">
        <v>0.0</v>
      </c>
      <c r="M557" s="61" t="s">
        <v>24</v>
      </c>
      <c r="N557" s="61" t="s">
        <v>25</v>
      </c>
      <c r="O557" s="36" t="s">
        <v>1004</v>
      </c>
      <c r="P557" s="73">
        <f t="shared" si="63"/>
        <v>9.44</v>
      </c>
      <c r="Q557" s="36"/>
      <c r="R557" s="36" t="s">
        <v>25</v>
      </c>
      <c r="S557" s="36" t="s">
        <v>1687</v>
      </c>
      <c r="T557" s="114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</row>
    <row r="558" ht="15.75" customHeight="1">
      <c r="A558" s="8" t="s">
        <v>20</v>
      </c>
      <c r="B558" s="36" t="s">
        <v>1115</v>
      </c>
      <c r="C558" s="36" t="s">
        <v>1688</v>
      </c>
      <c r="D558" s="36">
        <v>1.0</v>
      </c>
      <c r="E558" s="115" t="s">
        <v>1689</v>
      </c>
      <c r="F558" s="61">
        <v>480.0</v>
      </c>
      <c r="G558" s="62">
        <v>45834.0</v>
      </c>
      <c r="H558" s="61">
        <v>306.47</v>
      </c>
      <c r="I558" s="63">
        <f t="shared" si="84"/>
        <v>310</v>
      </c>
      <c r="J558" s="63">
        <f t="shared" si="87"/>
        <v>322.4</v>
      </c>
      <c r="K558" s="61">
        <v>50.0</v>
      </c>
      <c r="L558" s="64">
        <v>1.0</v>
      </c>
      <c r="M558" s="61" t="s">
        <v>24</v>
      </c>
      <c r="N558" s="61" t="s">
        <v>25</v>
      </c>
      <c r="O558" s="36" t="s">
        <v>867</v>
      </c>
      <c r="P558" s="73">
        <f t="shared" si="63"/>
        <v>107.6</v>
      </c>
      <c r="Q558" s="36"/>
      <c r="R558" s="36" t="s">
        <v>25</v>
      </c>
      <c r="S558" s="36" t="s">
        <v>1690</v>
      </c>
      <c r="T558" s="114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</row>
    <row r="559" ht="15.75" customHeight="1">
      <c r="A559" s="8" t="s">
        <v>20</v>
      </c>
      <c r="B559" s="36" t="s">
        <v>1115</v>
      </c>
      <c r="C559" s="36" t="s">
        <v>1691</v>
      </c>
      <c r="D559" s="36">
        <v>1.0</v>
      </c>
      <c r="E559" s="60" t="s">
        <v>1692</v>
      </c>
      <c r="F559" s="61">
        <v>0.0</v>
      </c>
      <c r="G559" s="62">
        <v>45834.0</v>
      </c>
      <c r="H559" s="61">
        <v>0.0</v>
      </c>
      <c r="I559" s="63">
        <f t="shared" si="84"/>
        <v>0</v>
      </c>
      <c r="J559" s="116">
        <v>0.0</v>
      </c>
      <c r="K559" s="61">
        <v>165.0</v>
      </c>
      <c r="L559" s="64">
        <v>3.0</v>
      </c>
      <c r="M559" s="61" t="s">
        <v>24</v>
      </c>
      <c r="N559" s="61" t="s">
        <v>25</v>
      </c>
      <c r="O559" s="36" t="s">
        <v>867</v>
      </c>
      <c r="P559" s="73">
        <f t="shared" si="63"/>
        <v>-165</v>
      </c>
      <c r="Q559" s="36"/>
      <c r="R559" s="36" t="s">
        <v>25</v>
      </c>
      <c r="S559" s="127" t="s">
        <v>1693</v>
      </c>
      <c r="T559" s="114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</row>
    <row r="560" ht="15.75" customHeight="1">
      <c r="A560" s="8" t="s">
        <v>20</v>
      </c>
      <c r="B560" s="36" t="s">
        <v>657</v>
      </c>
      <c r="C560" s="36" t="s">
        <v>1694</v>
      </c>
      <c r="D560" s="36">
        <v>1.0</v>
      </c>
      <c r="E560" s="60" t="s">
        <v>1695</v>
      </c>
      <c r="F560" s="61">
        <v>180.0</v>
      </c>
      <c r="G560" s="81">
        <v>45835.0</v>
      </c>
      <c r="H560" s="61">
        <v>87.65</v>
      </c>
      <c r="I560" s="63">
        <f t="shared" si="84"/>
        <v>89</v>
      </c>
      <c r="J560" s="63">
        <f t="shared" ref="J560:J564" si="88">I560+(I560*0.04)</f>
        <v>92.56</v>
      </c>
      <c r="K560" s="61">
        <v>55.0</v>
      </c>
      <c r="L560" s="64">
        <v>1.0</v>
      </c>
      <c r="M560" s="61" t="s">
        <v>24</v>
      </c>
      <c r="N560" s="61" t="s">
        <v>25</v>
      </c>
      <c r="O560" s="36" t="s">
        <v>867</v>
      </c>
      <c r="P560" s="73">
        <f t="shared" si="63"/>
        <v>32.44</v>
      </c>
      <c r="Q560" s="36"/>
      <c r="R560" s="36" t="s">
        <v>25</v>
      </c>
      <c r="S560" s="36" t="s">
        <v>1696</v>
      </c>
      <c r="T560" s="114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</row>
    <row r="561" ht="15.75" customHeight="1">
      <c r="A561" s="8" t="s">
        <v>20</v>
      </c>
      <c r="B561" s="36" t="s">
        <v>657</v>
      </c>
      <c r="C561" s="36" t="s">
        <v>1697</v>
      </c>
      <c r="D561" s="36">
        <v>1.0</v>
      </c>
      <c r="E561" s="115" t="s">
        <v>1698</v>
      </c>
      <c r="F561" s="61">
        <v>124.0</v>
      </c>
      <c r="G561" s="62">
        <v>45835.0</v>
      </c>
      <c r="H561" s="61">
        <v>74.0</v>
      </c>
      <c r="I561" s="63">
        <f t="shared" si="84"/>
        <v>75</v>
      </c>
      <c r="J561" s="63">
        <f t="shared" si="88"/>
        <v>78</v>
      </c>
      <c r="K561" s="61">
        <v>27.5</v>
      </c>
      <c r="L561" s="64">
        <v>0.5</v>
      </c>
      <c r="M561" s="61" t="s">
        <v>24</v>
      </c>
      <c r="N561" s="61" t="s">
        <v>25</v>
      </c>
      <c r="O561" s="36" t="s">
        <v>867</v>
      </c>
      <c r="P561" s="73">
        <f t="shared" si="63"/>
        <v>18.5</v>
      </c>
      <c r="Q561" s="36"/>
      <c r="R561" s="36" t="s">
        <v>25</v>
      </c>
      <c r="S561" s="36" t="s">
        <v>1699</v>
      </c>
      <c r="T561" s="114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</row>
    <row r="562" ht="15.75" customHeight="1">
      <c r="A562" s="8" t="s">
        <v>20</v>
      </c>
      <c r="B562" s="36" t="s">
        <v>657</v>
      </c>
      <c r="C562" s="36" t="s">
        <v>1700</v>
      </c>
      <c r="D562" s="36">
        <v>1.0</v>
      </c>
      <c r="E562" s="115" t="s">
        <v>1701</v>
      </c>
      <c r="F562" s="61">
        <v>150.0</v>
      </c>
      <c r="G562" s="62">
        <v>45835.0</v>
      </c>
      <c r="H562" s="61">
        <v>93.0</v>
      </c>
      <c r="I562" s="63">
        <f t="shared" si="84"/>
        <v>94</v>
      </c>
      <c r="J562" s="63">
        <f t="shared" si="88"/>
        <v>97.76</v>
      </c>
      <c r="K562" s="61">
        <v>27.5</v>
      </c>
      <c r="L562" s="64">
        <v>0.5</v>
      </c>
      <c r="M562" s="61" t="s">
        <v>24</v>
      </c>
      <c r="N562" s="61" t="s">
        <v>25</v>
      </c>
      <c r="O562" s="36" t="s">
        <v>867</v>
      </c>
      <c r="P562" s="73">
        <f t="shared" si="63"/>
        <v>24.74</v>
      </c>
      <c r="Q562" s="36"/>
      <c r="R562" s="36" t="s">
        <v>25</v>
      </c>
      <c r="S562" s="36" t="s">
        <v>1702</v>
      </c>
      <c r="T562" s="114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</row>
    <row r="563" ht="15.75" customHeight="1">
      <c r="A563" s="8" t="s">
        <v>20</v>
      </c>
      <c r="B563" s="36" t="s">
        <v>657</v>
      </c>
      <c r="C563" s="36" t="s">
        <v>1703</v>
      </c>
      <c r="D563" s="36">
        <v>1.0</v>
      </c>
      <c r="E563" s="60" t="s">
        <v>1704</v>
      </c>
      <c r="F563" s="61">
        <v>684.0</v>
      </c>
      <c r="G563" s="62">
        <v>45831.0</v>
      </c>
      <c r="H563" s="61">
        <v>385.98</v>
      </c>
      <c r="I563" s="63">
        <f t="shared" si="84"/>
        <v>390</v>
      </c>
      <c r="J563" s="63">
        <f t="shared" si="88"/>
        <v>405.6</v>
      </c>
      <c r="K563" s="61">
        <v>165.0</v>
      </c>
      <c r="L563" s="64">
        <v>3.0</v>
      </c>
      <c r="M563" s="61" t="s">
        <v>24</v>
      </c>
      <c r="N563" s="61" t="s">
        <v>25</v>
      </c>
      <c r="O563" s="36" t="s">
        <v>867</v>
      </c>
      <c r="P563" s="73">
        <f t="shared" si="63"/>
        <v>113.4</v>
      </c>
      <c r="Q563" s="36"/>
      <c r="R563" s="36" t="s">
        <v>25</v>
      </c>
      <c r="S563" s="36" t="s">
        <v>1705</v>
      </c>
      <c r="T563" s="114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</row>
    <row r="564" ht="15.75" customHeight="1">
      <c r="A564" s="8" t="s">
        <v>20</v>
      </c>
      <c r="B564" s="36" t="s">
        <v>657</v>
      </c>
      <c r="C564" s="36" t="s">
        <v>1706</v>
      </c>
      <c r="D564" s="36">
        <v>1.0</v>
      </c>
      <c r="E564" s="114"/>
      <c r="F564" s="61">
        <v>110.0</v>
      </c>
      <c r="G564" s="62">
        <v>45840.0</v>
      </c>
      <c r="H564" s="113"/>
      <c r="I564" s="63">
        <f t="shared" si="84"/>
        <v>0</v>
      </c>
      <c r="J564" s="63">
        <f t="shared" si="88"/>
        <v>0</v>
      </c>
      <c r="K564" s="61">
        <v>110.0</v>
      </c>
      <c r="L564" s="64">
        <v>2.0</v>
      </c>
      <c r="M564" s="61" t="s">
        <v>24</v>
      </c>
      <c r="N564" s="61" t="s">
        <v>25</v>
      </c>
      <c r="O564" s="36" t="s">
        <v>867</v>
      </c>
      <c r="P564" s="73">
        <f t="shared" si="63"/>
        <v>0</v>
      </c>
      <c r="Q564" s="36"/>
      <c r="R564" s="36" t="s">
        <v>25</v>
      </c>
      <c r="S564" s="36" t="s">
        <v>1707</v>
      </c>
      <c r="T564" s="114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</row>
    <row r="565" ht="15.75" customHeight="1">
      <c r="A565" s="8" t="s">
        <v>20</v>
      </c>
      <c r="B565" s="36" t="s">
        <v>1115</v>
      </c>
      <c r="C565" s="36" t="s">
        <v>1708</v>
      </c>
      <c r="D565" s="36">
        <v>1.0</v>
      </c>
      <c r="E565" s="114"/>
      <c r="F565" s="61">
        <v>840.0</v>
      </c>
      <c r="G565" s="62">
        <v>45848.0</v>
      </c>
      <c r="H565" s="61">
        <v>459.81</v>
      </c>
      <c r="I565" s="63">
        <f t="shared" si="84"/>
        <v>464</v>
      </c>
      <c r="J565" s="63">
        <f>I565+(I565*0.04)+75</f>
        <v>557.56</v>
      </c>
      <c r="K565" s="61">
        <v>250.0</v>
      </c>
      <c r="L565" s="64">
        <v>5.0</v>
      </c>
      <c r="M565" s="61" t="s">
        <v>24</v>
      </c>
      <c r="N565" s="61" t="s">
        <v>25</v>
      </c>
      <c r="O565" s="36" t="s">
        <v>867</v>
      </c>
      <c r="P565" s="73">
        <f t="shared" si="63"/>
        <v>32.44</v>
      </c>
      <c r="Q565" s="36"/>
      <c r="R565" s="36" t="s">
        <v>25</v>
      </c>
      <c r="S565" s="36" t="s">
        <v>1709</v>
      </c>
      <c r="T565" s="114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</row>
    <row r="566" ht="15.75" customHeight="1">
      <c r="A566" s="8" t="s">
        <v>20</v>
      </c>
      <c r="B566" s="36" t="s">
        <v>37</v>
      </c>
      <c r="C566" s="36" t="s">
        <v>1710</v>
      </c>
      <c r="D566" s="36">
        <v>1.0</v>
      </c>
      <c r="E566" s="114"/>
      <c r="F566" s="61">
        <v>0.0</v>
      </c>
      <c r="G566" s="62">
        <v>45848.0</v>
      </c>
      <c r="H566" s="113"/>
      <c r="I566" s="63">
        <f t="shared" si="84"/>
        <v>0</v>
      </c>
      <c r="J566" s="63">
        <f t="shared" ref="J566:J570" si="89">I566+(I566*0.04)</f>
        <v>0</v>
      </c>
      <c r="K566" s="61">
        <v>0.0</v>
      </c>
      <c r="L566" s="64">
        <v>0.0</v>
      </c>
      <c r="M566" s="61" t="s">
        <v>24</v>
      </c>
      <c r="N566" s="61" t="s">
        <v>25</v>
      </c>
      <c r="O566" s="36" t="s">
        <v>867</v>
      </c>
      <c r="P566" s="73">
        <f t="shared" si="63"/>
        <v>0</v>
      </c>
      <c r="Q566" s="36"/>
      <c r="R566" s="36" t="s">
        <v>25</v>
      </c>
      <c r="S566" s="36" t="s">
        <v>1711</v>
      </c>
      <c r="T566" s="114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</row>
    <row r="567" ht="15.75" customHeight="1">
      <c r="A567" s="8" t="s">
        <v>20</v>
      </c>
      <c r="B567" s="36" t="s">
        <v>37</v>
      </c>
      <c r="C567" s="36" t="s">
        <v>1712</v>
      </c>
      <c r="D567" s="36">
        <v>2.0</v>
      </c>
      <c r="E567" s="114"/>
      <c r="F567" s="61">
        <v>0.0</v>
      </c>
      <c r="G567" s="62">
        <v>45848.0</v>
      </c>
      <c r="H567" s="113"/>
      <c r="I567" s="63">
        <f t="shared" si="84"/>
        <v>0</v>
      </c>
      <c r="J567" s="63">
        <f t="shared" si="89"/>
        <v>0</v>
      </c>
      <c r="K567" s="61">
        <v>150.0</v>
      </c>
      <c r="L567" s="64">
        <v>3.0</v>
      </c>
      <c r="M567" s="61" t="s">
        <v>24</v>
      </c>
      <c r="N567" s="61" t="s">
        <v>25</v>
      </c>
      <c r="O567" s="36" t="s">
        <v>867</v>
      </c>
      <c r="P567" s="73">
        <f t="shared" si="63"/>
        <v>-150</v>
      </c>
      <c r="Q567" s="36"/>
      <c r="R567" s="36" t="s">
        <v>25</v>
      </c>
      <c r="S567" s="36" t="s">
        <v>1713</v>
      </c>
      <c r="T567" s="114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</row>
    <row r="568" ht="15.75" customHeight="1">
      <c r="A568" s="8" t="s">
        <v>20</v>
      </c>
      <c r="B568" s="36" t="s">
        <v>37</v>
      </c>
      <c r="C568" s="36" t="s">
        <v>1714</v>
      </c>
      <c r="D568" s="36">
        <v>2.0</v>
      </c>
      <c r="E568" s="60" t="s">
        <v>1715</v>
      </c>
      <c r="F568" s="61">
        <v>0.0</v>
      </c>
      <c r="G568" s="62">
        <v>45848.0</v>
      </c>
      <c r="H568" s="113"/>
      <c r="I568" s="63">
        <f t="shared" si="84"/>
        <v>0</v>
      </c>
      <c r="J568" s="63">
        <f t="shared" si="89"/>
        <v>0</v>
      </c>
      <c r="K568" s="61">
        <v>50.0</v>
      </c>
      <c r="L568" s="64">
        <v>1.0</v>
      </c>
      <c r="M568" s="61" t="s">
        <v>24</v>
      </c>
      <c r="N568" s="61" t="s">
        <v>25</v>
      </c>
      <c r="O568" s="36" t="s">
        <v>867</v>
      </c>
      <c r="P568" s="73">
        <f t="shared" si="63"/>
        <v>-50</v>
      </c>
      <c r="Q568" s="36"/>
      <c r="R568" s="36" t="s">
        <v>25</v>
      </c>
      <c r="S568" s="36" t="s">
        <v>1716</v>
      </c>
      <c r="T568" s="114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</row>
    <row r="569" ht="15.75" customHeight="1">
      <c r="A569" s="8" t="s">
        <v>20</v>
      </c>
      <c r="B569" s="36" t="s">
        <v>37</v>
      </c>
      <c r="C569" s="36" t="s">
        <v>1717</v>
      </c>
      <c r="D569" s="36">
        <v>1.0</v>
      </c>
      <c r="E569" s="60" t="s">
        <v>1718</v>
      </c>
      <c r="F569" s="61">
        <v>0.0</v>
      </c>
      <c r="G569" s="62">
        <v>45848.0</v>
      </c>
      <c r="H569" s="113"/>
      <c r="I569" s="63">
        <f t="shared" si="84"/>
        <v>0</v>
      </c>
      <c r="J569" s="63">
        <f t="shared" si="89"/>
        <v>0</v>
      </c>
      <c r="K569" s="61">
        <v>0.0</v>
      </c>
      <c r="L569" s="64">
        <v>0.0</v>
      </c>
      <c r="M569" s="61" t="s">
        <v>24</v>
      </c>
      <c r="N569" s="61" t="s">
        <v>25</v>
      </c>
      <c r="O569" s="36" t="s">
        <v>867</v>
      </c>
      <c r="P569" s="73">
        <f t="shared" si="63"/>
        <v>0</v>
      </c>
      <c r="Q569" s="36"/>
      <c r="R569" s="36" t="s">
        <v>25</v>
      </c>
      <c r="S569" s="36" t="s">
        <v>1719</v>
      </c>
      <c r="T569" s="114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</row>
    <row r="570" ht="15.75" customHeight="1">
      <c r="A570" s="8" t="s">
        <v>20</v>
      </c>
      <c r="B570" s="36" t="s">
        <v>37</v>
      </c>
      <c r="C570" s="36" t="s">
        <v>1720</v>
      </c>
      <c r="D570" s="36">
        <v>1.0</v>
      </c>
      <c r="E570" s="60" t="s">
        <v>1721</v>
      </c>
      <c r="F570" s="61">
        <v>0.0</v>
      </c>
      <c r="G570" s="62">
        <v>45848.0</v>
      </c>
      <c r="H570" s="113"/>
      <c r="I570" s="63">
        <f t="shared" si="84"/>
        <v>0</v>
      </c>
      <c r="J570" s="63">
        <f t="shared" si="89"/>
        <v>0</v>
      </c>
      <c r="K570" s="61">
        <v>50.0</v>
      </c>
      <c r="L570" s="64">
        <v>1.0</v>
      </c>
      <c r="M570" s="61" t="s">
        <v>24</v>
      </c>
      <c r="N570" s="61" t="s">
        <v>25</v>
      </c>
      <c r="O570" s="36" t="s">
        <v>867</v>
      </c>
      <c r="P570" s="73">
        <f t="shared" si="63"/>
        <v>-50</v>
      </c>
      <c r="Q570" s="36"/>
      <c r="R570" s="36" t="s">
        <v>25</v>
      </c>
      <c r="S570" s="36" t="s">
        <v>1709</v>
      </c>
      <c r="T570" s="114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</row>
    <row r="571" ht="15.75" customHeight="1">
      <c r="A571" s="8" t="s">
        <v>20</v>
      </c>
      <c r="B571" s="36" t="s">
        <v>1115</v>
      </c>
      <c r="C571" s="36" t="s">
        <v>1722</v>
      </c>
      <c r="D571" s="36">
        <v>1.0</v>
      </c>
      <c r="E571" s="60" t="s">
        <v>1723</v>
      </c>
      <c r="F571" s="61">
        <v>350.0</v>
      </c>
      <c r="G571" s="62">
        <v>45848.0</v>
      </c>
      <c r="H571" s="61">
        <v>233.73</v>
      </c>
      <c r="I571" s="63">
        <f t="shared" si="84"/>
        <v>236</v>
      </c>
      <c r="J571" s="116">
        <v>236.0</v>
      </c>
      <c r="K571" s="61">
        <v>50.0</v>
      </c>
      <c r="L571" s="64">
        <v>1.0</v>
      </c>
      <c r="M571" s="61" t="s">
        <v>24</v>
      </c>
      <c r="N571" s="61" t="s">
        <v>25</v>
      </c>
      <c r="O571" s="36" t="s">
        <v>867</v>
      </c>
      <c r="P571" s="73">
        <f t="shared" si="63"/>
        <v>64</v>
      </c>
      <c r="Q571" s="36"/>
      <c r="R571" s="36" t="s">
        <v>25</v>
      </c>
      <c r="S571" s="36" t="s">
        <v>1724</v>
      </c>
      <c r="T571" s="114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</row>
    <row r="572" ht="15.75" customHeight="1">
      <c r="A572" s="8" t="s">
        <v>20</v>
      </c>
      <c r="B572" s="36" t="s">
        <v>179</v>
      </c>
      <c r="C572" s="36" t="s">
        <v>1725</v>
      </c>
      <c r="D572" s="36">
        <v>1.0</v>
      </c>
      <c r="E572" s="60" t="s">
        <v>1726</v>
      </c>
      <c r="F572" s="61">
        <v>237.0</v>
      </c>
      <c r="G572" s="62">
        <v>45852.0</v>
      </c>
      <c r="H572" s="61">
        <v>184.99</v>
      </c>
      <c r="I572" s="63">
        <f t="shared" si="84"/>
        <v>187</v>
      </c>
      <c r="J572" s="116">
        <v>187.0</v>
      </c>
      <c r="K572" s="61">
        <v>50.0</v>
      </c>
      <c r="L572" s="64">
        <v>1.0</v>
      </c>
      <c r="M572" s="61" t="s">
        <v>24</v>
      </c>
      <c r="N572" s="61" t="s">
        <v>25</v>
      </c>
      <c r="O572" s="36" t="s">
        <v>1004</v>
      </c>
      <c r="P572" s="73">
        <f t="shared" si="63"/>
        <v>0</v>
      </c>
      <c r="Q572" s="36"/>
      <c r="R572" s="36" t="s">
        <v>25</v>
      </c>
      <c r="S572" s="36" t="s">
        <v>1727</v>
      </c>
      <c r="T572" s="114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</row>
    <row r="573" ht="15.75" customHeight="1">
      <c r="A573" s="8" t="s">
        <v>20</v>
      </c>
      <c r="B573" s="36" t="s">
        <v>37</v>
      </c>
      <c r="C573" s="36" t="s">
        <v>1728</v>
      </c>
      <c r="D573" s="36">
        <v>1.0</v>
      </c>
      <c r="E573" s="60" t="s">
        <v>1721</v>
      </c>
      <c r="F573" s="61">
        <v>0.0</v>
      </c>
      <c r="G573" s="62">
        <v>45847.0</v>
      </c>
      <c r="H573" s="113"/>
      <c r="I573" s="63">
        <f t="shared" si="84"/>
        <v>0</v>
      </c>
      <c r="J573" s="63">
        <f>I573+(I573*0.04)</f>
        <v>0</v>
      </c>
      <c r="K573" s="61">
        <v>0.0</v>
      </c>
      <c r="L573" s="64">
        <v>0.0</v>
      </c>
      <c r="M573" s="61" t="s">
        <v>24</v>
      </c>
      <c r="N573" s="61" t="s">
        <v>25</v>
      </c>
      <c r="O573" s="36" t="s">
        <v>867</v>
      </c>
      <c r="P573" s="73">
        <f t="shared" si="63"/>
        <v>0</v>
      </c>
      <c r="Q573" s="36"/>
      <c r="R573" s="36" t="s">
        <v>25</v>
      </c>
      <c r="S573" s="36" t="s">
        <v>1729</v>
      </c>
      <c r="T573" s="114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</row>
    <row r="574" ht="15.75" customHeight="1">
      <c r="A574" s="8" t="s">
        <v>20</v>
      </c>
      <c r="B574" s="36" t="s">
        <v>1666</v>
      </c>
      <c r="C574" s="36" t="s">
        <v>1730</v>
      </c>
      <c r="D574" s="36">
        <v>1.0</v>
      </c>
      <c r="E574" s="60" t="s">
        <v>1731</v>
      </c>
      <c r="F574" s="61">
        <v>50.0</v>
      </c>
      <c r="G574" s="62">
        <v>45854.0</v>
      </c>
      <c r="H574" s="61">
        <v>0.0</v>
      </c>
      <c r="I574" s="63">
        <f t="shared" si="84"/>
        <v>0</v>
      </c>
      <c r="J574" s="116">
        <v>0.0</v>
      </c>
      <c r="K574" s="61">
        <v>50.0</v>
      </c>
      <c r="L574" s="64">
        <v>1.0</v>
      </c>
      <c r="M574" s="61" t="s">
        <v>24</v>
      </c>
      <c r="N574" s="61" t="s">
        <v>25</v>
      </c>
      <c r="O574" s="36" t="s">
        <v>867</v>
      </c>
      <c r="P574" s="73">
        <f t="shared" si="63"/>
        <v>0</v>
      </c>
      <c r="Q574" s="36" t="s">
        <v>867</v>
      </c>
      <c r="R574" s="36" t="s">
        <v>25</v>
      </c>
      <c r="S574" s="36" t="s">
        <v>1732</v>
      </c>
      <c r="T574" s="114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</row>
    <row r="575" ht="15.75" customHeight="1">
      <c r="A575" s="8" t="s">
        <v>20</v>
      </c>
      <c r="B575" s="36" t="s">
        <v>1733</v>
      </c>
      <c r="C575" s="36" t="s">
        <v>1734</v>
      </c>
      <c r="D575" s="36">
        <v>1.0</v>
      </c>
      <c r="E575" s="60" t="s">
        <v>1735</v>
      </c>
      <c r="F575" s="61">
        <v>2450.0</v>
      </c>
      <c r="G575" s="62">
        <v>45859.0</v>
      </c>
      <c r="H575" s="61">
        <v>1341.97</v>
      </c>
      <c r="I575" s="61">
        <v>1341.97</v>
      </c>
      <c r="J575" s="61">
        <v>1341.97</v>
      </c>
      <c r="K575" s="61">
        <v>1000.0</v>
      </c>
      <c r="L575" s="64">
        <v>20.0</v>
      </c>
      <c r="M575" s="61" t="s">
        <v>24</v>
      </c>
      <c r="N575" s="61" t="s">
        <v>25</v>
      </c>
      <c r="O575" s="36" t="s">
        <v>867</v>
      </c>
      <c r="P575" s="73">
        <f t="shared" si="63"/>
        <v>108.03</v>
      </c>
      <c r="Q575" s="36"/>
      <c r="R575" s="36" t="s">
        <v>25</v>
      </c>
      <c r="S575" s="36" t="s">
        <v>1736</v>
      </c>
      <c r="T575" s="114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</row>
    <row r="576" ht="15.75" customHeight="1">
      <c r="A576" s="8" t="s">
        <v>20</v>
      </c>
      <c r="B576" s="36" t="s">
        <v>1593</v>
      </c>
      <c r="C576" s="36" t="s">
        <v>1737</v>
      </c>
      <c r="D576" s="36">
        <v>1.0</v>
      </c>
      <c r="E576" s="115" t="s">
        <v>1738</v>
      </c>
      <c r="F576" s="61">
        <v>600.0</v>
      </c>
      <c r="G576" s="62">
        <v>45859.0</v>
      </c>
      <c r="H576" s="61">
        <v>261.0</v>
      </c>
      <c r="I576" s="63">
        <f t="shared" ref="I576:I580" si="90">ROUND(H576+H576*0.01,0)</f>
        <v>264</v>
      </c>
      <c r="J576" s="63">
        <f t="shared" ref="J576:J580" si="91">I576+(I576*0.04)</f>
        <v>274.56</v>
      </c>
      <c r="K576" s="61">
        <v>250.0</v>
      </c>
      <c r="L576" s="64">
        <v>5.0</v>
      </c>
      <c r="M576" s="61" t="s">
        <v>24</v>
      </c>
      <c r="N576" s="61" t="s">
        <v>25</v>
      </c>
      <c r="O576" s="36" t="s">
        <v>867</v>
      </c>
      <c r="P576" s="73">
        <f t="shared" si="63"/>
        <v>75.44</v>
      </c>
      <c r="Q576" s="36"/>
      <c r="R576" s="36" t="s">
        <v>25</v>
      </c>
      <c r="S576" s="36" t="s">
        <v>1739</v>
      </c>
      <c r="T576" s="114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</row>
    <row r="577" ht="15.75" customHeight="1">
      <c r="A577" s="8" t="s">
        <v>20</v>
      </c>
      <c r="B577" s="36" t="s">
        <v>179</v>
      </c>
      <c r="C577" s="36" t="s">
        <v>1740</v>
      </c>
      <c r="D577" s="36">
        <v>1.0</v>
      </c>
      <c r="E577" s="60" t="s">
        <v>1741</v>
      </c>
      <c r="F577" s="61">
        <v>1015.0</v>
      </c>
      <c r="G577" s="62">
        <v>45862.0</v>
      </c>
      <c r="H577" s="61">
        <v>267.98</v>
      </c>
      <c r="I577" s="63">
        <f t="shared" si="90"/>
        <v>271</v>
      </c>
      <c r="J577" s="63">
        <f t="shared" si="91"/>
        <v>281.84</v>
      </c>
      <c r="K577" s="61">
        <v>400.0</v>
      </c>
      <c r="L577" s="64">
        <v>8.0</v>
      </c>
      <c r="M577" s="61" t="s">
        <v>24</v>
      </c>
      <c r="N577" s="61" t="s">
        <v>25</v>
      </c>
      <c r="O577" s="36" t="s">
        <v>1004</v>
      </c>
      <c r="P577" s="73">
        <f t="shared" si="63"/>
        <v>333.16</v>
      </c>
      <c r="Q577" s="36"/>
      <c r="R577" s="36" t="s">
        <v>25</v>
      </c>
      <c r="S577" s="36" t="s">
        <v>1742</v>
      </c>
      <c r="T577" s="114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</row>
    <row r="578" ht="15.75" customHeight="1">
      <c r="A578" s="8" t="s">
        <v>20</v>
      </c>
      <c r="B578" s="36" t="s">
        <v>37</v>
      </c>
      <c r="C578" s="36" t="s">
        <v>1743</v>
      </c>
      <c r="D578" s="36">
        <v>1.0</v>
      </c>
      <c r="E578" s="60" t="s">
        <v>1744</v>
      </c>
      <c r="F578" s="61">
        <v>0.0</v>
      </c>
      <c r="G578" s="62">
        <v>45862.0</v>
      </c>
      <c r="H578" s="61">
        <v>0.0</v>
      </c>
      <c r="I578" s="63">
        <f t="shared" si="90"/>
        <v>0</v>
      </c>
      <c r="J578" s="63">
        <f t="shared" si="91"/>
        <v>0</v>
      </c>
      <c r="K578" s="61">
        <v>50.0</v>
      </c>
      <c r="L578" s="64">
        <v>1.0</v>
      </c>
      <c r="M578" s="61" t="s">
        <v>24</v>
      </c>
      <c r="N578" s="61" t="s">
        <v>25</v>
      </c>
      <c r="O578" s="36" t="s">
        <v>1004</v>
      </c>
      <c r="P578" s="73">
        <f t="shared" si="63"/>
        <v>-50</v>
      </c>
      <c r="Q578" s="36"/>
      <c r="R578" s="36" t="s">
        <v>25</v>
      </c>
      <c r="S578" s="36" t="s">
        <v>1745</v>
      </c>
      <c r="T578" s="114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</row>
    <row r="579" ht="15.75" customHeight="1">
      <c r="A579" s="8" t="s">
        <v>20</v>
      </c>
      <c r="B579" s="36" t="s">
        <v>581</v>
      </c>
      <c r="C579" s="36" t="s">
        <v>1746</v>
      </c>
      <c r="D579" s="36">
        <v>1.0</v>
      </c>
      <c r="E579" s="60" t="s">
        <v>1747</v>
      </c>
      <c r="F579" s="61">
        <v>300.0</v>
      </c>
      <c r="G579" s="62">
        <v>45863.0</v>
      </c>
      <c r="H579" s="61">
        <v>195.0</v>
      </c>
      <c r="I579" s="63">
        <f t="shared" si="90"/>
        <v>197</v>
      </c>
      <c r="J579" s="63">
        <f t="shared" si="91"/>
        <v>204.88</v>
      </c>
      <c r="K579" s="61">
        <v>50.0</v>
      </c>
      <c r="L579" s="64">
        <v>1.0</v>
      </c>
      <c r="M579" s="61" t="s">
        <v>24</v>
      </c>
      <c r="N579" s="61" t="s">
        <v>25</v>
      </c>
      <c r="O579" s="36" t="s">
        <v>867</v>
      </c>
      <c r="P579" s="73">
        <f t="shared" si="63"/>
        <v>45.12</v>
      </c>
      <c r="Q579" s="36"/>
      <c r="R579" s="36" t="s">
        <v>25</v>
      </c>
      <c r="S579" s="36" t="s">
        <v>1748</v>
      </c>
      <c r="T579" s="114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</row>
    <row r="580" ht="15.75" customHeight="1">
      <c r="A580" s="8" t="s">
        <v>20</v>
      </c>
      <c r="B580" s="36" t="s">
        <v>657</v>
      </c>
      <c r="C580" s="36" t="s">
        <v>1749</v>
      </c>
      <c r="D580" s="36">
        <v>1.0</v>
      </c>
      <c r="E580" s="60" t="s">
        <v>1750</v>
      </c>
      <c r="F580" s="61">
        <v>185.0</v>
      </c>
      <c r="G580" s="62">
        <v>45870.0</v>
      </c>
      <c r="H580" s="61">
        <v>101.99</v>
      </c>
      <c r="I580" s="63">
        <f t="shared" si="90"/>
        <v>103</v>
      </c>
      <c r="J580" s="63">
        <f t="shared" si="91"/>
        <v>107.12</v>
      </c>
      <c r="K580" s="61">
        <v>25.0</v>
      </c>
      <c r="L580" s="64">
        <v>0.5</v>
      </c>
      <c r="M580" s="61" t="s">
        <v>24</v>
      </c>
      <c r="N580" s="61" t="s">
        <v>25</v>
      </c>
      <c r="O580" s="36" t="s">
        <v>867</v>
      </c>
      <c r="P580" s="73">
        <f t="shared" si="63"/>
        <v>52.88</v>
      </c>
      <c r="Q580" s="36"/>
      <c r="R580" s="36" t="s">
        <v>25</v>
      </c>
      <c r="S580" s="36" t="s">
        <v>1751</v>
      </c>
      <c r="T580" s="114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</row>
    <row r="581" ht="15.75" customHeight="1">
      <c r="A581" s="8" t="s">
        <v>20</v>
      </c>
      <c r="B581" s="36" t="s">
        <v>1593</v>
      </c>
      <c r="C581" s="36" t="s">
        <v>1752</v>
      </c>
      <c r="D581" s="36">
        <v>1.0</v>
      </c>
      <c r="E581" s="60" t="s">
        <v>1753</v>
      </c>
      <c r="F581" s="61">
        <v>385.0</v>
      </c>
      <c r="G581" s="62">
        <v>45873.0</v>
      </c>
      <c r="H581" s="116">
        <v>360.0</v>
      </c>
      <c r="I581" s="116">
        <v>360.0</v>
      </c>
      <c r="J581" s="116">
        <v>360.0</v>
      </c>
      <c r="K581" s="61">
        <v>25.0</v>
      </c>
      <c r="L581" s="64">
        <v>0.5</v>
      </c>
      <c r="M581" s="61" t="s">
        <v>24</v>
      </c>
      <c r="N581" s="61" t="s">
        <v>25</v>
      </c>
      <c r="O581" s="36" t="s">
        <v>867</v>
      </c>
      <c r="P581" s="73">
        <f t="shared" si="63"/>
        <v>0</v>
      </c>
      <c r="Q581" s="36"/>
      <c r="R581" s="36" t="s">
        <v>25</v>
      </c>
      <c r="S581" s="36" t="s">
        <v>1754</v>
      </c>
      <c r="T581" s="114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</row>
    <row r="582" ht="15.75" customHeight="1">
      <c r="A582" s="8" t="s">
        <v>20</v>
      </c>
      <c r="B582" s="36" t="s">
        <v>657</v>
      </c>
      <c r="C582" s="36" t="s">
        <v>1755</v>
      </c>
      <c r="D582" s="36">
        <v>1.0</v>
      </c>
      <c r="E582" s="60" t="s">
        <v>1756</v>
      </c>
      <c r="F582" s="61">
        <v>355.0</v>
      </c>
      <c r="G582" s="62">
        <v>45874.0</v>
      </c>
      <c r="H582" s="61">
        <v>187.0</v>
      </c>
      <c r="I582" s="63">
        <f t="shared" ref="I582:I606" si="92">ROUND(H582+H582*0.01,0)</f>
        <v>189</v>
      </c>
      <c r="J582" s="63">
        <f t="shared" ref="J582:J606" si="93">I582+(I582*0.04)</f>
        <v>196.56</v>
      </c>
      <c r="K582" s="61">
        <v>100.0</v>
      </c>
      <c r="L582" s="64">
        <v>2.0</v>
      </c>
      <c r="M582" s="61" t="s">
        <v>24</v>
      </c>
      <c r="N582" s="61" t="s">
        <v>25</v>
      </c>
      <c r="O582" s="36" t="s">
        <v>867</v>
      </c>
      <c r="P582" s="73">
        <f t="shared" si="63"/>
        <v>58.44</v>
      </c>
      <c r="Q582" s="36"/>
      <c r="R582" s="36" t="s">
        <v>25</v>
      </c>
      <c r="S582" s="36" t="s">
        <v>1757</v>
      </c>
      <c r="T582" s="114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</row>
    <row r="583" ht="15.75" customHeight="1">
      <c r="A583" s="8" t="s">
        <v>20</v>
      </c>
      <c r="B583" s="36" t="s">
        <v>571</v>
      </c>
      <c r="C583" s="36" t="s">
        <v>1758</v>
      </c>
      <c r="D583" s="36">
        <v>1.0</v>
      </c>
      <c r="E583" s="60" t="s">
        <v>1759</v>
      </c>
      <c r="F583" s="61">
        <v>1560.0</v>
      </c>
      <c r="G583" s="62">
        <v>45879.0</v>
      </c>
      <c r="H583" s="61">
        <v>1000.89</v>
      </c>
      <c r="I583" s="63">
        <f t="shared" si="92"/>
        <v>1011</v>
      </c>
      <c r="J583" s="63">
        <f t="shared" si="93"/>
        <v>1051.44</v>
      </c>
      <c r="K583" s="61">
        <v>250.0</v>
      </c>
      <c r="L583" s="64">
        <v>5.0</v>
      </c>
      <c r="M583" s="61" t="s">
        <v>24</v>
      </c>
      <c r="N583" s="61" t="s">
        <v>25</v>
      </c>
      <c r="O583" s="36" t="s">
        <v>1004</v>
      </c>
      <c r="P583" s="73">
        <f t="shared" si="63"/>
        <v>258.56</v>
      </c>
      <c r="Q583" s="36"/>
      <c r="R583" s="36" t="s">
        <v>25</v>
      </c>
      <c r="S583" s="36" t="s">
        <v>1760</v>
      </c>
      <c r="T583" s="114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</row>
    <row r="584" ht="15.75" customHeight="1">
      <c r="A584" s="8" t="s">
        <v>20</v>
      </c>
      <c r="B584" s="36" t="s">
        <v>1593</v>
      </c>
      <c r="C584" s="36" t="s">
        <v>1761</v>
      </c>
      <c r="D584" s="36">
        <v>1.0</v>
      </c>
      <c r="E584" s="60" t="s">
        <v>1762</v>
      </c>
      <c r="F584" s="61">
        <v>1350.0</v>
      </c>
      <c r="G584" s="81">
        <v>45873.0</v>
      </c>
      <c r="H584" s="61">
        <v>499.0</v>
      </c>
      <c r="I584" s="63">
        <f t="shared" si="92"/>
        <v>504</v>
      </c>
      <c r="J584" s="63">
        <f t="shared" si="93"/>
        <v>524.16</v>
      </c>
      <c r="K584" s="61">
        <v>500.0</v>
      </c>
      <c r="L584" s="64">
        <v>10.0</v>
      </c>
      <c r="M584" s="61" t="s">
        <v>24</v>
      </c>
      <c r="N584" s="61" t="s">
        <v>25</v>
      </c>
      <c r="O584" s="36" t="s">
        <v>867</v>
      </c>
      <c r="P584" s="73">
        <f t="shared" si="63"/>
        <v>325.84</v>
      </c>
      <c r="Q584" s="36" t="s">
        <v>867</v>
      </c>
      <c r="R584" s="36" t="s">
        <v>25</v>
      </c>
      <c r="S584" s="36" t="s">
        <v>1763</v>
      </c>
      <c r="T584" s="36" t="s">
        <v>1764</v>
      </c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</row>
    <row r="585" ht="15.75" customHeight="1">
      <c r="A585" s="8" t="s">
        <v>20</v>
      </c>
      <c r="B585" s="36" t="s">
        <v>581</v>
      </c>
      <c r="C585" s="36" t="s">
        <v>1765</v>
      </c>
      <c r="D585" s="36">
        <v>3.0</v>
      </c>
      <c r="E585" s="60" t="s">
        <v>1766</v>
      </c>
      <c r="F585" s="61">
        <v>1160.0</v>
      </c>
      <c r="G585" s="81">
        <v>45877.0</v>
      </c>
      <c r="H585" s="61">
        <v>510.39</v>
      </c>
      <c r="I585" s="63">
        <f t="shared" si="92"/>
        <v>515</v>
      </c>
      <c r="J585" s="63">
        <f t="shared" si="93"/>
        <v>535.6</v>
      </c>
      <c r="K585" s="61">
        <v>300.0</v>
      </c>
      <c r="L585" s="64">
        <v>6.0</v>
      </c>
      <c r="M585" s="61" t="s">
        <v>24</v>
      </c>
      <c r="N585" s="61" t="s">
        <v>25</v>
      </c>
      <c r="O585" s="36" t="s">
        <v>867</v>
      </c>
      <c r="P585" s="73">
        <f t="shared" si="63"/>
        <v>324.4</v>
      </c>
      <c r="Q585" s="36"/>
      <c r="R585" s="36" t="s">
        <v>25</v>
      </c>
      <c r="S585" s="80" t="s">
        <v>1767</v>
      </c>
      <c r="T585" s="114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</row>
    <row r="586" ht="15.75" customHeight="1">
      <c r="A586" s="8" t="s">
        <v>20</v>
      </c>
      <c r="B586" s="36" t="s">
        <v>657</v>
      </c>
      <c r="C586" s="36" t="s">
        <v>1768</v>
      </c>
      <c r="D586" s="36">
        <v>1.0</v>
      </c>
      <c r="E586" s="60" t="s">
        <v>1769</v>
      </c>
      <c r="F586" s="61">
        <v>280.0</v>
      </c>
      <c r="G586" s="62">
        <v>45880.0</v>
      </c>
      <c r="H586" s="61">
        <v>127.49</v>
      </c>
      <c r="I586" s="63">
        <f t="shared" si="92"/>
        <v>129</v>
      </c>
      <c r="J586" s="63">
        <f t="shared" si="93"/>
        <v>134.16</v>
      </c>
      <c r="K586" s="61">
        <v>100.0</v>
      </c>
      <c r="L586" s="64">
        <v>2.0</v>
      </c>
      <c r="M586" s="61" t="s">
        <v>24</v>
      </c>
      <c r="N586" s="61" t="s">
        <v>25</v>
      </c>
      <c r="O586" s="36" t="s">
        <v>867</v>
      </c>
      <c r="P586" s="73">
        <f t="shared" si="63"/>
        <v>45.84</v>
      </c>
      <c r="Q586" s="36"/>
      <c r="R586" s="36" t="s">
        <v>25</v>
      </c>
      <c r="S586" s="36" t="s">
        <v>1770</v>
      </c>
      <c r="T586" s="114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</row>
    <row r="587" ht="15.75" customHeight="1">
      <c r="A587" s="8" t="s">
        <v>20</v>
      </c>
      <c r="B587" s="36" t="s">
        <v>657</v>
      </c>
      <c r="C587" s="36" t="s">
        <v>1771</v>
      </c>
      <c r="D587" s="36">
        <v>1.0</v>
      </c>
      <c r="E587" s="60" t="s">
        <v>1772</v>
      </c>
      <c r="F587" s="61">
        <v>750.0</v>
      </c>
      <c r="G587" s="62">
        <v>45880.0</v>
      </c>
      <c r="H587" s="61">
        <v>531.91</v>
      </c>
      <c r="I587" s="63">
        <f t="shared" si="92"/>
        <v>537</v>
      </c>
      <c r="J587" s="63">
        <f t="shared" si="93"/>
        <v>558.48</v>
      </c>
      <c r="K587" s="61">
        <v>100.0</v>
      </c>
      <c r="L587" s="64">
        <v>2.0</v>
      </c>
      <c r="M587" s="61" t="s">
        <v>24</v>
      </c>
      <c r="N587" s="61" t="s">
        <v>25</v>
      </c>
      <c r="O587" s="36" t="s">
        <v>867</v>
      </c>
      <c r="P587" s="73">
        <f t="shared" si="63"/>
        <v>91.52</v>
      </c>
      <c r="Q587" s="36"/>
      <c r="R587" s="36" t="s">
        <v>25</v>
      </c>
      <c r="S587" s="36" t="s">
        <v>1773</v>
      </c>
      <c r="T587" s="114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</row>
    <row r="588" ht="15.75" customHeight="1">
      <c r="A588" s="8" t="s">
        <v>20</v>
      </c>
      <c r="B588" s="36" t="s">
        <v>1774</v>
      </c>
      <c r="C588" s="36" t="s">
        <v>1775</v>
      </c>
      <c r="D588" s="36">
        <v>1.0</v>
      </c>
      <c r="E588" s="60" t="s">
        <v>1776</v>
      </c>
      <c r="F588" s="61">
        <v>270.0</v>
      </c>
      <c r="G588" s="62">
        <v>45881.0</v>
      </c>
      <c r="H588" s="61">
        <v>119.99</v>
      </c>
      <c r="I588" s="63">
        <f t="shared" si="92"/>
        <v>121</v>
      </c>
      <c r="J588" s="63">
        <f t="shared" si="93"/>
        <v>125.84</v>
      </c>
      <c r="K588" s="61">
        <v>100.0</v>
      </c>
      <c r="L588" s="64">
        <v>2.0</v>
      </c>
      <c r="M588" s="61" t="s">
        <v>24</v>
      </c>
      <c r="N588" s="61" t="s">
        <v>25</v>
      </c>
      <c r="O588" s="36" t="s">
        <v>867</v>
      </c>
      <c r="P588" s="73">
        <f t="shared" si="63"/>
        <v>44.16</v>
      </c>
      <c r="Q588" s="36"/>
      <c r="R588" s="36" t="s">
        <v>25</v>
      </c>
      <c r="S588" s="36" t="s">
        <v>1777</v>
      </c>
      <c r="T588" s="114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</row>
    <row r="589" ht="15.75" customHeight="1">
      <c r="A589" s="8" t="s">
        <v>20</v>
      </c>
      <c r="B589" s="36" t="s">
        <v>1778</v>
      </c>
      <c r="C589" s="36" t="s">
        <v>1779</v>
      </c>
      <c r="D589" s="36">
        <v>1.0</v>
      </c>
      <c r="E589" s="60" t="s">
        <v>1780</v>
      </c>
      <c r="F589" s="61">
        <v>220.0</v>
      </c>
      <c r="G589" s="62">
        <v>45895.0</v>
      </c>
      <c r="H589" s="61">
        <v>138.0</v>
      </c>
      <c r="I589" s="63">
        <f t="shared" si="92"/>
        <v>139</v>
      </c>
      <c r="J589" s="63">
        <f t="shared" si="93"/>
        <v>144.56</v>
      </c>
      <c r="K589" s="61">
        <v>0.0</v>
      </c>
      <c r="L589" s="64">
        <v>0.0</v>
      </c>
      <c r="M589" s="61" t="s">
        <v>24</v>
      </c>
      <c r="N589" s="61" t="s">
        <v>25</v>
      </c>
      <c r="O589" s="36" t="s">
        <v>1004</v>
      </c>
      <c r="P589" s="73">
        <f t="shared" si="63"/>
        <v>75.44</v>
      </c>
      <c r="Q589" s="36" t="s">
        <v>1004</v>
      </c>
      <c r="R589" s="36" t="s">
        <v>25</v>
      </c>
      <c r="S589" s="36" t="s">
        <v>1781</v>
      </c>
      <c r="T589" s="114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</row>
    <row r="590" ht="15.75" customHeight="1">
      <c r="A590" s="8" t="s">
        <v>20</v>
      </c>
      <c r="B590" s="36" t="s">
        <v>1782</v>
      </c>
      <c r="C590" s="36" t="s">
        <v>1783</v>
      </c>
      <c r="D590" s="36">
        <v>1.0</v>
      </c>
      <c r="E590" s="114"/>
      <c r="F590" s="61">
        <v>65.0</v>
      </c>
      <c r="G590" s="62">
        <v>45895.0</v>
      </c>
      <c r="H590" s="61">
        <v>0.0</v>
      </c>
      <c r="I590" s="63">
        <f t="shared" si="92"/>
        <v>0</v>
      </c>
      <c r="J590" s="63">
        <f t="shared" si="93"/>
        <v>0</v>
      </c>
      <c r="K590" s="61">
        <v>50.0</v>
      </c>
      <c r="L590" s="64">
        <v>1.0</v>
      </c>
      <c r="M590" s="61" t="s">
        <v>24</v>
      </c>
      <c r="N590" s="61" t="s">
        <v>25</v>
      </c>
      <c r="O590" s="36" t="s">
        <v>867</v>
      </c>
      <c r="P590" s="73">
        <f t="shared" si="63"/>
        <v>15</v>
      </c>
      <c r="Q590" s="36" t="s">
        <v>867</v>
      </c>
      <c r="R590" s="36" t="s">
        <v>25</v>
      </c>
      <c r="S590" s="36" t="s">
        <v>1784</v>
      </c>
      <c r="T590" s="114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</row>
    <row r="591" ht="15.75" customHeight="1">
      <c r="A591" s="8" t="s">
        <v>20</v>
      </c>
      <c r="B591" s="36" t="s">
        <v>1593</v>
      </c>
      <c r="C591" s="36" t="s">
        <v>1785</v>
      </c>
      <c r="D591" s="36">
        <v>1.0</v>
      </c>
      <c r="E591" s="115" t="s">
        <v>1786</v>
      </c>
      <c r="F591" s="61">
        <v>8700.0</v>
      </c>
      <c r="G591" s="62">
        <v>45897.0</v>
      </c>
      <c r="H591" s="61">
        <v>4832.0</v>
      </c>
      <c r="I591" s="63">
        <f t="shared" si="92"/>
        <v>4880</v>
      </c>
      <c r="J591" s="63">
        <f t="shared" si="93"/>
        <v>5075.2</v>
      </c>
      <c r="K591" s="61">
        <v>3200.0</v>
      </c>
      <c r="L591" s="64">
        <v>64.0</v>
      </c>
      <c r="M591" s="61" t="s">
        <v>24</v>
      </c>
      <c r="N591" s="61" t="s">
        <v>25</v>
      </c>
      <c r="O591" s="36" t="s">
        <v>867</v>
      </c>
      <c r="P591" s="73">
        <f t="shared" si="63"/>
        <v>424.8</v>
      </c>
      <c r="Q591" s="36"/>
      <c r="R591" s="36" t="s">
        <v>25</v>
      </c>
      <c r="S591" s="36" t="s">
        <v>1787</v>
      </c>
      <c r="T591" s="114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</row>
    <row r="592" ht="15.75" customHeight="1">
      <c r="A592" s="8" t="s">
        <v>20</v>
      </c>
      <c r="B592" s="36" t="s">
        <v>179</v>
      </c>
      <c r="C592" s="36" t="s">
        <v>1788</v>
      </c>
      <c r="D592" s="36">
        <v>1.0</v>
      </c>
      <c r="E592" s="115" t="s">
        <v>1789</v>
      </c>
      <c r="F592" s="61">
        <v>200.0</v>
      </c>
      <c r="G592" s="62">
        <v>45901.0</v>
      </c>
      <c r="H592" s="61">
        <v>120.17</v>
      </c>
      <c r="I592" s="63">
        <f t="shared" si="92"/>
        <v>121</v>
      </c>
      <c r="J592" s="63">
        <f t="shared" si="93"/>
        <v>125.84</v>
      </c>
      <c r="K592" s="61">
        <v>25.0</v>
      </c>
      <c r="L592" s="64">
        <v>0.5</v>
      </c>
      <c r="M592" s="61" t="s">
        <v>24</v>
      </c>
      <c r="N592" s="61" t="s">
        <v>25</v>
      </c>
      <c r="O592" s="36" t="s">
        <v>1004</v>
      </c>
      <c r="P592" s="73">
        <f t="shared" si="63"/>
        <v>49.16</v>
      </c>
      <c r="Q592" s="36" t="s">
        <v>1004</v>
      </c>
      <c r="R592" s="36" t="s">
        <v>25</v>
      </c>
      <c r="S592" s="36" t="s">
        <v>1790</v>
      </c>
      <c r="T592" s="114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</row>
    <row r="593" ht="15.75" customHeight="1">
      <c r="A593" s="8" t="s">
        <v>20</v>
      </c>
      <c r="B593" s="36" t="s">
        <v>1593</v>
      </c>
      <c r="C593" s="36" t="s">
        <v>1791</v>
      </c>
      <c r="D593" s="36">
        <v>2.0</v>
      </c>
      <c r="E593" s="60" t="s">
        <v>1792</v>
      </c>
      <c r="F593" s="61">
        <v>300.0</v>
      </c>
      <c r="G593" s="81">
        <v>45903.0</v>
      </c>
      <c r="H593" s="61">
        <v>129.98</v>
      </c>
      <c r="I593" s="63">
        <f t="shared" si="92"/>
        <v>131</v>
      </c>
      <c r="J593" s="63">
        <f t="shared" si="93"/>
        <v>136.24</v>
      </c>
      <c r="K593" s="61">
        <v>0.0</v>
      </c>
      <c r="L593" s="64">
        <v>0.0</v>
      </c>
      <c r="M593" s="61" t="s">
        <v>24</v>
      </c>
      <c r="N593" s="61" t="s">
        <v>25</v>
      </c>
      <c r="O593" s="36" t="s">
        <v>867</v>
      </c>
      <c r="P593" s="73">
        <f t="shared" si="63"/>
        <v>163.76</v>
      </c>
      <c r="Q593" s="36" t="s">
        <v>867</v>
      </c>
      <c r="R593" s="36" t="s">
        <v>25</v>
      </c>
      <c r="S593" s="117" t="s">
        <v>1793</v>
      </c>
      <c r="T593" s="114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</row>
    <row r="594" ht="15.75" customHeight="1">
      <c r="A594" s="8" t="s">
        <v>20</v>
      </c>
      <c r="B594" s="36" t="s">
        <v>571</v>
      </c>
      <c r="C594" s="36" t="s">
        <v>1794</v>
      </c>
      <c r="D594" s="36">
        <v>1.0</v>
      </c>
      <c r="E594" s="60" t="s">
        <v>1795</v>
      </c>
      <c r="F594" s="61">
        <v>550.0</v>
      </c>
      <c r="G594" s="62">
        <v>45904.0</v>
      </c>
      <c r="H594" s="61">
        <v>367.35</v>
      </c>
      <c r="I594" s="63">
        <f t="shared" si="92"/>
        <v>371</v>
      </c>
      <c r="J594" s="63">
        <f t="shared" si="93"/>
        <v>385.84</v>
      </c>
      <c r="K594" s="61">
        <v>75.0</v>
      </c>
      <c r="L594" s="64">
        <v>1.5</v>
      </c>
      <c r="M594" s="61" t="s">
        <v>24</v>
      </c>
      <c r="N594" s="61" t="s">
        <v>25</v>
      </c>
      <c r="O594" s="36" t="s">
        <v>1004</v>
      </c>
      <c r="P594" s="73">
        <f t="shared" si="63"/>
        <v>89.16</v>
      </c>
      <c r="Q594" s="36"/>
      <c r="R594" s="36" t="s">
        <v>25</v>
      </c>
      <c r="S594" s="36" t="s">
        <v>1796</v>
      </c>
      <c r="T594" s="114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</row>
    <row r="595" ht="15.75" customHeight="1">
      <c r="A595" s="8" t="s">
        <v>20</v>
      </c>
      <c r="B595" s="36" t="s">
        <v>1797</v>
      </c>
      <c r="C595" s="36" t="s">
        <v>1798</v>
      </c>
      <c r="D595" s="36">
        <v>1.0</v>
      </c>
      <c r="E595" s="60" t="s">
        <v>1799</v>
      </c>
      <c r="F595" s="61">
        <v>1072.0</v>
      </c>
      <c r="G595" s="62">
        <v>45909.0</v>
      </c>
      <c r="H595" s="61">
        <v>260.0</v>
      </c>
      <c r="I595" s="63">
        <f t="shared" si="92"/>
        <v>263</v>
      </c>
      <c r="J595" s="63">
        <f t="shared" si="93"/>
        <v>273.52</v>
      </c>
      <c r="K595" s="61">
        <v>600.0</v>
      </c>
      <c r="L595" s="64">
        <v>12.0</v>
      </c>
      <c r="M595" s="61" t="s">
        <v>24</v>
      </c>
      <c r="N595" s="61" t="s">
        <v>25</v>
      </c>
      <c r="O595" s="36" t="s">
        <v>867</v>
      </c>
      <c r="P595" s="73">
        <f t="shared" si="63"/>
        <v>198.48</v>
      </c>
      <c r="Q595" s="36" t="s">
        <v>867</v>
      </c>
      <c r="R595" s="36" t="s">
        <v>25</v>
      </c>
      <c r="S595" s="36" t="s">
        <v>1800</v>
      </c>
      <c r="T595" s="114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</row>
    <row r="596" ht="15.75" customHeight="1">
      <c r="A596" s="8" t="s">
        <v>20</v>
      </c>
      <c r="B596" s="36" t="s">
        <v>1797</v>
      </c>
      <c r="C596" s="36" t="s">
        <v>1801</v>
      </c>
      <c r="D596" s="36">
        <v>1.0</v>
      </c>
      <c r="E596" s="60" t="s">
        <v>1802</v>
      </c>
      <c r="F596" s="61">
        <v>550.0</v>
      </c>
      <c r="G596" s="81">
        <v>45909.0</v>
      </c>
      <c r="H596" s="61">
        <v>464.14</v>
      </c>
      <c r="I596" s="63">
        <f t="shared" si="92"/>
        <v>469</v>
      </c>
      <c r="J596" s="63">
        <f t="shared" si="93"/>
        <v>487.76</v>
      </c>
      <c r="K596" s="61">
        <v>50.0</v>
      </c>
      <c r="L596" s="64">
        <v>1.0</v>
      </c>
      <c r="M596" s="61" t="s">
        <v>24</v>
      </c>
      <c r="N596" s="61" t="s">
        <v>25</v>
      </c>
      <c r="O596" s="36" t="s">
        <v>867</v>
      </c>
      <c r="P596" s="73">
        <f t="shared" si="63"/>
        <v>12.24</v>
      </c>
      <c r="Q596" s="36" t="s">
        <v>867</v>
      </c>
      <c r="R596" s="36" t="s">
        <v>25</v>
      </c>
      <c r="S596" s="128" t="s">
        <v>1803</v>
      </c>
      <c r="T596" s="114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</row>
    <row r="597" ht="15.75" customHeight="1">
      <c r="A597" s="8" t="s">
        <v>20</v>
      </c>
      <c r="B597" s="36" t="s">
        <v>571</v>
      </c>
      <c r="C597" s="36" t="s">
        <v>1804</v>
      </c>
      <c r="D597" s="36">
        <v>3.0</v>
      </c>
      <c r="E597" s="60" t="s">
        <v>1805</v>
      </c>
      <c r="F597" s="61">
        <v>150.0</v>
      </c>
      <c r="G597" s="62">
        <v>45909.0</v>
      </c>
      <c r="H597" s="61">
        <v>75.59</v>
      </c>
      <c r="I597" s="63">
        <f t="shared" si="92"/>
        <v>76</v>
      </c>
      <c r="J597" s="63">
        <f t="shared" si="93"/>
        <v>79.04</v>
      </c>
      <c r="K597" s="61">
        <v>50.0</v>
      </c>
      <c r="L597" s="64">
        <v>1.0</v>
      </c>
      <c r="M597" s="61" t="s">
        <v>24</v>
      </c>
      <c r="N597" s="61" t="s">
        <v>25</v>
      </c>
      <c r="O597" s="36" t="s">
        <v>1004</v>
      </c>
      <c r="P597" s="73">
        <f t="shared" si="63"/>
        <v>20.96</v>
      </c>
      <c r="Q597" s="36" t="s">
        <v>1004</v>
      </c>
      <c r="R597" s="36" t="s">
        <v>25</v>
      </c>
      <c r="S597" s="117" t="s">
        <v>1679</v>
      </c>
      <c r="T597" s="114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</row>
    <row r="598" ht="15.75" customHeight="1">
      <c r="A598" s="8" t="s">
        <v>20</v>
      </c>
      <c r="B598" s="36" t="s">
        <v>1593</v>
      </c>
      <c r="C598" s="36" t="s">
        <v>1806</v>
      </c>
      <c r="D598" s="36">
        <v>3.0</v>
      </c>
      <c r="E598" s="60" t="s">
        <v>1807</v>
      </c>
      <c r="F598" s="61">
        <v>980.0</v>
      </c>
      <c r="G598" s="62">
        <v>45909.0</v>
      </c>
      <c r="H598" s="61">
        <v>479.88</v>
      </c>
      <c r="I598" s="63">
        <f t="shared" si="92"/>
        <v>485</v>
      </c>
      <c r="J598" s="63">
        <f t="shared" si="93"/>
        <v>504.4</v>
      </c>
      <c r="K598" s="61">
        <v>200.0</v>
      </c>
      <c r="L598" s="64">
        <v>4.0</v>
      </c>
      <c r="M598" s="61" t="s">
        <v>24</v>
      </c>
      <c r="N598" s="61" t="s">
        <v>25</v>
      </c>
      <c r="O598" s="36" t="s">
        <v>867</v>
      </c>
      <c r="P598" s="73">
        <f t="shared" si="63"/>
        <v>275.6</v>
      </c>
      <c r="Q598" s="36" t="s">
        <v>867</v>
      </c>
      <c r="R598" s="36" t="s">
        <v>25</v>
      </c>
      <c r="S598" s="125" t="s">
        <v>1808</v>
      </c>
      <c r="T598" s="114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</row>
    <row r="599" ht="15.75" customHeight="1">
      <c r="A599" s="8" t="s">
        <v>20</v>
      </c>
      <c r="B599" s="36" t="s">
        <v>1797</v>
      </c>
      <c r="C599" s="36" t="s">
        <v>1809</v>
      </c>
      <c r="D599" s="36">
        <v>2.0</v>
      </c>
      <c r="E599" s="115" t="s">
        <v>1810</v>
      </c>
      <c r="F599" s="61">
        <v>6450.0</v>
      </c>
      <c r="G599" s="62">
        <v>45910.0</v>
      </c>
      <c r="H599" s="61">
        <f>4745.62+191.8</f>
        <v>4937.42</v>
      </c>
      <c r="I599" s="63">
        <f t="shared" si="92"/>
        <v>4987</v>
      </c>
      <c r="J599" s="63">
        <f t="shared" si="93"/>
        <v>5186.48</v>
      </c>
      <c r="K599" s="61">
        <v>850.0</v>
      </c>
      <c r="L599" s="64">
        <v>17.0</v>
      </c>
      <c r="M599" s="61" t="s">
        <v>24</v>
      </c>
      <c r="N599" s="61" t="s">
        <v>25</v>
      </c>
      <c r="O599" s="36" t="s">
        <v>867</v>
      </c>
      <c r="P599" s="73">
        <f t="shared" si="63"/>
        <v>413.52</v>
      </c>
      <c r="Q599" s="36" t="s">
        <v>867</v>
      </c>
      <c r="R599" s="36" t="s">
        <v>25</v>
      </c>
      <c r="S599" s="117" t="s">
        <v>1811</v>
      </c>
      <c r="T599" s="114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</row>
    <row r="600" ht="15.75" customHeight="1">
      <c r="A600" s="8" t="s">
        <v>20</v>
      </c>
      <c r="B600" s="36" t="s">
        <v>1797</v>
      </c>
      <c r="C600" s="36" t="s">
        <v>1812</v>
      </c>
      <c r="D600" s="36">
        <v>1.0</v>
      </c>
      <c r="E600" s="60" t="s">
        <v>1813</v>
      </c>
      <c r="F600" s="61">
        <v>3500.0</v>
      </c>
      <c r="G600" s="62">
        <v>45910.0</v>
      </c>
      <c r="H600" s="61">
        <v>2420.27</v>
      </c>
      <c r="I600" s="63">
        <f t="shared" si="92"/>
        <v>2444</v>
      </c>
      <c r="J600" s="63">
        <f t="shared" si="93"/>
        <v>2541.76</v>
      </c>
      <c r="K600" s="61">
        <v>400.0</v>
      </c>
      <c r="L600" s="64">
        <v>8.0</v>
      </c>
      <c r="M600" s="61" t="s">
        <v>24</v>
      </c>
      <c r="N600" s="61" t="s">
        <v>25</v>
      </c>
      <c r="O600" s="36" t="s">
        <v>867</v>
      </c>
      <c r="P600" s="73">
        <f t="shared" si="63"/>
        <v>558.24</v>
      </c>
      <c r="Q600" s="36" t="s">
        <v>867</v>
      </c>
      <c r="R600" s="36" t="s">
        <v>25</v>
      </c>
      <c r="S600" s="117" t="s">
        <v>1814</v>
      </c>
      <c r="T600" s="114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</row>
    <row r="601" ht="15.75" customHeight="1">
      <c r="A601" s="8" t="s">
        <v>20</v>
      </c>
      <c r="B601" s="36" t="s">
        <v>67</v>
      </c>
      <c r="C601" s="36" t="s">
        <v>1815</v>
      </c>
      <c r="D601" s="36">
        <v>1.0</v>
      </c>
      <c r="E601" s="60" t="s">
        <v>1816</v>
      </c>
      <c r="F601" s="61">
        <v>500.0</v>
      </c>
      <c r="G601" s="62">
        <v>45911.0</v>
      </c>
      <c r="H601" s="61">
        <v>106.99</v>
      </c>
      <c r="I601" s="63">
        <f t="shared" si="92"/>
        <v>108</v>
      </c>
      <c r="J601" s="63">
        <f t="shared" si="93"/>
        <v>112.32</v>
      </c>
      <c r="K601" s="61">
        <v>300.0</v>
      </c>
      <c r="L601" s="64">
        <v>6.0</v>
      </c>
      <c r="M601" s="61" t="s">
        <v>24</v>
      </c>
      <c r="N601" s="61" t="s">
        <v>25</v>
      </c>
      <c r="O601" s="36" t="s">
        <v>867</v>
      </c>
      <c r="P601" s="73">
        <f t="shared" si="63"/>
        <v>87.68</v>
      </c>
      <c r="Q601" s="36" t="s">
        <v>867</v>
      </c>
      <c r="R601" s="36" t="s">
        <v>25</v>
      </c>
      <c r="S601" s="36" t="s">
        <v>1817</v>
      </c>
      <c r="T601" s="114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</row>
    <row r="602" ht="15.75" customHeight="1">
      <c r="A602" s="8" t="s">
        <v>20</v>
      </c>
      <c r="B602" s="36" t="s">
        <v>1818</v>
      </c>
      <c r="C602" s="36" t="s">
        <v>1819</v>
      </c>
      <c r="D602" s="36">
        <v>1.0</v>
      </c>
      <c r="E602" s="114"/>
      <c r="F602" s="61">
        <v>2400.0</v>
      </c>
      <c r="G602" s="62">
        <v>45915.0</v>
      </c>
      <c r="H602" s="61">
        <v>1499.35</v>
      </c>
      <c r="I602" s="63">
        <f t="shared" si="92"/>
        <v>1514</v>
      </c>
      <c r="J602" s="63">
        <f t="shared" si="93"/>
        <v>1574.56</v>
      </c>
      <c r="K602" s="61">
        <v>350.0</v>
      </c>
      <c r="L602" s="64">
        <v>7.0</v>
      </c>
      <c r="M602" s="61" t="s">
        <v>24</v>
      </c>
      <c r="N602" s="61" t="s">
        <v>25</v>
      </c>
      <c r="O602" s="36" t="s">
        <v>1004</v>
      </c>
      <c r="P602" s="73">
        <f t="shared" si="63"/>
        <v>475.44</v>
      </c>
      <c r="Q602" s="36" t="s">
        <v>1004</v>
      </c>
      <c r="R602" s="36" t="s">
        <v>25</v>
      </c>
      <c r="S602" s="36" t="s">
        <v>1820</v>
      </c>
      <c r="T602" s="114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</row>
    <row r="603" ht="15.75" customHeight="1">
      <c r="A603" s="8" t="s">
        <v>20</v>
      </c>
      <c r="B603" s="36" t="s">
        <v>1821</v>
      </c>
      <c r="C603" s="36" t="s">
        <v>1822</v>
      </c>
      <c r="D603" s="36">
        <v>1.0</v>
      </c>
      <c r="E603" s="60" t="s">
        <v>1823</v>
      </c>
      <c r="F603" s="98">
        <v>4900.0</v>
      </c>
      <c r="G603" s="118"/>
      <c r="H603" s="61">
        <v>3036.0</v>
      </c>
      <c r="I603" s="63">
        <f t="shared" si="92"/>
        <v>3066</v>
      </c>
      <c r="J603" s="63">
        <f t="shared" si="93"/>
        <v>3188.64</v>
      </c>
      <c r="K603" s="61">
        <v>950.0</v>
      </c>
      <c r="L603" s="64">
        <v>19.0</v>
      </c>
      <c r="M603" s="61" t="s">
        <v>24</v>
      </c>
      <c r="N603" s="61" t="s">
        <v>25</v>
      </c>
      <c r="O603" s="36" t="s">
        <v>867</v>
      </c>
      <c r="P603" s="73">
        <f t="shared" si="63"/>
        <v>761.36</v>
      </c>
      <c r="Q603" s="36" t="s">
        <v>1004</v>
      </c>
      <c r="R603" s="36" t="s">
        <v>25</v>
      </c>
      <c r="S603" s="117" t="s">
        <v>1824</v>
      </c>
      <c r="T603" s="114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</row>
    <row r="604" ht="15.75" customHeight="1">
      <c r="A604" s="8" t="s">
        <v>20</v>
      </c>
      <c r="B604" s="36" t="s">
        <v>1825</v>
      </c>
      <c r="C604" s="36" t="s">
        <v>1826</v>
      </c>
      <c r="D604" s="36">
        <v>1.0</v>
      </c>
      <c r="E604" s="114"/>
      <c r="F604" s="61">
        <v>7600.0</v>
      </c>
      <c r="G604" s="62">
        <v>45916.0</v>
      </c>
      <c r="H604" s="61">
        <v>2868.16</v>
      </c>
      <c r="I604" s="63">
        <f t="shared" si="92"/>
        <v>2897</v>
      </c>
      <c r="J604" s="63">
        <f t="shared" si="93"/>
        <v>3012.88</v>
      </c>
      <c r="K604" s="61">
        <v>2650.0</v>
      </c>
      <c r="L604" s="64">
        <v>53.0</v>
      </c>
      <c r="M604" s="61" t="s">
        <v>24</v>
      </c>
      <c r="N604" s="61" t="s">
        <v>25</v>
      </c>
      <c r="O604" s="36" t="s">
        <v>1004</v>
      </c>
      <c r="P604" s="73">
        <f t="shared" si="63"/>
        <v>1937.12</v>
      </c>
      <c r="Q604" s="36" t="s">
        <v>1004</v>
      </c>
      <c r="R604" s="36" t="s">
        <v>25</v>
      </c>
      <c r="S604" s="117" t="s">
        <v>1827</v>
      </c>
      <c r="T604" s="114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</row>
    <row r="605" ht="15.75" customHeight="1">
      <c r="A605" s="8" t="s">
        <v>20</v>
      </c>
      <c r="B605" s="36" t="s">
        <v>1825</v>
      </c>
      <c r="C605" s="36" t="s">
        <v>1828</v>
      </c>
      <c r="D605" s="36">
        <v>1.0</v>
      </c>
      <c r="E605" s="114"/>
      <c r="F605" s="61">
        <v>400.0</v>
      </c>
      <c r="G605" s="62">
        <v>45916.0</v>
      </c>
      <c r="H605" s="61">
        <v>206.95</v>
      </c>
      <c r="I605" s="63">
        <f t="shared" si="92"/>
        <v>209</v>
      </c>
      <c r="J605" s="63">
        <f t="shared" si="93"/>
        <v>217.36</v>
      </c>
      <c r="K605" s="61">
        <v>100.0</v>
      </c>
      <c r="L605" s="64">
        <v>2.0</v>
      </c>
      <c r="M605" s="61" t="s">
        <v>24</v>
      </c>
      <c r="N605" s="61" t="s">
        <v>25</v>
      </c>
      <c r="O605" s="36" t="s">
        <v>1004</v>
      </c>
      <c r="P605" s="73">
        <f t="shared" si="63"/>
        <v>82.64</v>
      </c>
      <c r="Q605" s="36" t="s">
        <v>1004</v>
      </c>
      <c r="R605" s="36" t="s">
        <v>25</v>
      </c>
      <c r="S605" s="36" t="s">
        <v>1829</v>
      </c>
      <c r="T605" s="114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</row>
    <row r="606" ht="15.75" customHeight="1">
      <c r="A606" s="8" t="s">
        <v>20</v>
      </c>
      <c r="B606" s="36" t="s">
        <v>1593</v>
      </c>
      <c r="C606" s="36" t="s">
        <v>1830</v>
      </c>
      <c r="D606" s="36">
        <v>2.0</v>
      </c>
      <c r="E606" s="60" t="s">
        <v>1831</v>
      </c>
      <c r="F606" s="61">
        <v>430.0</v>
      </c>
      <c r="G606" s="62">
        <v>45917.0</v>
      </c>
      <c r="H606" s="61">
        <v>287.98</v>
      </c>
      <c r="I606" s="63">
        <f t="shared" si="92"/>
        <v>291</v>
      </c>
      <c r="J606" s="63">
        <f t="shared" si="93"/>
        <v>302.64</v>
      </c>
      <c r="K606" s="61">
        <v>25.0</v>
      </c>
      <c r="L606" s="64">
        <v>0.5</v>
      </c>
      <c r="M606" s="61" t="s">
        <v>24</v>
      </c>
      <c r="N606" s="61" t="s">
        <v>25</v>
      </c>
      <c r="O606" s="36" t="s">
        <v>867</v>
      </c>
      <c r="P606" s="73">
        <f t="shared" si="63"/>
        <v>102.36</v>
      </c>
      <c r="Q606" s="36" t="s">
        <v>867</v>
      </c>
      <c r="R606" s="36" t="s">
        <v>25</v>
      </c>
      <c r="S606" s="36" t="s">
        <v>1832</v>
      </c>
      <c r="T606" s="114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</row>
    <row r="607" ht="15.75" customHeight="1">
      <c r="A607" s="8" t="s">
        <v>20</v>
      </c>
      <c r="B607" s="36" t="s">
        <v>1833</v>
      </c>
      <c r="C607" s="36" t="s">
        <v>1834</v>
      </c>
      <c r="D607" s="36">
        <v>1.0</v>
      </c>
      <c r="E607" s="60" t="s">
        <v>1835</v>
      </c>
      <c r="F607" s="61">
        <v>0.0</v>
      </c>
      <c r="G607" s="62">
        <v>45918.0</v>
      </c>
      <c r="H607" s="61">
        <v>130.99</v>
      </c>
      <c r="I607" s="61">
        <v>130.99</v>
      </c>
      <c r="J607" s="61">
        <v>130.99</v>
      </c>
      <c r="K607" s="61">
        <v>25.0</v>
      </c>
      <c r="L607" s="64">
        <v>0.5</v>
      </c>
      <c r="M607" s="61" t="s">
        <v>24</v>
      </c>
      <c r="N607" s="61" t="s">
        <v>25</v>
      </c>
      <c r="O607" s="36" t="s">
        <v>867</v>
      </c>
      <c r="P607" s="73">
        <f t="shared" si="63"/>
        <v>-155.99</v>
      </c>
      <c r="Q607" s="36"/>
      <c r="R607" s="36" t="s">
        <v>25</v>
      </c>
      <c r="S607" s="36" t="s">
        <v>1832</v>
      </c>
      <c r="T607" s="3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</row>
    <row r="608" ht="15.75" customHeight="1">
      <c r="A608" s="8" t="s">
        <v>20</v>
      </c>
      <c r="B608" s="36" t="s">
        <v>1836</v>
      </c>
      <c r="C608" s="36" t="s">
        <v>1837</v>
      </c>
      <c r="D608" s="36">
        <v>1.0</v>
      </c>
      <c r="E608" s="60" t="s">
        <v>1838</v>
      </c>
      <c r="F608" s="61">
        <v>1000.0</v>
      </c>
      <c r="G608" s="62">
        <v>45918.0</v>
      </c>
      <c r="H608" s="61">
        <v>356.99</v>
      </c>
      <c r="I608" s="63">
        <f>ROUND(H608+H608*0.01,0)</f>
        <v>361</v>
      </c>
      <c r="J608" s="63">
        <f>I608+(I608*0.04)</f>
        <v>375.44</v>
      </c>
      <c r="K608" s="61">
        <v>400.0</v>
      </c>
      <c r="L608" s="64">
        <v>8.0</v>
      </c>
      <c r="M608" s="61" t="s">
        <v>24</v>
      </c>
      <c r="N608" s="61" t="s">
        <v>25</v>
      </c>
      <c r="O608" s="36" t="s">
        <v>1004</v>
      </c>
      <c r="P608" s="73">
        <f t="shared" si="63"/>
        <v>224.56</v>
      </c>
      <c r="Q608" s="36" t="s">
        <v>1004</v>
      </c>
      <c r="R608" s="36" t="s">
        <v>25</v>
      </c>
      <c r="S608" s="36" t="s">
        <v>1839</v>
      </c>
      <c r="T608" s="114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</row>
    <row r="609" ht="15.75" customHeight="1">
      <c r="A609" s="8" t="s">
        <v>20</v>
      </c>
      <c r="B609" s="36" t="s">
        <v>657</v>
      </c>
      <c r="C609" s="36" t="s">
        <v>1484</v>
      </c>
      <c r="D609" s="36">
        <v>4.0</v>
      </c>
      <c r="E609" s="36" t="s">
        <v>1840</v>
      </c>
      <c r="F609" s="61">
        <v>0.0</v>
      </c>
      <c r="G609" s="62">
        <v>45918.0</v>
      </c>
      <c r="H609" s="61">
        <v>0.0</v>
      </c>
      <c r="I609" s="116">
        <v>0.0</v>
      </c>
      <c r="J609" s="116">
        <v>0.0</v>
      </c>
      <c r="K609" s="113"/>
      <c r="L609" s="123"/>
      <c r="M609" s="61" t="s">
        <v>24</v>
      </c>
      <c r="N609" s="61" t="s">
        <v>25</v>
      </c>
      <c r="O609" s="36" t="s">
        <v>867</v>
      </c>
      <c r="P609" s="73">
        <f t="shared" si="63"/>
        <v>0</v>
      </c>
      <c r="Q609" s="36"/>
      <c r="R609" s="36" t="s">
        <v>25</v>
      </c>
      <c r="S609" s="127" t="s">
        <v>1693</v>
      </c>
      <c r="T609" s="114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</row>
    <row r="610" ht="15.75" customHeight="1">
      <c r="A610" s="8" t="s">
        <v>20</v>
      </c>
      <c r="B610" s="36" t="s">
        <v>657</v>
      </c>
      <c r="C610" s="36" t="s">
        <v>1841</v>
      </c>
      <c r="D610" s="36">
        <v>1.0</v>
      </c>
      <c r="E610" s="60" t="s">
        <v>1842</v>
      </c>
      <c r="F610" s="61">
        <v>395.0</v>
      </c>
      <c r="G610" s="62">
        <v>45918.0</v>
      </c>
      <c r="H610" s="61">
        <v>75.0</v>
      </c>
      <c r="I610" s="63">
        <f t="shared" ref="I610:I613" si="94">ROUND(H610+H610*0.01,0)</f>
        <v>76</v>
      </c>
      <c r="J610" s="63">
        <f t="shared" ref="J610:J613" si="95">I610+(I610*0.04)</f>
        <v>79.04</v>
      </c>
      <c r="K610" s="61">
        <v>250.0</v>
      </c>
      <c r="L610" s="64">
        <v>5.0</v>
      </c>
      <c r="M610" s="61" t="s">
        <v>24</v>
      </c>
      <c r="N610" s="61" t="s">
        <v>25</v>
      </c>
      <c r="O610" s="36" t="s">
        <v>867</v>
      </c>
      <c r="P610" s="73">
        <f t="shared" si="63"/>
        <v>65.96</v>
      </c>
      <c r="Q610" s="36" t="s">
        <v>1004</v>
      </c>
      <c r="R610" s="36" t="s">
        <v>25</v>
      </c>
      <c r="S610" s="36" t="s">
        <v>1843</v>
      </c>
      <c r="T610" s="114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</row>
    <row r="611" ht="15.75" customHeight="1">
      <c r="A611" s="8" t="s">
        <v>20</v>
      </c>
      <c r="B611" s="36" t="s">
        <v>657</v>
      </c>
      <c r="C611" s="36" t="s">
        <v>1844</v>
      </c>
      <c r="D611" s="36">
        <v>1.0</v>
      </c>
      <c r="E611" s="60" t="s">
        <v>1845</v>
      </c>
      <c r="F611" s="61">
        <v>685.0</v>
      </c>
      <c r="G611" s="62">
        <v>45919.0</v>
      </c>
      <c r="H611" s="61">
        <v>400.0</v>
      </c>
      <c r="I611" s="63">
        <f t="shared" si="94"/>
        <v>404</v>
      </c>
      <c r="J611" s="63">
        <f t="shared" si="95"/>
        <v>420.16</v>
      </c>
      <c r="K611" s="61">
        <v>150.0</v>
      </c>
      <c r="L611" s="64">
        <v>3.0</v>
      </c>
      <c r="M611" s="61" t="s">
        <v>24</v>
      </c>
      <c r="N611" s="61" t="s">
        <v>25</v>
      </c>
      <c r="O611" s="36" t="s">
        <v>867</v>
      </c>
      <c r="P611" s="73">
        <f t="shared" si="63"/>
        <v>114.84</v>
      </c>
      <c r="Q611" s="36" t="s">
        <v>1004</v>
      </c>
      <c r="R611" s="36" t="s">
        <v>25</v>
      </c>
      <c r="S611" s="36" t="s">
        <v>1846</v>
      </c>
      <c r="T611" s="114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</row>
    <row r="612" ht="15.75" customHeight="1">
      <c r="A612" s="8" t="s">
        <v>20</v>
      </c>
      <c r="B612" s="36" t="s">
        <v>657</v>
      </c>
      <c r="C612" s="36" t="s">
        <v>1847</v>
      </c>
      <c r="D612" s="36">
        <v>1.0</v>
      </c>
      <c r="E612" s="60" t="s">
        <v>1848</v>
      </c>
      <c r="F612" s="61">
        <v>100.0</v>
      </c>
      <c r="G612" s="62">
        <v>45919.0</v>
      </c>
      <c r="H612" s="61">
        <v>28.99</v>
      </c>
      <c r="I612" s="63">
        <f t="shared" si="94"/>
        <v>29</v>
      </c>
      <c r="J612" s="63">
        <f t="shared" si="95"/>
        <v>30.16</v>
      </c>
      <c r="K612" s="61">
        <v>50.0</v>
      </c>
      <c r="L612" s="64">
        <v>1.0</v>
      </c>
      <c r="M612" s="61" t="s">
        <v>24</v>
      </c>
      <c r="N612" s="61" t="s">
        <v>25</v>
      </c>
      <c r="O612" s="36" t="s">
        <v>867</v>
      </c>
      <c r="P612" s="73">
        <f t="shared" si="63"/>
        <v>19.84</v>
      </c>
      <c r="Q612" s="36" t="s">
        <v>1004</v>
      </c>
      <c r="R612" s="36" t="s">
        <v>25</v>
      </c>
      <c r="S612" s="36" t="s">
        <v>1849</v>
      </c>
      <c r="T612" s="114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</row>
    <row r="613" ht="15.75" customHeight="1">
      <c r="A613" s="8" t="s">
        <v>20</v>
      </c>
      <c r="B613" s="36" t="s">
        <v>657</v>
      </c>
      <c r="C613" s="36" t="s">
        <v>1194</v>
      </c>
      <c r="D613" s="36">
        <v>1.0</v>
      </c>
      <c r="E613" s="115" t="s">
        <v>1850</v>
      </c>
      <c r="F613" s="61">
        <v>967.0</v>
      </c>
      <c r="G613" s="62">
        <v>45919.0</v>
      </c>
      <c r="H613" s="61">
        <v>720.0</v>
      </c>
      <c r="I613" s="63">
        <f t="shared" si="94"/>
        <v>727</v>
      </c>
      <c r="J613" s="63">
        <f t="shared" si="95"/>
        <v>756.08</v>
      </c>
      <c r="K613" s="61">
        <v>50.0</v>
      </c>
      <c r="L613" s="64">
        <v>1.0</v>
      </c>
      <c r="M613" s="61" t="s">
        <v>24</v>
      </c>
      <c r="N613" s="61" t="s">
        <v>25</v>
      </c>
      <c r="O613" s="36" t="s">
        <v>867</v>
      </c>
      <c r="P613" s="73">
        <f t="shared" si="63"/>
        <v>160.92</v>
      </c>
      <c r="Q613" s="36" t="s">
        <v>1004</v>
      </c>
      <c r="R613" s="36" t="s">
        <v>25</v>
      </c>
      <c r="S613" s="117" t="s">
        <v>1851</v>
      </c>
      <c r="T613" s="114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</row>
    <row r="614" ht="15.75" customHeight="1">
      <c r="A614" s="8" t="s">
        <v>20</v>
      </c>
      <c r="B614" s="36" t="s">
        <v>1852</v>
      </c>
      <c r="C614" s="36" t="s">
        <v>1853</v>
      </c>
      <c r="D614" s="36">
        <v>1.0</v>
      </c>
      <c r="E614" s="129" t="s">
        <v>1854</v>
      </c>
      <c r="F614" s="61">
        <v>1523.5</v>
      </c>
      <c r="G614" s="118"/>
      <c r="H614" s="61">
        <v>1523.5</v>
      </c>
      <c r="I614" s="116">
        <v>1523.5</v>
      </c>
      <c r="J614" s="116">
        <v>1523.5</v>
      </c>
      <c r="K614" s="61">
        <v>0.0</v>
      </c>
      <c r="L614" s="64">
        <v>0.0</v>
      </c>
      <c r="M614" s="61" t="s">
        <v>24</v>
      </c>
      <c r="N614" s="61" t="s">
        <v>25</v>
      </c>
      <c r="O614" s="36" t="s">
        <v>1004</v>
      </c>
      <c r="P614" s="73">
        <f t="shared" si="63"/>
        <v>0</v>
      </c>
      <c r="Q614" s="36"/>
      <c r="R614" s="36" t="s">
        <v>25</v>
      </c>
      <c r="S614" s="36" t="s">
        <v>24</v>
      </c>
      <c r="T614" s="114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</row>
    <row r="615" ht="15.75" customHeight="1">
      <c r="A615" s="8" t="s">
        <v>20</v>
      </c>
      <c r="B615" s="36" t="s">
        <v>1855</v>
      </c>
      <c r="C615" s="36" t="s">
        <v>1856</v>
      </c>
      <c r="D615" s="36">
        <v>1.0</v>
      </c>
      <c r="E615" s="129" t="s">
        <v>1857</v>
      </c>
      <c r="F615" s="61">
        <v>2600.0</v>
      </c>
      <c r="G615" s="118"/>
      <c r="H615" s="61">
        <v>1293.86</v>
      </c>
      <c r="I615" s="63">
        <f t="shared" ref="I615:I623" si="96">ROUND(H615+H615*0.01,0)</f>
        <v>1307</v>
      </c>
      <c r="J615" s="63">
        <f t="shared" ref="J615:J621" si="97">I615+(I615*0.04)</f>
        <v>1359.28</v>
      </c>
      <c r="K615" s="61">
        <v>232.0</v>
      </c>
      <c r="L615" s="130" t="s">
        <v>65</v>
      </c>
      <c r="M615" s="61" t="s">
        <v>24</v>
      </c>
      <c r="N615" s="61" t="s">
        <v>25</v>
      </c>
      <c r="O615" s="36" t="s">
        <v>1004</v>
      </c>
      <c r="P615" s="73">
        <f t="shared" si="63"/>
        <v>1008.72</v>
      </c>
      <c r="Q615" s="36"/>
      <c r="R615" s="36" t="s">
        <v>25</v>
      </c>
      <c r="S615" s="36" t="s">
        <v>24</v>
      </c>
      <c r="T615" s="114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</row>
    <row r="616" ht="15.75" customHeight="1">
      <c r="A616" s="8" t="s">
        <v>20</v>
      </c>
      <c r="B616" s="36" t="s">
        <v>1858</v>
      </c>
      <c r="C616" s="36" t="s">
        <v>1853</v>
      </c>
      <c r="D616" s="36">
        <v>1.0</v>
      </c>
      <c r="E616" s="129" t="s">
        <v>1859</v>
      </c>
      <c r="F616" s="61">
        <v>2450.0</v>
      </c>
      <c r="G616" s="118"/>
      <c r="H616" s="61">
        <v>1525.5</v>
      </c>
      <c r="I616" s="63">
        <f t="shared" si="96"/>
        <v>1541</v>
      </c>
      <c r="J616" s="63">
        <f t="shared" si="97"/>
        <v>1602.64</v>
      </c>
      <c r="K616" s="61">
        <v>175.0</v>
      </c>
      <c r="L616" s="130" t="s">
        <v>65</v>
      </c>
      <c r="M616" s="61" t="s">
        <v>24</v>
      </c>
      <c r="N616" s="61" t="s">
        <v>25</v>
      </c>
      <c r="O616" s="36" t="s">
        <v>1004</v>
      </c>
      <c r="P616" s="73">
        <f t="shared" si="63"/>
        <v>672.36</v>
      </c>
      <c r="Q616" s="36"/>
      <c r="R616" s="36" t="s">
        <v>25</v>
      </c>
      <c r="S616" s="36" t="s">
        <v>24</v>
      </c>
      <c r="T616" s="114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</row>
    <row r="617" ht="15.75" customHeight="1">
      <c r="A617" s="8" t="s">
        <v>20</v>
      </c>
      <c r="B617" s="36" t="s">
        <v>1860</v>
      </c>
      <c r="C617" s="36" t="s">
        <v>1861</v>
      </c>
      <c r="D617" s="36">
        <v>2.0</v>
      </c>
      <c r="E617" s="115" t="s">
        <v>1862</v>
      </c>
      <c r="F617" s="61">
        <v>10700.0</v>
      </c>
      <c r="G617" s="62">
        <v>45922.0</v>
      </c>
      <c r="H617" s="61">
        <v>5401.36</v>
      </c>
      <c r="I617" s="63">
        <f t="shared" si="96"/>
        <v>5455</v>
      </c>
      <c r="J617" s="63">
        <f t="shared" si="97"/>
        <v>5673.2</v>
      </c>
      <c r="K617" s="61">
        <v>2700.0</v>
      </c>
      <c r="L617" s="64">
        <v>54.0</v>
      </c>
      <c r="M617" s="61" t="s">
        <v>24</v>
      </c>
      <c r="N617" s="61" t="s">
        <v>25</v>
      </c>
      <c r="O617" s="36" t="s">
        <v>867</v>
      </c>
      <c r="P617" s="73">
        <f t="shared" si="63"/>
        <v>2326.8</v>
      </c>
      <c r="Q617" s="36" t="s">
        <v>867</v>
      </c>
      <c r="R617" s="36" t="s">
        <v>25</v>
      </c>
      <c r="S617" s="117" t="s">
        <v>1863</v>
      </c>
      <c r="T617" s="114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</row>
    <row r="618" ht="15.75" customHeight="1">
      <c r="A618" s="8" t="s">
        <v>20</v>
      </c>
      <c r="B618" s="36" t="s">
        <v>179</v>
      </c>
      <c r="C618" s="36" t="s">
        <v>1864</v>
      </c>
      <c r="D618" s="36">
        <v>1.0</v>
      </c>
      <c r="E618" s="114"/>
      <c r="F618" s="61">
        <v>2450.0</v>
      </c>
      <c r="G618" s="62">
        <v>45923.0</v>
      </c>
      <c r="H618" s="61">
        <v>1817.93</v>
      </c>
      <c r="I618" s="63">
        <f t="shared" si="96"/>
        <v>1836</v>
      </c>
      <c r="J618" s="63">
        <f t="shared" si="97"/>
        <v>1909.44</v>
      </c>
      <c r="K618" s="61">
        <v>150.0</v>
      </c>
      <c r="L618" s="64">
        <v>3.0</v>
      </c>
      <c r="M618" s="61" t="s">
        <v>24</v>
      </c>
      <c r="N618" s="61" t="s">
        <v>25</v>
      </c>
      <c r="O618" s="36" t="s">
        <v>1004</v>
      </c>
      <c r="P618" s="73">
        <f t="shared" si="63"/>
        <v>390.56</v>
      </c>
      <c r="Q618" s="36" t="s">
        <v>1004</v>
      </c>
      <c r="R618" s="36" t="s">
        <v>25</v>
      </c>
      <c r="S618" s="36" t="s">
        <v>1865</v>
      </c>
      <c r="T618" s="114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</row>
    <row r="619" ht="15.75" customHeight="1">
      <c r="A619" s="8" t="s">
        <v>20</v>
      </c>
      <c r="B619" s="36" t="s">
        <v>67</v>
      </c>
      <c r="C619" s="36" t="s">
        <v>1866</v>
      </c>
      <c r="D619" s="36">
        <v>2.0</v>
      </c>
      <c r="E619" s="60" t="s">
        <v>1867</v>
      </c>
      <c r="F619" s="61">
        <v>215.0</v>
      </c>
      <c r="G619" s="62">
        <v>45922.0</v>
      </c>
      <c r="H619" s="61">
        <v>81.65</v>
      </c>
      <c r="I619" s="63">
        <f t="shared" si="96"/>
        <v>82</v>
      </c>
      <c r="J619" s="63">
        <f t="shared" si="97"/>
        <v>85.28</v>
      </c>
      <c r="K619" s="61">
        <v>50.0</v>
      </c>
      <c r="L619" s="64">
        <v>1.0</v>
      </c>
      <c r="M619" s="61" t="s">
        <v>24</v>
      </c>
      <c r="N619" s="61" t="s">
        <v>25</v>
      </c>
      <c r="O619" s="36" t="s">
        <v>867</v>
      </c>
      <c r="P619" s="73">
        <f t="shared" si="63"/>
        <v>79.72</v>
      </c>
      <c r="Q619" s="36" t="s">
        <v>867</v>
      </c>
      <c r="R619" s="36" t="s">
        <v>25</v>
      </c>
      <c r="S619" s="36" t="s">
        <v>1868</v>
      </c>
      <c r="T619" s="114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</row>
    <row r="620" ht="15.75" customHeight="1">
      <c r="A620" s="8" t="s">
        <v>20</v>
      </c>
      <c r="B620" s="36" t="s">
        <v>1836</v>
      </c>
      <c r="C620" s="36" t="s">
        <v>1869</v>
      </c>
      <c r="D620" s="36">
        <v>1.0</v>
      </c>
      <c r="E620" s="60" t="s">
        <v>1870</v>
      </c>
      <c r="F620" s="61">
        <v>560.0</v>
      </c>
      <c r="G620" s="62">
        <v>45923.0</v>
      </c>
      <c r="H620" s="61">
        <v>399.99</v>
      </c>
      <c r="I620" s="63">
        <f t="shared" si="96"/>
        <v>404</v>
      </c>
      <c r="J620" s="63">
        <f t="shared" si="97"/>
        <v>420.16</v>
      </c>
      <c r="K620" s="61">
        <v>50.0</v>
      </c>
      <c r="L620" s="64">
        <v>1.0</v>
      </c>
      <c r="M620" s="61" t="s">
        <v>24</v>
      </c>
      <c r="N620" s="61" t="s">
        <v>25</v>
      </c>
      <c r="O620" s="36" t="s">
        <v>1004</v>
      </c>
      <c r="P620" s="73">
        <f t="shared" si="63"/>
        <v>89.84</v>
      </c>
      <c r="Q620" s="36" t="s">
        <v>1004</v>
      </c>
      <c r="R620" s="36" t="s">
        <v>25</v>
      </c>
      <c r="S620" s="36" t="s">
        <v>1871</v>
      </c>
      <c r="T620" s="114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</row>
    <row r="621" ht="15.75" customHeight="1">
      <c r="A621" s="8" t="s">
        <v>20</v>
      </c>
      <c r="B621" s="36" t="s">
        <v>1872</v>
      </c>
      <c r="C621" s="36" t="s">
        <v>1873</v>
      </c>
      <c r="D621" s="36">
        <v>2.0</v>
      </c>
      <c r="E621" s="115" t="s">
        <v>1874</v>
      </c>
      <c r="F621" s="61">
        <v>490.0</v>
      </c>
      <c r="G621" s="62">
        <v>45923.0</v>
      </c>
      <c r="H621" s="61">
        <v>282.75</v>
      </c>
      <c r="I621" s="63">
        <f t="shared" si="96"/>
        <v>286</v>
      </c>
      <c r="J621" s="63">
        <f t="shared" si="97"/>
        <v>297.44</v>
      </c>
      <c r="K621" s="61">
        <v>50.0</v>
      </c>
      <c r="L621" s="64">
        <v>1.0</v>
      </c>
      <c r="M621" s="61" t="s">
        <v>24</v>
      </c>
      <c r="N621" s="61" t="s">
        <v>25</v>
      </c>
      <c r="O621" s="36" t="s">
        <v>867</v>
      </c>
      <c r="P621" s="73">
        <f t="shared" si="63"/>
        <v>142.56</v>
      </c>
      <c r="Q621" s="36" t="s">
        <v>867</v>
      </c>
      <c r="R621" s="36" t="s">
        <v>25</v>
      </c>
      <c r="S621" s="36" t="s">
        <v>1875</v>
      </c>
      <c r="T621" s="114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</row>
    <row r="622" ht="15.75" customHeight="1">
      <c r="A622" s="8" t="s">
        <v>20</v>
      </c>
      <c r="B622" s="36" t="s">
        <v>1860</v>
      </c>
      <c r="C622" s="36" t="s">
        <v>1876</v>
      </c>
      <c r="D622" s="36">
        <v>2.0</v>
      </c>
      <c r="E622" s="115" t="s">
        <v>1877</v>
      </c>
      <c r="F622" s="61">
        <v>8080.0</v>
      </c>
      <c r="G622" s="118"/>
      <c r="H622" s="61">
        <v>5841.23</v>
      </c>
      <c r="I622" s="63">
        <f t="shared" si="96"/>
        <v>5900</v>
      </c>
      <c r="J622" s="63">
        <f>I622+(I622*0.04)+164.94</f>
        <v>6300.94</v>
      </c>
      <c r="K622" s="61">
        <v>1050.0</v>
      </c>
      <c r="L622" s="64">
        <v>21.0</v>
      </c>
      <c r="M622" s="61" t="s">
        <v>24</v>
      </c>
      <c r="N622" s="61" t="s">
        <v>25</v>
      </c>
      <c r="O622" s="36" t="s">
        <v>867</v>
      </c>
      <c r="P622" s="73">
        <f t="shared" si="63"/>
        <v>729.06</v>
      </c>
      <c r="Q622" s="36" t="s">
        <v>867</v>
      </c>
      <c r="R622" s="36" t="s">
        <v>25</v>
      </c>
      <c r="S622" s="117" t="s">
        <v>1878</v>
      </c>
      <c r="T622" s="114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</row>
    <row r="623" ht="15.75" customHeight="1">
      <c r="A623" s="8" t="s">
        <v>20</v>
      </c>
      <c r="B623" s="36" t="s">
        <v>1860</v>
      </c>
      <c r="C623" s="36" t="s">
        <v>1879</v>
      </c>
      <c r="D623" s="36">
        <v>1.0</v>
      </c>
      <c r="E623" s="36" t="s">
        <v>1880</v>
      </c>
      <c r="F623" s="61">
        <v>2274.0</v>
      </c>
      <c r="G623" s="62">
        <v>45923.0</v>
      </c>
      <c r="H623" s="61">
        <v>1596.85</v>
      </c>
      <c r="I623" s="63">
        <f t="shared" si="96"/>
        <v>1613</v>
      </c>
      <c r="J623" s="63">
        <f>I623+(I623*0.04)+108.065</f>
        <v>1785.585</v>
      </c>
      <c r="K623" s="61">
        <v>300.0</v>
      </c>
      <c r="L623" s="64">
        <v>6.0</v>
      </c>
      <c r="M623" s="61" t="s">
        <v>24</v>
      </c>
      <c r="N623" s="61" t="s">
        <v>25</v>
      </c>
      <c r="O623" s="36" t="s">
        <v>867</v>
      </c>
      <c r="P623" s="73">
        <f t="shared" si="63"/>
        <v>188.415</v>
      </c>
      <c r="Q623" s="36" t="s">
        <v>867</v>
      </c>
      <c r="R623" s="36" t="s">
        <v>25</v>
      </c>
      <c r="S623" s="117" t="s">
        <v>1881</v>
      </c>
      <c r="T623" s="114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</row>
    <row r="624" ht="15.75" customHeight="1">
      <c r="A624" s="8" t="s">
        <v>25</v>
      </c>
      <c r="B624" s="36" t="s">
        <v>1833</v>
      </c>
      <c r="C624" s="36" t="s">
        <v>1882</v>
      </c>
      <c r="D624" s="36">
        <v>1.0</v>
      </c>
      <c r="E624" s="36" t="s">
        <v>1883</v>
      </c>
      <c r="F624" s="61">
        <v>0.0</v>
      </c>
      <c r="G624" s="62">
        <v>45923.0</v>
      </c>
      <c r="H624" s="61">
        <v>915.0</v>
      </c>
      <c r="I624" s="61">
        <v>915.0</v>
      </c>
      <c r="J624" s="61">
        <f>915+108.065</f>
        <v>1023.065</v>
      </c>
      <c r="K624" s="61">
        <v>200.0</v>
      </c>
      <c r="L624" s="64">
        <v>4.0</v>
      </c>
      <c r="M624" s="61" t="s">
        <v>24</v>
      </c>
      <c r="N624" s="61" t="s">
        <v>25</v>
      </c>
      <c r="O624" s="36" t="s">
        <v>867</v>
      </c>
      <c r="P624" s="73"/>
      <c r="Q624" s="36"/>
      <c r="R624" s="36" t="s">
        <v>25</v>
      </c>
      <c r="S624" s="117" t="s">
        <v>1881</v>
      </c>
      <c r="T624" s="114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</row>
    <row r="625" ht="15.75" customHeight="1">
      <c r="A625" s="8" t="s">
        <v>25</v>
      </c>
      <c r="B625" s="36" t="s">
        <v>1833</v>
      </c>
      <c r="C625" s="36" t="s">
        <v>1884</v>
      </c>
      <c r="D625" s="36">
        <v>6.0</v>
      </c>
      <c r="E625" s="115" t="s">
        <v>1885</v>
      </c>
      <c r="F625" s="61">
        <v>0.0</v>
      </c>
      <c r="G625" s="62">
        <v>45923.0</v>
      </c>
      <c r="H625" s="61">
        <v>1675.48</v>
      </c>
      <c r="I625" s="63">
        <f t="shared" ref="I625:I660" si="98">ROUND(H625+H625*0.01,0)</f>
        <v>1692</v>
      </c>
      <c r="J625" s="63">
        <f t="shared" ref="J625:J628" si="99">I625+(I625*0.04)</f>
        <v>1759.68</v>
      </c>
      <c r="K625" s="61">
        <v>1450.0</v>
      </c>
      <c r="L625" s="64">
        <v>29.0</v>
      </c>
      <c r="M625" s="61" t="s">
        <v>24</v>
      </c>
      <c r="N625" s="61" t="s">
        <v>25</v>
      </c>
      <c r="O625" s="36" t="s">
        <v>867</v>
      </c>
      <c r="P625" s="73">
        <f t="shared" ref="P625:P626" si="100">F625-(J625+K625)</f>
        <v>-3209.68</v>
      </c>
      <c r="Q625" s="36"/>
      <c r="R625" s="36" t="s">
        <v>25</v>
      </c>
      <c r="S625" s="36" t="s">
        <v>1886</v>
      </c>
      <c r="T625" s="114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</row>
    <row r="626" ht="15.75" customHeight="1">
      <c r="A626" s="8" t="s">
        <v>20</v>
      </c>
      <c r="B626" s="36" t="s">
        <v>179</v>
      </c>
      <c r="C626" s="129" t="s">
        <v>1887</v>
      </c>
      <c r="D626" s="36">
        <v>1.0</v>
      </c>
      <c r="E626" s="129" t="s">
        <v>1887</v>
      </c>
      <c r="F626" s="61">
        <v>2350.0</v>
      </c>
      <c r="G626" s="62">
        <v>45923.0</v>
      </c>
      <c r="H626" s="61">
        <v>1318.74</v>
      </c>
      <c r="I626" s="63">
        <f t="shared" si="98"/>
        <v>1332</v>
      </c>
      <c r="J626" s="63">
        <f t="shared" si="99"/>
        <v>1385.28</v>
      </c>
      <c r="K626" s="61">
        <v>230.0</v>
      </c>
      <c r="L626" s="64">
        <v>0.0</v>
      </c>
      <c r="M626" s="61" t="s">
        <v>24</v>
      </c>
      <c r="N626" s="61" t="s">
        <v>25</v>
      </c>
      <c r="O626" s="36" t="s">
        <v>1004</v>
      </c>
      <c r="P626" s="73">
        <f t="shared" si="100"/>
        <v>734.72</v>
      </c>
      <c r="Q626" s="36" t="s">
        <v>1004</v>
      </c>
      <c r="R626" s="36" t="s">
        <v>25</v>
      </c>
      <c r="S626" s="36" t="s">
        <v>1888</v>
      </c>
      <c r="T626" s="114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</row>
    <row r="627" ht="15.75" customHeight="1">
      <c r="A627" s="8" t="s">
        <v>20</v>
      </c>
      <c r="B627" s="36" t="s">
        <v>179</v>
      </c>
      <c r="C627" s="129" t="s">
        <v>1889</v>
      </c>
      <c r="D627" s="36">
        <v>1.0</v>
      </c>
      <c r="E627" s="129" t="s">
        <v>1889</v>
      </c>
      <c r="F627" s="61">
        <v>2350.0</v>
      </c>
      <c r="G627" s="62">
        <v>45923.0</v>
      </c>
      <c r="H627" s="61">
        <v>1295.86</v>
      </c>
      <c r="I627" s="63">
        <f t="shared" si="98"/>
        <v>1309</v>
      </c>
      <c r="J627" s="63">
        <f t="shared" si="99"/>
        <v>1361.36</v>
      </c>
      <c r="K627" s="61">
        <v>230.0</v>
      </c>
      <c r="L627" s="64">
        <v>0.0</v>
      </c>
      <c r="M627" s="61" t="s">
        <v>24</v>
      </c>
      <c r="N627" s="61" t="s">
        <v>25</v>
      </c>
      <c r="O627" s="36" t="s">
        <v>1004</v>
      </c>
      <c r="P627" s="73">
        <f>F627-(J627+K626)</f>
        <v>758.64</v>
      </c>
      <c r="Q627" s="36" t="s">
        <v>1004</v>
      </c>
      <c r="R627" s="36" t="s">
        <v>25</v>
      </c>
      <c r="S627" s="36" t="s">
        <v>1890</v>
      </c>
      <c r="T627" s="114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</row>
    <row r="628" ht="15.75" customHeight="1">
      <c r="A628" s="8" t="s">
        <v>20</v>
      </c>
      <c r="B628" s="36" t="s">
        <v>581</v>
      </c>
      <c r="C628" s="36" t="s">
        <v>1891</v>
      </c>
      <c r="D628" s="36">
        <v>1.0</v>
      </c>
      <c r="E628" s="60" t="s">
        <v>1892</v>
      </c>
      <c r="F628" s="61">
        <v>120.0</v>
      </c>
      <c r="G628" s="62">
        <v>45925.0</v>
      </c>
      <c r="H628" s="61">
        <v>48.98</v>
      </c>
      <c r="I628" s="63">
        <f t="shared" si="98"/>
        <v>49</v>
      </c>
      <c r="J628" s="63">
        <f t="shared" si="99"/>
        <v>50.96</v>
      </c>
      <c r="K628" s="61">
        <v>50.0</v>
      </c>
      <c r="L628" s="64">
        <v>1.0</v>
      </c>
      <c r="M628" s="61" t="s">
        <v>24</v>
      </c>
      <c r="N628" s="61" t="s">
        <v>25</v>
      </c>
      <c r="O628" s="36" t="s">
        <v>867</v>
      </c>
      <c r="P628" s="73">
        <f t="shared" ref="P628:P791" si="101">F628-(J628+K628)</f>
        <v>19.04</v>
      </c>
      <c r="Q628" s="36" t="s">
        <v>867</v>
      </c>
      <c r="R628" s="36" t="s">
        <v>25</v>
      </c>
      <c r="S628" s="36" t="s">
        <v>1893</v>
      </c>
      <c r="T628" s="114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</row>
    <row r="629" ht="15.75" customHeight="1">
      <c r="A629" s="8" t="s">
        <v>20</v>
      </c>
      <c r="B629" s="36" t="s">
        <v>1860</v>
      </c>
      <c r="C629" s="36" t="s">
        <v>1894</v>
      </c>
      <c r="D629" s="36">
        <v>1.0</v>
      </c>
      <c r="E629" s="115" t="s">
        <v>1895</v>
      </c>
      <c r="F629" s="61">
        <v>700.0</v>
      </c>
      <c r="G629" s="62">
        <v>45925.0</v>
      </c>
      <c r="H629" s="61">
        <v>262.68</v>
      </c>
      <c r="I629" s="63">
        <f t="shared" si="98"/>
        <v>265</v>
      </c>
      <c r="J629" s="63">
        <f>I629+(I629*0.04)+21.98
</f>
        <v>297.58</v>
      </c>
      <c r="K629" s="61">
        <v>400.0</v>
      </c>
      <c r="L629" s="64">
        <v>8.0</v>
      </c>
      <c r="M629" s="61" t="s">
        <v>24</v>
      </c>
      <c r="N629" s="61" t="s">
        <v>25</v>
      </c>
      <c r="O629" s="36" t="s">
        <v>867</v>
      </c>
      <c r="P629" s="73">
        <f t="shared" si="101"/>
        <v>2.42</v>
      </c>
      <c r="Q629" s="36" t="s">
        <v>867</v>
      </c>
      <c r="R629" s="36" t="s">
        <v>25</v>
      </c>
      <c r="S629" s="36" t="s">
        <v>1896</v>
      </c>
      <c r="T629" s="114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</row>
    <row r="630" ht="15.75" customHeight="1">
      <c r="A630" s="8" t="s">
        <v>20</v>
      </c>
      <c r="B630" s="36" t="s">
        <v>1897</v>
      </c>
      <c r="C630" s="36" t="s">
        <v>1898</v>
      </c>
      <c r="D630" s="36">
        <v>1.0</v>
      </c>
      <c r="E630" s="60" t="s">
        <v>1899</v>
      </c>
      <c r="F630" s="61">
        <v>690.0</v>
      </c>
      <c r="G630" s="62">
        <v>45926.0</v>
      </c>
      <c r="H630" s="61">
        <v>397.86</v>
      </c>
      <c r="I630" s="63">
        <f t="shared" si="98"/>
        <v>402</v>
      </c>
      <c r="J630" s="63">
        <f t="shared" ref="J630:J634" si="102">I630+(I630*0.04)</f>
        <v>418.08</v>
      </c>
      <c r="K630" s="61">
        <v>100.0</v>
      </c>
      <c r="L630" s="64">
        <v>2.0</v>
      </c>
      <c r="M630" s="61" t="s">
        <v>24</v>
      </c>
      <c r="N630" s="61" t="s">
        <v>25</v>
      </c>
      <c r="O630" s="36" t="s">
        <v>867</v>
      </c>
      <c r="P630" s="73">
        <f t="shared" si="101"/>
        <v>171.92</v>
      </c>
      <c r="Q630" s="36" t="s">
        <v>1004</v>
      </c>
      <c r="R630" s="36" t="s">
        <v>25</v>
      </c>
      <c r="S630" s="36" t="s">
        <v>1900</v>
      </c>
      <c r="T630" s="114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</row>
    <row r="631" ht="15.75" customHeight="1">
      <c r="A631" s="8" t="s">
        <v>20</v>
      </c>
      <c r="B631" s="36" t="s">
        <v>657</v>
      </c>
      <c r="C631" s="36" t="s">
        <v>1901</v>
      </c>
      <c r="D631" s="36">
        <v>1.0</v>
      </c>
      <c r="E631" s="60" t="s">
        <v>1902</v>
      </c>
      <c r="F631" s="61">
        <v>166.0</v>
      </c>
      <c r="G631" s="62">
        <v>45929.0</v>
      </c>
      <c r="H631" s="61">
        <v>90.26</v>
      </c>
      <c r="I631" s="63">
        <f t="shared" si="98"/>
        <v>91</v>
      </c>
      <c r="J631" s="63">
        <f t="shared" si="102"/>
        <v>94.64</v>
      </c>
      <c r="K631" s="61">
        <v>50.0</v>
      </c>
      <c r="L631" s="64">
        <v>1.0</v>
      </c>
      <c r="M631" s="61" t="s">
        <v>24</v>
      </c>
      <c r="N631" s="61" t="s">
        <v>25</v>
      </c>
      <c r="O631" s="36" t="s">
        <v>1004</v>
      </c>
      <c r="P631" s="73">
        <f t="shared" si="101"/>
        <v>21.36</v>
      </c>
      <c r="Q631" s="36" t="s">
        <v>1004</v>
      </c>
      <c r="R631" s="36" t="s">
        <v>25</v>
      </c>
      <c r="S631" s="36" t="s">
        <v>1903</v>
      </c>
      <c r="T631" s="114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</row>
    <row r="632" ht="15.75" customHeight="1">
      <c r="A632" s="8" t="s">
        <v>20</v>
      </c>
      <c r="B632" s="36" t="s">
        <v>657</v>
      </c>
      <c r="C632" s="36" t="s">
        <v>1904</v>
      </c>
      <c r="D632" s="36">
        <v>1.0</v>
      </c>
      <c r="E632" s="115" t="s">
        <v>1905</v>
      </c>
      <c r="F632" s="61">
        <v>168.0</v>
      </c>
      <c r="G632" s="62">
        <v>45929.0</v>
      </c>
      <c r="H632" s="61">
        <v>102.0</v>
      </c>
      <c r="I632" s="63">
        <f t="shared" si="98"/>
        <v>103</v>
      </c>
      <c r="J632" s="63">
        <f t="shared" si="102"/>
        <v>107.12</v>
      </c>
      <c r="K632" s="61">
        <v>86.19</v>
      </c>
      <c r="L632" s="64">
        <v>1.0</v>
      </c>
      <c r="M632" s="61" t="s">
        <v>24</v>
      </c>
      <c r="N632" s="61" t="s">
        <v>25</v>
      </c>
      <c r="O632" s="36" t="s">
        <v>1004</v>
      </c>
      <c r="P632" s="73">
        <f t="shared" si="101"/>
        <v>-25.31</v>
      </c>
      <c r="Q632" s="36" t="s">
        <v>1004</v>
      </c>
      <c r="R632" s="36" t="s">
        <v>25</v>
      </c>
      <c r="S632" s="117" t="s">
        <v>1906</v>
      </c>
      <c r="T632" s="114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</row>
    <row r="633" ht="15.75" customHeight="1">
      <c r="A633" s="8" t="s">
        <v>20</v>
      </c>
      <c r="B633" s="36" t="s">
        <v>657</v>
      </c>
      <c r="C633" s="36" t="s">
        <v>1907</v>
      </c>
      <c r="D633" s="36">
        <v>1.0</v>
      </c>
      <c r="E633" s="115" t="s">
        <v>1908</v>
      </c>
      <c r="F633" s="61">
        <v>166.0</v>
      </c>
      <c r="G633" s="62">
        <v>45930.0</v>
      </c>
      <c r="H633" s="61">
        <v>54.33</v>
      </c>
      <c r="I633" s="63">
        <f t="shared" si="98"/>
        <v>55</v>
      </c>
      <c r="J633" s="63">
        <f t="shared" si="102"/>
        <v>57.2</v>
      </c>
      <c r="K633" s="61">
        <v>50.0</v>
      </c>
      <c r="L633" s="64">
        <v>1.0</v>
      </c>
      <c r="M633" s="61" t="s">
        <v>24</v>
      </c>
      <c r="N633" s="61" t="s">
        <v>25</v>
      </c>
      <c r="O633" s="36" t="s">
        <v>1004</v>
      </c>
      <c r="P633" s="73">
        <f t="shared" si="101"/>
        <v>58.8</v>
      </c>
      <c r="Q633" s="36" t="s">
        <v>1004</v>
      </c>
      <c r="R633" s="36" t="s">
        <v>25</v>
      </c>
      <c r="S633" s="36" t="s">
        <v>1909</v>
      </c>
      <c r="T633" s="114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</row>
    <row r="634" ht="15.75" customHeight="1">
      <c r="A634" s="8" t="s">
        <v>20</v>
      </c>
      <c r="B634" s="36" t="s">
        <v>1860</v>
      </c>
      <c r="C634" s="36" t="s">
        <v>1910</v>
      </c>
      <c r="D634" s="36">
        <v>1.0</v>
      </c>
      <c r="E634" s="60" t="s">
        <v>1911</v>
      </c>
      <c r="F634" s="61">
        <v>1500.0</v>
      </c>
      <c r="G634" s="62">
        <v>45930.0</v>
      </c>
      <c r="H634" s="61">
        <v>1114.95</v>
      </c>
      <c r="I634" s="63">
        <f t="shared" si="98"/>
        <v>1126</v>
      </c>
      <c r="J634" s="63">
        <f t="shared" si="102"/>
        <v>1171.04</v>
      </c>
      <c r="K634" s="61">
        <v>50.0</v>
      </c>
      <c r="L634" s="64">
        <v>1.0</v>
      </c>
      <c r="M634" s="61" t="s">
        <v>24</v>
      </c>
      <c r="N634" s="61" t="s">
        <v>25</v>
      </c>
      <c r="O634" s="36" t="s">
        <v>867</v>
      </c>
      <c r="P634" s="73">
        <f t="shared" si="101"/>
        <v>278.96</v>
      </c>
      <c r="Q634" s="36" t="s">
        <v>867</v>
      </c>
      <c r="R634" s="36" t="s">
        <v>25</v>
      </c>
      <c r="S634" s="36" t="s">
        <v>1912</v>
      </c>
      <c r="T634" s="114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</row>
    <row r="635" ht="15.75" customHeight="1">
      <c r="A635" s="8" t="s">
        <v>20</v>
      </c>
      <c r="B635" s="36" t="s">
        <v>657</v>
      </c>
      <c r="C635" s="36" t="s">
        <v>1913</v>
      </c>
      <c r="D635" s="36">
        <v>4.0</v>
      </c>
      <c r="E635" s="115" t="s">
        <v>1914</v>
      </c>
      <c r="F635" s="61">
        <v>1792.0</v>
      </c>
      <c r="G635" s="62">
        <v>45931.0</v>
      </c>
      <c r="H635" s="61">
        <f>1288.35+6.3</f>
        <v>1294.65</v>
      </c>
      <c r="I635" s="63">
        <f t="shared" si="98"/>
        <v>1308</v>
      </c>
      <c r="J635" s="63">
        <f>I635+(I635*0.04)+33.74</f>
        <v>1394.06</v>
      </c>
      <c r="K635" s="61">
        <v>100.0</v>
      </c>
      <c r="L635" s="64">
        <v>2.0</v>
      </c>
      <c r="M635" s="61" t="s">
        <v>24</v>
      </c>
      <c r="N635" s="61" t="s">
        <v>25</v>
      </c>
      <c r="O635" s="36" t="s">
        <v>867</v>
      </c>
      <c r="P635" s="73">
        <f t="shared" si="101"/>
        <v>297.94</v>
      </c>
      <c r="Q635" s="36" t="s">
        <v>1004</v>
      </c>
      <c r="R635" s="36" t="s">
        <v>25</v>
      </c>
      <c r="S635" s="36" t="s">
        <v>1915</v>
      </c>
      <c r="T635" s="114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</row>
    <row r="636" ht="15.75" customHeight="1">
      <c r="A636" s="8" t="s">
        <v>20</v>
      </c>
      <c r="B636" s="36" t="s">
        <v>1916</v>
      </c>
      <c r="C636" s="36" t="s">
        <v>1917</v>
      </c>
      <c r="D636" s="36">
        <v>1.0</v>
      </c>
      <c r="E636" s="36"/>
      <c r="F636" s="61">
        <v>450.0</v>
      </c>
      <c r="G636" s="62">
        <v>45932.0</v>
      </c>
      <c r="H636" s="61">
        <v>297.0</v>
      </c>
      <c r="I636" s="63">
        <f t="shared" si="98"/>
        <v>300</v>
      </c>
      <c r="J636" s="63">
        <f t="shared" ref="J636:J650" si="103">I636+(I636*0.04)</f>
        <v>312</v>
      </c>
      <c r="K636" s="61">
        <v>100.0</v>
      </c>
      <c r="L636" s="64">
        <v>2.0</v>
      </c>
      <c r="M636" s="61" t="s">
        <v>24</v>
      </c>
      <c r="N636" s="61" t="s">
        <v>25</v>
      </c>
      <c r="O636" s="36" t="s">
        <v>1004</v>
      </c>
      <c r="P636" s="73">
        <f t="shared" si="101"/>
        <v>38</v>
      </c>
      <c r="Q636" s="36" t="s">
        <v>1004</v>
      </c>
      <c r="R636" s="36" t="s">
        <v>25</v>
      </c>
      <c r="S636" s="36" t="s">
        <v>1918</v>
      </c>
      <c r="T636" s="114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</row>
    <row r="637" ht="15.75" customHeight="1">
      <c r="A637" s="8" t="s">
        <v>20</v>
      </c>
      <c r="B637" s="36" t="s">
        <v>1126</v>
      </c>
      <c r="C637" s="36" t="s">
        <v>1919</v>
      </c>
      <c r="D637" s="36">
        <v>1.0</v>
      </c>
      <c r="E637" s="36"/>
      <c r="F637" s="61">
        <v>210.0</v>
      </c>
      <c r="G637" s="62"/>
      <c r="H637" s="113"/>
      <c r="I637" s="63">
        <f t="shared" si="98"/>
        <v>0</v>
      </c>
      <c r="J637" s="63">
        <f t="shared" si="103"/>
        <v>0</v>
      </c>
      <c r="K637" s="61">
        <v>150.0</v>
      </c>
      <c r="L637" s="64">
        <v>3.0</v>
      </c>
      <c r="M637" s="61" t="s">
        <v>24</v>
      </c>
      <c r="N637" s="61" t="s">
        <v>25</v>
      </c>
      <c r="O637" s="36" t="s">
        <v>1004</v>
      </c>
      <c r="P637" s="73">
        <f t="shared" si="101"/>
        <v>60</v>
      </c>
      <c r="Q637" s="36" t="s">
        <v>1004</v>
      </c>
      <c r="R637" s="36" t="s">
        <v>25</v>
      </c>
      <c r="S637" s="36" t="s">
        <v>1920</v>
      </c>
      <c r="T637" s="114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</row>
    <row r="638" ht="15.75" customHeight="1">
      <c r="A638" s="8" t="s">
        <v>20</v>
      </c>
      <c r="B638" s="36" t="s">
        <v>67</v>
      </c>
      <c r="C638" s="36" t="s">
        <v>1921</v>
      </c>
      <c r="D638" s="36">
        <v>18.0</v>
      </c>
      <c r="E638" s="60" t="s">
        <v>1922</v>
      </c>
      <c r="F638" s="61">
        <v>970.0</v>
      </c>
      <c r="G638" s="81">
        <v>45933.0</v>
      </c>
      <c r="H638" s="61">
        <v>747.71</v>
      </c>
      <c r="I638" s="63">
        <f t="shared" si="98"/>
        <v>755</v>
      </c>
      <c r="J638" s="63">
        <f t="shared" si="103"/>
        <v>785.2</v>
      </c>
      <c r="K638" s="61">
        <v>25.0</v>
      </c>
      <c r="L638" s="64">
        <v>1.0</v>
      </c>
      <c r="M638" s="61" t="s">
        <v>24</v>
      </c>
      <c r="N638" s="61" t="s">
        <v>25</v>
      </c>
      <c r="O638" s="36" t="s">
        <v>867</v>
      </c>
      <c r="P638" s="73">
        <f t="shared" si="101"/>
        <v>159.8</v>
      </c>
      <c r="Q638" s="36" t="s">
        <v>867</v>
      </c>
      <c r="R638" s="36" t="s">
        <v>25</v>
      </c>
      <c r="S638" s="117" t="s">
        <v>1923</v>
      </c>
      <c r="T638" s="114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</row>
    <row r="639" ht="15.75" customHeight="1">
      <c r="A639" s="8" t="s">
        <v>20</v>
      </c>
      <c r="B639" s="36" t="s">
        <v>179</v>
      </c>
      <c r="C639" s="36" t="s">
        <v>1924</v>
      </c>
      <c r="D639" s="36">
        <v>1.0</v>
      </c>
      <c r="E639" s="36"/>
      <c r="F639" s="61">
        <v>140.0</v>
      </c>
      <c r="G639" s="62">
        <v>45936.0</v>
      </c>
      <c r="H639" s="61">
        <v>63.98</v>
      </c>
      <c r="I639" s="63">
        <f t="shared" si="98"/>
        <v>65</v>
      </c>
      <c r="J639" s="63">
        <f t="shared" si="103"/>
        <v>67.6</v>
      </c>
      <c r="K639" s="61">
        <v>50.0</v>
      </c>
      <c r="L639" s="64">
        <v>1.0</v>
      </c>
      <c r="M639" s="61" t="s">
        <v>24</v>
      </c>
      <c r="N639" s="61" t="s">
        <v>25</v>
      </c>
      <c r="O639" s="36" t="s">
        <v>1004</v>
      </c>
      <c r="P639" s="73">
        <f t="shared" si="101"/>
        <v>22.4</v>
      </c>
      <c r="Q639" s="36" t="s">
        <v>867</v>
      </c>
      <c r="R639" s="36" t="s">
        <v>25</v>
      </c>
      <c r="S639" s="36" t="s">
        <v>1925</v>
      </c>
      <c r="T639" s="114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</row>
    <row r="640" ht="15.75" customHeight="1">
      <c r="A640" s="8" t="s">
        <v>20</v>
      </c>
      <c r="B640" s="36" t="s">
        <v>179</v>
      </c>
      <c r="C640" s="36" t="s">
        <v>1926</v>
      </c>
      <c r="D640" s="36">
        <v>1.0</v>
      </c>
      <c r="E640" s="60" t="s">
        <v>1927</v>
      </c>
      <c r="F640" s="61">
        <v>110.0</v>
      </c>
      <c r="G640" s="81">
        <v>45937.0</v>
      </c>
      <c r="H640" s="61">
        <v>53.12</v>
      </c>
      <c r="I640" s="63">
        <f t="shared" si="98"/>
        <v>54</v>
      </c>
      <c r="J640" s="63">
        <f t="shared" si="103"/>
        <v>56.16</v>
      </c>
      <c r="K640" s="61">
        <v>50.0</v>
      </c>
      <c r="L640" s="64">
        <v>1.0</v>
      </c>
      <c r="M640" s="61" t="s">
        <v>24</v>
      </c>
      <c r="N640" s="61" t="s">
        <v>25</v>
      </c>
      <c r="O640" s="36" t="s">
        <v>1004</v>
      </c>
      <c r="P640" s="73">
        <f t="shared" si="101"/>
        <v>3.84</v>
      </c>
      <c r="Q640" s="36" t="s">
        <v>1004</v>
      </c>
      <c r="R640" s="36" t="s">
        <v>25</v>
      </c>
      <c r="S640" s="117" t="s">
        <v>1811</v>
      </c>
      <c r="T640" s="114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</row>
    <row r="641" ht="15.75" customHeight="1">
      <c r="A641" s="8" t="s">
        <v>20</v>
      </c>
      <c r="B641" s="36" t="s">
        <v>841</v>
      </c>
      <c r="C641" s="36" t="s">
        <v>1928</v>
      </c>
      <c r="D641" s="36">
        <v>1.0</v>
      </c>
      <c r="E641" s="36"/>
      <c r="F641" s="61">
        <v>210.0</v>
      </c>
      <c r="G641" s="62"/>
      <c r="H641" s="113"/>
      <c r="I641" s="63">
        <f t="shared" si="98"/>
        <v>0</v>
      </c>
      <c r="J641" s="63">
        <f t="shared" si="103"/>
        <v>0</v>
      </c>
      <c r="K641" s="61">
        <v>150.0</v>
      </c>
      <c r="L641" s="64">
        <v>3.0</v>
      </c>
      <c r="M641" s="61" t="s">
        <v>24</v>
      </c>
      <c r="N641" s="61" t="s">
        <v>25</v>
      </c>
      <c r="O641" s="36" t="s">
        <v>1004</v>
      </c>
      <c r="P641" s="73">
        <f t="shared" si="101"/>
        <v>60</v>
      </c>
      <c r="Q641" s="36" t="s">
        <v>1004</v>
      </c>
      <c r="R641" s="36" t="s">
        <v>25</v>
      </c>
      <c r="S641" s="36" t="s">
        <v>1929</v>
      </c>
      <c r="T641" s="114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</row>
    <row r="642" ht="15.75" customHeight="1">
      <c r="A642" s="8" t="s">
        <v>20</v>
      </c>
      <c r="B642" s="36" t="s">
        <v>657</v>
      </c>
      <c r="C642" s="36" t="s">
        <v>1930</v>
      </c>
      <c r="D642" s="36">
        <v>1.0</v>
      </c>
      <c r="E642" s="60" t="s">
        <v>1931</v>
      </c>
      <c r="F642" s="61">
        <v>209.0</v>
      </c>
      <c r="G642" s="62">
        <v>45937.0</v>
      </c>
      <c r="H642" s="61">
        <v>102.0</v>
      </c>
      <c r="I642" s="63">
        <f t="shared" si="98"/>
        <v>103</v>
      </c>
      <c r="J642" s="63">
        <f t="shared" si="103"/>
        <v>107.12</v>
      </c>
      <c r="K642" s="61">
        <v>50.0</v>
      </c>
      <c r="L642" s="64">
        <v>1.0</v>
      </c>
      <c r="M642" s="61" t="s">
        <v>24</v>
      </c>
      <c r="N642" s="61" t="s">
        <v>25</v>
      </c>
      <c r="O642" s="36" t="s">
        <v>867</v>
      </c>
      <c r="P642" s="73">
        <f t="shared" si="101"/>
        <v>51.88</v>
      </c>
      <c r="Q642" s="36" t="s">
        <v>1004</v>
      </c>
      <c r="R642" s="36" t="s">
        <v>25</v>
      </c>
      <c r="S642" s="36" t="s">
        <v>1932</v>
      </c>
      <c r="T642" s="114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</row>
    <row r="643" ht="15.75" customHeight="1">
      <c r="A643" s="8" t="s">
        <v>20</v>
      </c>
      <c r="B643" s="36" t="s">
        <v>1860</v>
      </c>
      <c r="C643" s="36" t="s">
        <v>1933</v>
      </c>
      <c r="D643" s="36">
        <v>1.0</v>
      </c>
      <c r="E643" s="60" t="s">
        <v>1934</v>
      </c>
      <c r="F643" s="61">
        <v>200.0</v>
      </c>
      <c r="G643" s="62">
        <v>45938.0</v>
      </c>
      <c r="H643" s="61">
        <v>89.0</v>
      </c>
      <c r="I643" s="63">
        <f t="shared" si="98"/>
        <v>90</v>
      </c>
      <c r="J643" s="63">
        <f t="shared" si="103"/>
        <v>93.6</v>
      </c>
      <c r="K643" s="61">
        <v>25.0</v>
      </c>
      <c r="L643" s="64">
        <v>0.5</v>
      </c>
      <c r="M643" s="61" t="s">
        <v>24</v>
      </c>
      <c r="N643" s="61" t="s">
        <v>25</v>
      </c>
      <c r="O643" s="36" t="s">
        <v>867</v>
      </c>
      <c r="P643" s="73">
        <f t="shared" si="101"/>
        <v>81.4</v>
      </c>
      <c r="Q643" s="36" t="s">
        <v>867</v>
      </c>
      <c r="R643" s="36" t="s">
        <v>25</v>
      </c>
      <c r="S643" s="131" t="s">
        <v>1935</v>
      </c>
      <c r="T643" s="114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</row>
    <row r="644" ht="15.75" customHeight="1">
      <c r="A644" s="8" t="s">
        <v>20</v>
      </c>
      <c r="B644" s="36" t="s">
        <v>67</v>
      </c>
      <c r="C644" s="36" t="s">
        <v>1936</v>
      </c>
      <c r="D644" s="36">
        <v>2.0</v>
      </c>
      <c r="E644" s="60" t="s">
        <v>1937</v>
      </c>
      <c r="F644" s="61">
        <v>2510.0</v>
      </c>
      <c r="G644" s="62">
        <v>45938.0</v>
      </c>
      <c r="H644" s="61">
        <v>1658.4</v>
      </c>
      <c r="I644" s="63">
        <f t="shared" si="98"/>
        <v>1675</v>
      </c>
      <c r="J644" s="63">
        <f t="shared" si="103"/>
        <v>1742</v>
      </c>
      <c r="K644" s="61">
        <v>350.0</v>
      </c>
      <c r="L644" s="64">
        <v>7.0</v>
      </c>
      <c r="M644" s="61" t="s">
        <v>24</v>
      </c>
      <c r="N644" s="61" t="s">
        <v>25</v>
      </c>
      <c r="O644" s="36" t="s">
        <v>867</v>
      </c>
      <c r="P644" s="73">
        <f t="shared" si="101"/>
        <v>418</v>
      </c>
      <c r="Q644" s="36" t="s">
        <v>867</v>
      </c>
      <c r="R644" s="36" t="s">
        <v>25</v>
      </c>
      <c r="S644" s="117" t="s">
        <v>24</v>
      </c>
      <c r="T644" s="114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</row>
    <row r="645" ht="15.75" customHeight="1">
      <c r="A645" s="8" t="s">
        <v>20</v>
      </c>
      <c r="B645" s="36" t="s">
        <v>1938</v>
      </c>
      <c r="C645" s="129" t="s">
        <v>1939</v>
      </c>
      <c r="D645" s="36"/>
      <c r="E645" s="129" t="s">
        <v>1939</v>
      </c>
      <c r="F645" s="61">
        <v>2500.0</v>
      </c>
      <c r="G645" s="62"/>
      <c r="H645" s="61">
        <v>1461.95</v>
      </c>
      <c r="I645" s="63">
        <f t="shared" si="98"/>
        <v>1477</v>
      </c>
      <c r="J645" s="63">
        <f t="shared" si="103"/>
        <v>1536.08</v>
      </c>
      <c r="K645" s="61">
        <v>254.56</v>
      </c>
      <c r="L645" s="64">
        <v>0.0</v>
      </c>
      <c r="M645" s="61" t="s">
        <v>24</v>
      </c>
      <c r="N645" s="61" t="s">
        <v>25</v>
      </c>
      <c r="O645" s="36" t="s">
        <v>1004</v>
      </c>
      <c r="P645" s="73">
        <f t="shared" si="101"/>
        <v>709.36</v>
      </c>
      <c r="Q645" s="36" t="s">
        <v>867</v>
      </c>
      <c r="R645" s="36" t="s">
        <v>25</v>
      </c>
      <c r="S645" s="125" t="s">
        <v>1940</v>
      </c>
      <c r="T645" s="114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</row>
    <row r="646" ht="15.75" customHeight="1">
      <c r="A646" s="8" t="s">
        <v>20</v>
      </c>
      <c r="B646" s="36" t="s">
        <v>1593</v>
      </c>
      <c r="C646" s="36" t="s">
        <v>1941</v>
      </c>
      <c r="D646" s="36">
        <v>1.0</v>
      </c>
      <c r="E646" s="60" t="s">
        <v>1942</v>
      </c>
      <c r="F646" s="61">
        <v>395.0</v>
      </c>
      <c r="G646" s="62">
        <v>45941.0</v>
      </c>
      <c r="H646" s="61">
        <v>268.27</v>
      </c>
      <c r="I646" s="63">
        <f t="shared" si="98"/>
        <v>271</v>
      </c>
      <c r="J646" s="63">
        <f t="shared" si="103"/>
        <v>281.84</v>
      </c>
      <c r="K646" s="61">
        <v>100.0</v>
      </c>
      <c r="L646" s="64">
        <v>2.0</v>
      </c>
      <c r="M646" s="61" t="s">
        <v>24</v>
      </c>
      <c r="N646" s="61" t="s">
        <v>25</v>
      </c>
      <c r="O646" s="36" t="s">
        <v>867</v>
      </c>
      <c r="P646" s="73">
        <f t="shared" si="101"/>
        <v>13.16</v>
      </c>
      <c r="Q646" s="36" t="s">
        <v>867</v>
      </c>
      <c r="R646" s="36" t="s">
        <v>25</v>
      </c>
      <c r="S646" s="36" t="s">
        <v>1943</v>
      </c>
      <c r="T646" s="114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</row>
    <row r="647" ht="15.75" customHeight="1">
      <c r="A647" s="8" t="s">
        <v>20</v>
      </c>
      <c r="B647" s="36" t="s">
        <v>1860</v>
      </c>
      <c r="C647" s="36" t="s">
        <v>1944</v>
      </c>
      <c r="D647" s="36">
        <v>1.0</v>
      </c>
      <c r="E647" s="60" t="s">
        <v>1945</v>
      </c>
      <c r="F647" s="61">
        <v>890.0</v>
      </c>
      <c r="G647" s="62">
        <v>45941.0</v>
      </c>
      <c r="H647" s="61">
        <v>513.0</v>
      </c>
      <c r="I647" s="63">
        <f t="shared" si="98"/>
        <v>518</v>
      </c>
      <c r="J647" s="63">
        <f t="shared" si="103"/>
        <v>538.72</v>
      </c>
      <c r="K647" s="61">
        <v>200.0</v>
      </c>
      <c r="L647" s="64">
        <v>4.0</v>
      </c>
      <c r="M647" s="61" t="s">
        <v>24</v>
      </c>
      <c r="N647" s="61" t="s">
        <v>25</v>
      </c>
      <c r="O647" s="36" t="s">
        <v>867</v>
      </c>
      <c r="P647" s="73">
        <f t="shared" si="101"/>
        <v>151.28</v>
      </c>
      <c r="Q647" s="36" t="s">
        <v>867</v>
      </c>
      <c r="R647" s="36" t="s">
        <v>25</v>
      </c>
      <c r="S647" s="36" t="s">
        <v>1946</v>
      </c>
      <c r="T647" s="114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</row>
    <row r="648" ht="15.75" customHeight="1">
      <c r="A648" s="8" t="s">
        <v>25</v>
      </c>
      <c r="B648" s="36" t="s">
        <v>1833</v>
      </c>
      <c r="C648" s="36" t="s">
        <v>1947</v>
      </c>
      <c r="D648" s="36">
        <v>12.0</v>
      </c>
      <c r="E648" s="60" t="s">
        <v>1948</v>
      </c>
      <c r="F648" s="61">
        <v>0.0</v>
      </c>
      <c r="G648" s="62">
        <v>45941.0</v>
      </c>
      <c r="H648" s="61">
        <v>167.58</v>
      </c>
      <c r="I648" s="63">
        <f t="shared" si="98"/>
        <v>169</v>
      </c>
      <c r="J648" s="63">
        <f t="shared" si="103"/>
        <v>175.76</v>
      </c>
      <c r="K648" s="61">
        <v>50.0</v>
      </c>
      <c r="L648" s="64">
        <v>1.0</v>
      </c>
      <c r="M648" s="61" t="s">
        <v>24</v>
      </c>
      <c r="N648" s="61" t="s">
        <v>25</v>
      </c>
      <c r="O648" s="36" t="s">
        <v>867</v>
      </c>
      <c r="P648" s="73">
        <f t="shared" si="101"/>
        <v>-225.76</v>
      </c>
      <c r="Q648" s="36"/>
      <c r="R648" s="36" t="s">
        <v>25</v>
      </c>
      <c r="S648" s="36" t="s">
        <v>1949</v>
      </c>
      <c r="T648" s="36" t="s">
        <v>1950</v>
      </c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</row>
    <row r="649" ht="15.75" customHeight="1">
      <c r="A649" s="8" t="s">
        <v>25</v>
      </c>
      <c r="B649" s="36" t="s">
        <v>1833</v>
      </c>
      <c r="C649" s="36" t="s">
        <v>1951</v>
      </c>
      <c r="D649" s="36">
        <v>2.0</v>
      </c>
      <c r="E649" s="115" t="s">
        <v>1952</v>
      </c>
      <c r="F649" s="61">
        <v>0.0</v>
      </c>
      <c r="G649" s="81">
        <v>45943.0</v>
      </c>
      <c r="H649" s="61">
        <f>1798-H659</f>
        <v>998</v>
      </c>
      <c r="I649" s="63">
        <f t="shared" si="98"/>
        <v>1008</v>
      </c>
      <c r="J649" s="63">
        <f t="shared" si="103"/>
        <v>1048.32</v>
      </c>
      <c r="K649" s="61">
        <v>550.0</v>
      </c>
      <c r="L649" s="64">
        <v>11.0</v>
      </c>
      <c r="M649" s="61" t="s">
        <v>24</v>
      </c>
      <c r="N649" s="61" t="s">
        <v>25</v>
      </c>
      <c r="O649" s="36" t="s">
        <v>867</v>
      </c>
      <c r="P649" s="73">
        <f t="shared" si="101"/>
        <v>-1598.32</v>
      </c>
      <c r="Q649" s="36"/>
      <c r="R649" s="36" t="s">
        <v>25</v>
      </c>
      <c r="S649" s="36" t="s">
        <v>1953</v>
      </c>
      <c r="T649" s="114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</row>
    <row r="650" ht="15.75" customHeight="1">
      <c r="A650" s="8" t="s">
        <v>20</v>
      </c>
      <c r="B650" s="36" t="s">
        <v>1954</v>
      </c>
      <c r="C650" s="129" t="s">
        <v>1955</v>
      </c>
      <c r="D650" s="36"/>
      <c r="E650" s="129" t="s">
        <v>1955</v>
      </c>
      <c r="F650" s="61">
        <v>2700.0</v>
      </c>
      <c r="G650" s="62">
        <v>45944.0</v>
      </c>
      <c r="H650" s="61">
        <v>1464.58</v>
      </c>
      <c r="I650" s="63">
        <f t="shared" si="98"/>
        <v>1479</v>
      </c>
      <c r="J650" s="63">
        <f t="shared" si="103"/>
        <v>1538.16</v>
      </c>
      <c r="K650" s="61">
        <v>254.56</v>
      </c>
      <c r="L650" s="64">
        <v>0.0</v>
      </c>
      <c r="M650" s="61" t="s">
        <v>24</v>
      </c>
      <c r="N650" s="61" t="s">
        <v>25</v>
      </c>
      <c r="O650" s="36" t="s">
        <v>1004</v>
      </c>
      <c r="P650" s="73">
        <f t="shared" si="101"/>
        <v>907.28</v>
      </c>
      <c r="Q650" s="36" t="s">
        <v>867</v>
      </c>
      <c r="R650" s="36" t="s">
        <v>25</v>
      </c>
      <c r="S650" s="125" t="s">
        <v>1956</v>
      </c>
      <c r="T650" s="114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</row>
    <row r="651" ht="15.75" customHeight="1">
      <c r="A651" s="8" t="s">
        <v>20</v>
      </c>
      <c r="B651" s="36" t="s">
        <v>179</v>
      </c>
      <c r="C651" s="129" t="s">
        <v>1957</v>
      </c>
      <c r="D651" s="36"/>
      <c r="E651" s="129" t="s">
        <v>1957</v>
      </c>
      <c r="F651" s="61">
        <v>2450.0</v>
      </c>
      <c r="G651" s="62">
        <v>45944.0</v>
      </c>
      <c r="H651" s="61">
        <v>1523.33</v>
      </c>
      <c r="I651" s="63">
        <f t="shared" si="98"/>
        <v>1539</v>
      </c>
      <c r="J651" s="63">
        <f>I651+(I651*0.04) + 59.56</f>
        <v>1660.12</v>
      </c>
      <c r="K651" s="61">
        <v>198.56</v>
      </c>
      <c r="L651" s="64">
        <v>0.0</v>
      </c>
      <c r="M651" s="61" t="s">
        <v>24</v>
      </c>
      <c r="N651" s="61" t="s">
        <v>25</v>
      </c>
      <c r="O651" s="36" t="s">
        <v>1004</v>
      </c>
      <c r="P651" s="73">
        <f t="shared" si="101"/>
        <v>591.32</v>
      </c>
      <c r="Q651" s="36" t="s">
        <v>867</v>
      </c>
      <c r="R651" s="36" t="s">
        <v>25</v>
      </c>
      <c r="S651" s="132" t="s">
        <v>1958</v>
      </c>
      <c r="T651" s="114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</row>
    <row r="652" ht="15.75" customHeight="1">
      <c r="A652" s="8" t="s">
        <v>20</v>
      </c>
      <c r="B652" s="36" t="s">
        <v>37</v>
      </c>
      <c r="C652" s="36" t="s">
        <v>1959</v>
      </c>
      <c r="D652" s="36">
        <v>1.0</v>
      </c>
      <c r="E652" s="36"/>
      <c r="F652" s="61">
        <v>0.0</v>
      </c>
      <c r="G652" s="36"/>
      <c r="H652" s="61">
        <v>0.0</v>
      </c>
      <c r="I652" s="63">
        <f t="shared" si="98"/>
        <v>0</v>
      </c>
      <c r="J652" s="63">
        <f t="shared" ref="J652:J653" si="104">I652+(I652*0.04)</f>
        <v>0</v>
      </c>
      <c r="K652" s="61">
        <v>800.0</v>
      </c>
      <c r="L652" s="64">
        <v>16.0</v>
      </c>
      <c r="M652" s="61" t="s">
        <v>24</v>
      </c>
      <c r="N652" s="61" t="s">
        <v>25</v>
      </c>
      <c r="O652" s="36" t="s">
        <v>1004</v>
      </c>
      <c r="P652" s="73">
        <f t="shared" si="101"/>
        <v>-800</v>
      </c>
      <c r="Q652" s="36" t="s">
        <v>867</v>
      </c>
      <c r="R652" s="36" t="s">
        <v>25</v>
      </c>
      <c r="S652" s="36" t="s">
        <v>1960</v>
      </c>
      <c r="T652" s="114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</row>
    <row r="653" ht="15.75" customHeight="1">
      <c r="A653" s="8" t="s">
        <v>20</v>
      </c>
      <c r="B653" s="36" t="s">
        <v>71</v>
      </c>
      <c r="C653" s="36" t="s">
        <v>1961</v>
      </c>
      <c r="D653" s="36">
        <v>1.0</v>
      </c>
      <c r="E653" s="60" t="s">
        <v>1962</v>
      </c>
      <c r="F653" s="61">
        <v>3950.0</v>
      </c>
      <c r="G653" s="62">
        <v>45952.0</v>
      </c>
      <c r="H653" s="61">
        <v>2065.75</v>
      </c>
      <c r="I653" s="63">
        <f t="shared" si="98"/>
        <v>2086</v>
      </c>
      <c r="J653" s="63">
        <f t="shared" si="104"/>
        <v>2169.44</v>
      </c>
      <c r="K653" s="61">
        <v>1100.0</v>
      </c>
      <c r="L653" s="64">
        <v>22.0</v>
      </c>
      <c r="M653" s="61" t="s">
        <v>24</v>
      </c>
      <c r="N653" s="61" t="s">
        <v>25</v>
      </c>
      <c r="O653" s="36" t="s">
        <v>1004</v>
      </c>
      <c r="P653" s="73">
        <f t="shared" si="101"/>
        <v>680.56</v>
      </c>
      <c r="Q653" s="36" t="s">
        <v>1004</v>
      </c>
      <c r="R653" s="36" t="s">
        <v>25</v>
      </c>
      <c r="S653" s="36" t="s">
        <v>1963</v>
      </c>
      <c r="T653" s="114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</row>
    <row r="654" ht="15.75" customHeight="1">
      <c r="A654" s="8" t="s">
        <v>20</v>
      </c>
      <c r="B654" s="36" t="s">
        <v>71</v>
      </c>
      <c r="C654" s="36" t="s">
        <v>1964</v>
      </c>
      <c r="D654" s="36">
        <v>1.0</v>
      </c>
      <c r="E654" s="60" t="s">
        <v>1965</v>
      </c>
      <c r="F654" s="61">
        <v>4950.0</v>
      </c>
      <c r="G654" s="62">
        <v>45952.0</v>
      </c>
      <c r="H654" s="61">
        <v>2830.0</v>
      </c>
      <c r="I654" s="63">
        <f t="shared" si="98"/>
        <v>2858</v>
      </c>
      <c r="J654" s="63">
        <f>I654+(I654*0.04)+1526.16</f>
        <v>4498.48</v>
      </c>
      <c r="K654" s="61">
        <v>100.0</v>
      </c>
      <c r="L654" s="64">
        <v>2.0</v>
      </c>
      <c r="M654" s="61" t="s">
        <v>24</v>
      </c>
      <c r="N654" s="61" t="s">
        <v>25</v>
      </c>
      <c r="O654" s="36" t="s">
        <v>1004</v>
      </c>
      <c r="P654" s="73">
        <f t="shared" si="101"/>
        <v>351.52</v>
      </c>
      <c r="Q654" s="36" t="s">
        <v>1004</v>
      </c>
      <c r="R654" s="36" t="s">
        <v>25</v>
      </c>
      <c r="S654" s="117" t="s">
        <v>1966</v>
      </c>
      <c r="T654" s="114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</row>
    <row r="655" ht="15.75" customHeight="1">
      <c r="A655" s="8" t="s">
        <v>20</v>
      </c>
      <c r="B655" s="36" t="s">
        <v>71</v>
      </c>
      <c r="C655" s="36" t="s">
        <v>1967</v>
      </c>
      <c r="D655" s="36">
        <v>1.0</v>
      </c>
      <c r="E655" s="60" t="s">
        <v>1968</v>
      </c>
      <c r="F655" s="61">
        <v>1600.0</v>
      </c>
      <c r="G655" s="62">
        <v>45952.0</v>
      </c>
      <c r="H655" s="61">
        <v>925.0</v>
      </c>
      <c r="I655" s="63">
        <f t="shared" si="98"/>
        <v>934</v>
      </c>
      <c r="J655" s="63">
        <f t="shared" ref="J655:J657" si="105">I655+(I655*0.04)</f>
        <v>971.36</v>
      </c>
      <c r="K655" s="61">
        <v>250.0</v>
      </c>
      <c r="L655" s="64">
        <v>5.0</v>
      </c>
      <c r="M655" s="61" t="s">
        <v>24</v>
      </c>
      <c r="N655" s="61" t="s">
        <v>25</v>
      </c>
      <c r="O655" s="36" t="s">
        <v>1004</v>
      </c>
      <c r="P655" s="73">
        <f t="shared" si="101"/>
        <v>378.64</v>
      </c>
      <c r="Q655" s="36" t="s">
        <v>1004</v>
      </c>
      <c r="R655" s="36" t="s">
        <v>25</v>
      </c>
      <c r="S655" s="36" t="s">
        <v>1969</v>
      </c>
      <c r="T655" s="114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</row>
    <row r="656" ht="15.75" customHeight="1">
      <c r="A656" s="8" t="s">
        <v>20</v>
      </c>
      <c r="B656" s="36" t="s">
        <v>71</v>
      </c>
      <c r="C656" s="36" t="s">
        <v>1970</v>
      </c>
      <c r="D656" s="36">
        <v>2.0</v>
      </c>
      <c r="E656" s="60" t="s">
        <v>1971</v>
      </c>
      <c r="F656" s="61">
        <v>600.0</v>
      </c>
      <c r="G656" s="62">
        <v>45952.0</v>
      </c>
      <c r="H656" s="61">
        <v>215.16</v>
      </c>
      <c r="I656" s="63">
        <f t="shared" si="98"/>
        <v>217</v>
      </c>
      <c r="J656" s="63">
        <f t="shared" si="105"/>
        <v>225.68</v>
      </c>
      <c r="K656" s="61">
        <v>250.0</v>
      </c>
      <c r="L656" s="64">
        <v>5.0</v>
      </c>
      <c r="M656" s="61" t="s">
        <v>24</v>
      </c>
      <c r="N656" s="61" t="s">
        <v>25</v>
      </c>
      <c r="O656" s="36" t="s">
        <v>1004</v>
      </c>
      <c r="P656" s="73">
        <f t="shared" si="101"/>
        <v>124.32</v>
      </c>
      <c r="Q656" s="36" t="s">
        <v>1004</v>
      </c>
      <c r="R656" s="36" t="s">
        <v>25</v>
      </c>
      <c r="S656" s="36" t="s">
        <v>1972</v>
      </c>
      <c r="T656" s="114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</row>
    <row r="657" ht="15.75" customHeight="1">
      <c r="A657" s="8" t="s">
        <v>20</v>
      </c>
      <c r="B657" s="36" t="s">
        <v>67</v>
      </c>
      <c r="C657" s="36" t="s">
        <v>1973</v>
      </c>
      <c r="D657" s="36">
        <v>1.0</v>
      </c>
      <c r="E657" s="60" t="s">
        <v>1974</v>
      </c>
      <c r="F657" s="61">
        <v>200.0</v>
      </c>
      <c r="G657" s="62">
        <v>45946.0</v>
      </c>
      <c r="H657" s="61">
        <v>114.44</v>
      </c>
      <c r="I657" s="63">
        <f t="shared" si="98"/>
        <v>116</v>
      </c>
      <c r="J657" s="63">
        <f t="shared" si="105"/>
        <v>120.64</v>
      </c>
      <c r="K657" s="61">
        <v>25.0</v>
      </c>
      <c r="L657" s="64">
        <v>0.5</v>
      </c>
      <c r="M657" s="61" t="s">
        <v>24</v>
      </c>
      <c r="N657" s="61" t="s">
        <v>25</v>
      </c>
      <c r="O657" s="36" t="s">
        <v>867</v>
      </c>
      <c r="P657" s="73">
        <f t="shared" si="101"/>
        <v>54.36</v>
      </c>
      <c r="Q657" s="36" t="s">
        <v>867</v>
      </c>
      <c r="R657" s="36" t="s">
        <v>25</v>
      </c>
      <c r="S657" s="41" t="s">
        <v>1975</v>
      </c>
      <c r="T657" s="114"/>
    </row>
    <row r="658" ht="15.75" customHeight="1">
      <c r="A658" s="8" t="s">
        <v>20</v>
      </c>
      <c r="B658" s="36" t="s">
        <v>1976</v>
      </c>
      <c r="C658" s="36" t="s">
        <v>1977</v>
      </c>
      <c r="D658" s="36">
        <v>1.0</v>
      </c>
      <c r="E658" s="60" t="s">
        <v>1978</v>
      </c>
      <c r="F658" s="61">
        <v>1500.0</v>
      </c>
      <c r="G658" s="62">
        <v>45947.0</v>
      </c>
      <c r="H658" s="61">
        <v>890.0</v>
      </c>
      <c r="I658" s="63">
        <f t="shared" si="98"/>
        <v>899</v>
      </c>
      <c r="J658" s="63">
        <f>I658+(I658*0.04)+469</f>
        <v>1403.96</v>
      </c>
      <c r="K658" s="61">
        <v>50.0</v>
      </c>
      <c r="L658" s="64">
        <v>1.0</v>
      </c>
      <c r="M658" s="61" t="s">
        <v>24</v>
      </c>
      <c r="N658" s="61" t="s">
        <v>25</v>
      </c>
      <c r="O658" s="36" t="s">
        <v>1004</v>
      </c>
      <c r="P658" s="73">
        <f t="shared" si="101"/>
        <v>46.04</v>
      </c>
      <c r="Q658" s="36" t="s">
        <v>1004</v>
      </c>
      <c r="R658" s="36" t="s">
        <v>25</v>
      </c>
      <c r="S658" s="41" t="s">
        <v>1979</v>
      </c>
      <c r="T658" s="114"/>
    </row>
    <row r="659" ht="15.75" customHeight="1">
      <c r="A659" s="8" t="s">
        <v>25</v>
      </c>
      <c r="B659" s="36" t="s">
        <v>1833</v>
      </c>
      <c r="C659" s="36" t="s">
        <v>1980</v>
      </c>
      <c r="D659" s="36">
        <v>10.0</v>
      </c>
      <c r="E659" s="60" t="s">
        <v>1952</v>
      </c>
      <c r="F659" s="61">
        <v>0.0</v>
      </c>
      <c r="G659" s="62"/>
      <c r="H659" s="113">
        <f>80*10</f>
        <v>800</v>
      </c>
      <c r="I659" s="63">
        <f t="shared" si="98"/>
        <v>808</v>
      </c>
      <c r="J659" s="63">
        <f t="shared" ref="J659:J665" si="106">I659+(I659*0.04)</f>
        <v>840.32</v>
      </c>
      <c r="K659" s="61">
        <v>150.0</v>
      </c>
      <c r="L659" s="64">
        <v>3.0</v>
      </c>
      <c r="M659" s="61" t="s">
        <v>24</v>
      </c>
      <c r="N659" s="61" t="s">
        <v>25</v>
      </c>
      <c r="O659" s="36" t="s">
        <v>1004</v>
      </c>
      <c r="P659" s="73">
        <f t="shared" si="101"/>
        <v>-990.32</v>
      </c>
      <c r="Q659" s="36" t="s">
        <v>1981</v>
      </c>
      <c r="R659" s="36" t="s">
        <v>25</v>
      </c>
      <c r="S659" s="41" t="s">
        <v>24</v>
      </c>
      <c r="T659" s="114"/>
    </row>
    <row r="660" ht="15.75" customHeight="1">
      <c r="A660" s="8" t="s">
        <v>20</v>
      </c>
      <c r="B660" s="36" t="s">
        <v>179</v>
      </c>
      <c r="C660" s="36" t="s">
        <v>1982</v>
      </c>
      <c r="D660" s="36">
        <v>1.0</v>
      </c>
      <c r="E660" s="36"/>
      <c r="F660" s="61">
        <v>500.0</v>
      </c>
      <c r="G660" s="62">
        <v>45951.0</v>
      </c>
      <c r="H660" s="61">
        <v>220.0</v>
      </c>
      <c r="I660" s="63">
        <f t="shared" si="98"/>
        <v>222</v>
      </c>
      <c r="J660" s="63">
        <f t="shared" si="106"/>
        <v>230.88</v>
      </c>
      <c r="K660" s="61">
        <v>100.0</v>
      </c>
      <c r="L660" s="64">
        <v>2.0</v>
      </c>
      <c r="M660" s="61" t="s">
        <v>24</v>
      </c>
      <c r="N660" s="61" t="s">
        <v>25</v>
      </c>
      <c r="O660" s="36" t="s">
        <v>1004</v>
      </c>
      <c r="P660" s="73">
        <f t="shared" si="101"/>
        <v>169.12</v>
      </c>
      <c r="Q660" s="36" t="s">
        <v>867</v>
      </c>
      <c r="R660" s="36" t="s">
        <v>25</v>
      </c>
      <c r="S660" s="41" t="s">
        <v>1983</v>
      </c>
      <c r="T660" s="114"/>
    </row>
    <row r="661" ht="15.75" customHeight="1">
      <c r="A661" s="8" t="s">
        <v>25</v>
      </c>
      <c r="B661" s="36" t="s">
        <v>1938</v>
      </c>
      <c r="C661" s="36" t="s">
        <v>1984</v>
      </c>
      <c r="D661" s="36">
        <v>1.0</v>
      </c>
      <c r="E661" s="36" t="str">
        <f>STOCK!P6</f>
        <v>NGK Bujias B58/S58</v>
      </c>
      <c r="F661" s="61">
        <v>150.0</v>
      </c>
      <c r="G661" s="62"/>
      <c r="H661" s="61">
        <v>0.0</v>
      </c>
      <c r="I661" s="63">
        <f t="shared" ref="I661:I665" si="107">ROUND(H661+H661*0,0)</f>
        <v>0</v>
      </c>
      <c r="J661" s="63">
        <f t="shared" si="106"/>
        <v>0</v>
      </c>
      <c r="K661" s="61">
        <v>0.0</v>
      </c>
      <c r="L661" s="64">
        <v>0.3</v>
      </c>
      <c r="M661" s="61" t="s">
        <v>24</v>
      </c>
      <c r="N661" s="61" t="s">
        <v>25</v>
      </c>
      <c r="O661" s="36" t="s">
        <v>867</v>
      </c>
      <c r="P661" s="73">
        <f t="shared" si="101"/>
        <v>150</v>
      </c>
      <c r="Q661" s="36" t="s">
        <v>1981</v>
      </c>
      <c r="R661" s="36" t="s">
        <v>25</v>
      </c>
      <c r="S661" s="41" t="s">
        <v>24</v>
      </c>
      <c r="T661" s="114"/>
    </row>
    <row r="662" ht="15.75" customHeight="1">
      <c r="A662" s="8" t="s">
        <v>25</v>
      </c>
      <c r="B662" s="36" t="s">
        <v>1954</v>
      </c>
      <c r="C662" s="36" t="s">
        <v>1985</v>
      </c>
      <c r="D662" s="36">
        <v>1.0</v>
      </c>
      <c r="E662" s="36" t="str">
        <f>STOCK!P4</f>
        <v>CTS DOWNPIPE S58</v>
      </c>
      <c r="F662" s="61">
        <v>1350.0</v>
      </c>
      <c r="G662" s="62"/>
      <c r="H662" s="61">
        <v>0.0</v>
      </c>
      <c r="I662" s="63">
        <f t="shared" si="107"/>
        <v>0</v>
      </c>
      <c r="J662" s="63">
        <f t="shared" si="106"/>
        <v>0</v>
      </c>
      <c r="K662" s="61">
        <v>0.0</v>
      </c>
      <c r="L662" s="64">
        <v>5.25</v>
      </c>
      <c r="M662" s="61" t="s">
        <v>24</v>
      </c>
      <c r="N662" s="61" t="s">
        <v>25</v>
      </c>
      <c r="O662" s="36" t="s">
        <v>867</v>
      </c>
      <c r="P662" s="73">
        <f t="shared" si="101"/>
        <v>1350</v>
      </c>
      <c r="Q662" s="36" t="s">
        <v>1981</v>
      </c>
      <c r="R662" s="36" t="s">
        <v>25</v>
      </c>
      <c r="S662" s="41" t="s">
        <v>24</v>
      </c>
      <c r="T662" s="114"/>
    </row>
    <row r="663" ht="15.75" customHeight="1">
      <c r="A663" s="8" t="s">
        <v>25</v>
      </c>
      <c r="B663" s="36" t="s">
        <v>1860</v>
      </c>
      <c r="C663" s="36" t="s">
        <v>1985</v>
      </c>
      <c r="D663" s="36">
        <v>1.0</v>
      </c>
      <c r="E663" s="36" t="str">
        <f>STOCK!P4</f>
        <v>CTS DOWNPIPE S58</v>
      </c>
      <c r="F663" s="61">
        <v>1350.0</v>
      </c>
      <c r="G663" s="62"/>
      <c r="H663" s="61">
        <v>0.0</v>
      </c>
      <c r="I663" s="63">
        <f t="shared" si="107"/>
        <v>0</v>
      </c>
      <c r="J663" s="63">
        <f t="shared" si="106"/>
        <v>0</v>
      </c>
      <c r="K663" s="61">
        <v>0.0</v>
      </c>
      <c r="L663" s="64">
        <v>5.25</v>
      </c>
      <c r="M663" s="61" t="s">
        <v>24</v>
      </c>
      <c r="N663" s="61" t="s">
        <v>25</v>
      </c>
      <c r="O663" s="36" t="s">
        <v>867</v>
      </c>
      <c r="P663" s="73">
        <f t="shared" si="101"/>
        <v>1350</v>
      </c>
      <c r="Q663" s="36" t="s">
        <v>867</v>
      </c>
      <c r="R663" s="36" t="s">
        <v>25</v>
      </c>
      <c r="S663" s="41" t="s">
        <v>24</v>
      </c>
      <c r="T663" s="114"/>
    </row>
    <row r="664" ht="15.75" customHeight="1">
      <c r="A664" s="8" t="s">
        <v>25</v>
      </c>
      <c r="B664" s="36" t="s">
        <v>1954</v>
      </c>
      <c r="C664" s="36" t="s">
        <v>1984</v>
      </c>
      <c r="D664" s="36">
        <v>1.0</v>
      </c>
      <c r="E664" s="36" t="str">
        <f>CONCATENATE(STOCK!C6," ",STOCK!D6," ",STOCK!E6)</f>
        <v>NGK Bujias B58/S58</v>
      </c>
      <c r="F664" s="61">
        <v>120.0</v>
      </c>
      <c r="G664" s="62"/>
      <c r="H664" s="61">
        <v>0.0</v>
      </c>
      <c r="I664" s="63">
        <f t="shared" si="107"/>
        <v>0</v>
      </c>
      <c r="J664" s="63">
        <f t="shared" si="106"/>
        <v>0</v>
      </c>
      <c r="K664" s="61">
        <v>0.0</v>
      </c>
      <c r="L664" s="64">
        <v>0.3</v>
      </c>
      <c r="M664" s="61" t="s">
        <v>24</v>
      </c>
      <c r="N664" s="61" t="s">
        <v>25</v>
      </c>
      <c r="O664" s="36" t="s">
        <v>867</v>
      </c>
      <c r="P664" s="73">
        <f t="shared" si="101"/>
        <v>120</v>
      </c>
      <c r="Q664" s="36" t="s">
        <v>1981</v>
      </c>
      <c r="R664" s="36" t="s">
        <v>25</v>
      </c>
      <c r="S664" s="41" t="s">
        <v>24</v>
      </c>
      <c r="T664" s="114"/>
    </row>
    <row r="665" ht="15.75" customHeight="1">
      <c r="A665" s="8" t="s">
        <v>25</v>
      </c>
      <c r="B665" s="36" t="s">
        <v>179</v>
      </c>
      <c r="C665" s="36" t="s">
        <v>1985</v>
      </c>
      <c r="D665" s="36">
        <v>1.0</v>
      </c>
      <c r="E665" s="36" t="s">
        <v>1986</v>
      </c>
      <c r="F665" s="61">
        <v>600.0</v>
      </c>
      <c r="G665" s="62"/>
      <c r="H665" s="61">
        <v>0.0</v>
      </c>
      <c r="I665" s="63">
        <f t="shared" si="107"/>
        <v>0</v>
      </c>
      <c r="J665" s="63">
        <f t="shared" si="106"/>
        <v>0</v>
      </c>
      <c r="K665" s="61">
        <v>0.0</v>
      </c>
      <c r="L665" s="64">
        <v>0.0</v>
      </c>
      <c r="M665" s="61" t="s">
        <v>24</v>
      </c>
      <c r="N665" s="61" t="s">
        <v>25</v>
      </c>
      <c r="O665" s="36" t="s">
        <v>1004</v>
      </c>
      <c r="P665" s="73">
        <f t="shared" si="101"/>
        <v>600</v>
      </c>
      <c r="Q665" s="36" t="s">
        <v>867</v>
      </c>
      <c r="R665" s="36" t="s">
        <v>25</v>
      </c>
      <c r="S665" s="41" t="s">
        <v>24</v>
      </c>
      <c r="T665" s="114"/>
    </row>
    <row r="666" ht="15.75" customHeight="1">
      <c r="A666" s="8" t="s">
        <v>20</v>
      </c>
      <c r="B666" s="117" t="s">
        <v>1987</v>
      </c>
      <c r="C666" s="117" t="s">
        <v>1988</v>
      </c>
      <c r="D666" s="117">
        <v>1.0</v>
      </c>
      <c r="E666" s="133"/>
      <c r="F666" s="98"/>
      <c r="G666" s="99"/>
      <c r="H666" s="98" t="s">
        <v>1693</v>
      </c>
      <c r="I666" s="116">
        <v>0.0</v>
      </c>
      <c r="J666" s="116">
        <v>0.0</v>
      </c>
      <c r="K666" s="113"/>
      <c r="L666" s="123"/>
      <c r="M666" s="61" t="s">
        <v>24</v>
      </c>
      <c r="N666" s="61" t="s">
        <v>25</v>
      </c>
      <c r="O666" s="36" t="s">
        <v>867</v>
      </c>
      <c r="P666" s="73">
        <f t="shared" si="101"/>
        <v>0</v>
      </c>
      <c r="Q666" s="36" t="s">
        <v>1981</v>
      </c>
      <c r="R666" s="36" t="s">
        <v>25</v>
      </c>
      <c r="S666" s="41" t="s">
        <v>1989</v>
      </c>
      <c r="T666" s="114"/>
    </row>
    <row r="667" ht="15.75" customHeight="1">
      <c r="A667" s="8" t="s">
        <v>20</v>
      </c>
      <c r="B667" s="36" t="s">
        <v>1987</v>
      </c>
      <c r="C667" s="36" t="s">
        <v>1990</v>
      </c>
      <c r="D667" s="36">
        <v>1.0</v>
      </c>
      <c r="E667" s="134" t="s">
        <v>1991</v>
      </c>
      <c r="F667" s="61">
        <v>650.0</v>
      </c>
      <c r="G667" s="81">
        <v>45951.0</v>
      </c>
      <c r="H667" s="61">
        <v>399.99</v>
      </c>
      <c r="I667" s="63">
        <f t="shared" ref="I667:I678" si="108">ROUND(H667+H667*0.01,0)</f>
        <v>404</v>
      </c>
      <c r="J667" s="63">
        <f t="shared" ref="J667:J682" si="109">I667+(I667*0.04)</f>
        <v>420.16</v>
      </c>
      <c r="K667" s="61">
        <v>150.0</v>
      </c>
      <c r="L667" s="64">
        <v>3.0</v>
      </c>
      <c r="M667" s="61" t="s">
        <v>24</v>
      </c>
      <c r="N667" s="61" t="s">
        <v>25</v>
      </c>
      <c r="O667" s="36" t="s">
        <v>867</v>
      </c>
      <c r="P667" s="73">
        <f t="shared" si="101"/>
        <v>79.84</v>
      </c>
      <c r="Q667" s="36" t="s">
        <v>867</v>
      </c>
      <c r="R667" s="36" t="s">
        <v>25</v>
      </c>
      <c r="S667" s="41" t="s">
        <v>1992</v>
      </c>
      <c r="T667" s="114"/>
    </row>
    <row r="668" ht="15.75" customHeight="1">
      <c r="A668" s="8" t="s">
        <v>20</v>
      </c>
      <c r="B668" s="36" t="s">
        <v>1987</v>
      </c>
      <c r="C668" s="36" t="s">
        <v>1993</v>
      </c>
      <c r="D668" s="36">
        <v>1.0</v>
      </c>
      <c r="E668" s="134" t="s">
        <v>1994</v>
      </c>
      <c r="F668" s="61">
        <v>270.0</v>
      </c>
      <c r="G668" s="81">
        <v>45951.0</v>
      </c>
      <c r="H668" s="61">
        <v>75.9</v>
      </c>
      <c r="I668" s="63">
        <f t="shared" si="108"/>
        <v>77</v>
      </c>
      <c r="J668" s="63">
        <f t="shared" si="109"/>
        <v>80.08</v>
      </c>
      <c r="K668" s="61">
        <v>150.0</v>
      </c>
      <c r="L668" s="64">
        <v>3.0</v>
      </c>
      <c r="M668" s="61" t="s">
        <v>24</v>
      </c>
      <c r="N668" s="61" t="s">
        <v>25</v>
      </c>
      <c r="O668" s="36" t="s">
        <v>867</v>
      </c>
      <c r="P668" s="73">
        <f t="shared" si="101"/>
        <v>39.92</v>
      </c>
      <c r="Q668" s="36" t="s">
        <v>867</v>
      </c>
      <c r="R668" s="36" t="s">
        <v>25</v>
      </c>
      <c r="S668" s="17" t="s">
        <v>1995</v>
      </c>
      <c r="T668" s="114"/>
    </row>
    <row r="669" ht="15.75" customHeight="1">
      <c r="A669" s="8" t="s">
        <v>20</v>
      </c>
      <c r="B669" s="36" t="s">
        <v>1987</v>
      </c>
      <c r="C669" s="36" t="s">
        <v>1996</v>
      </c>
      <c r="D669" s="36">
        <v>1.0</v>
      </c>
      <c r="E669" s="134" t="s">
        <v>1997</v>
      </c>
      <c r="F669" s="61">
        <v>160.0</v>
      </c>
      <c r="G669" s="81">
        <v>45951.0</v>
      </c>
      <c r="H669" s="61">
        <v>94.06</v>
      </c>
      <c r="I669" s="63">
        <f t="shared" si="108"/>
        <v>95</v>
      </c>
      <c r="J669" s="63">
        <f t="shared" si="109"/>
        <v>98.8</v>
      </c>
      <c r="K669" s="61">
        <v>50.0</v>
      </c>
      <c r="L669" s="64">
        <v>1.0</v>
      </c>
      <c r="M669" s="61" t="s">
        <v>24</v>
      </c>
      <c r="N669" s="61" t="s">
        <v>25</v>
      </c>
      <c r="O669" s="36" t="s">
        <v>867</v>
      </c>
      <c r="P669" s="73">
        <f t="shared" si="101"/>
        <v>11.2</v>
      </c>
      <c r="Q669" s="36" t="s">
        <v>867</v>
      </c>
      <c r="R669" s="36" t="s">
        <v>25</v>
      </c>
      <c r="S669" s="41" t="s">
        <v>1998</v>
      </c>
      <c r="T669" s="114"/>
    </row>
    <row r="670" ht="15.75" customHeight="1">
      <c r="A670" s="8" t="s">
        <v>20</v>
      </c>
      <c r="B670" s="36" t="s">
        <v>1954</v>
      </c>
      <c r="C670" s="36" t="s">
        <v>1999</v>
      </c>
      <c r="D670" s="36">
        <v>1.0</v>
      </c>
      <c r="E670" s="60" t="s">
        <v>2000</v>
      </c>
      <c r="F670" s="61">
        <v>620.0</v>
      </c>
      <c r="G670" s="62">
        <v>45953.0</v>
      </c>
      <c r="H670" s="61">
        <v>449.35</v>
      </c>
      <c r="I670" s="63">
        <f t="shared" si="108"/>
        <v>454</v>
      </c>
      <c r="J670" s="63">
        <f t="shared" si="109"/>
        <v>472.16</v>
      </c>
      <c r="K670" s="61">
        <v>50.0</v>
      </c>
      <c r="L670" s="64">
        <v>1.0</v>
      </c>
      <c r="M670" s="61" t="s">
        <v>24</v>
      </c>
      <c r="N670" s="61" t="s">
        <v>25</v>
      </c>
      <c r="O670" s="36" t="s">
        <v>867</v>
      </c>
      <c r="P670" s="73">
        <f t="shared" si="101"/>
        <v>97.84</v>
      </c>
      <c r="Q670" s="36" t="s">
        <v>867</v>
      </c>
      <c r="R670" s="36" t="s">
        <v>25</v>
      </c>
      <c r="S670" s="41" t="s">
        <v>2001</v>
      </c>
      <c r="T670" s="114"/>
    </row>
    <row r="671" ht="15.75" customHeight="1">
      <c r="A671" s="8" t="s">
        <v>20</v>
      </c>
      <c r="B671" s="36" t="s">
        <v>2002</v>
      </c>
      <c r="C671" s="36" t="s">
        <v>2003</v>
      </c>
      <c r="D671" s="36">
        <v>1.0</v>
      </c>
      <c r="E671" s="60" t="s">
        <v>2004</v>
      </c>
      <c r="F671" s="61">
        <v>1990.0</v>
      </c>
      <c r="G671" s="62">
        <v>45953.0</v>
      </c>
      <c r="H671" s="61">
        <v>1046.16</v>
      </c>
      <c r="I671" s="63">
        <f t="shared" si="108"/>
        <v>1057</v>
      </c>
      <c r="J671" s="63">
        <f t="shared" si="109"/>
        <v>1099.28</v>
      </c>
      <c r="K671" s="61">
        <v>450.0</v>
      </c>
      <c r="L671" s="64">
        <v>9.0</v>
      </c>
      <c r="M671" s="61" t="s">
        <v>24</v>
      </c>
      <c r="N671" s="61" t="s">
        <v>25</v>
      </c>
      <c r="O671" s="36" t="s">
        <v>1004</v>
      </c>
      <c r="P671" s="73">
        <f t="shared" si="101"/>
        <v>440.72</v>
      </c>
      <c r="Q671" s="36" t="s">
        <v>1004</v>
      </c>
      <c r="R671" s="36" t="s">
        <v>25</v>
      </c>
      <c r="S671" s="41" t="s">
        <v>2005</v>
      </c>
      <c r="T671" s="114"/>
    </row>
    <row r="672" ht="15.75" customHeight="1">
      <c r="A672" s="8" t="s">
        <v>20</v>
      </c>
      <c r="B672" s="36" t="s">
        <v>1860</v>
      </c>
      <c r="C672" s="135" t="s">
        <v>2006</v>
      </c>
      <c r="D672" s="36"/>
      <c r="E672" s="36" t="s">
        <v>2006</v>
      </c>
      <c r="F672" s="61">
        <v>2500.0</v>
      </c>
      <c r="G672" s="62">
        <v>45955.0</v>
      </c>
      <c r="H672" s="61">
        <v>1624.04</v>
      </c>
      <c r="I672" s="63">
        <f t="shared" si="108"/>
        <v>1640</v>
      </c>
      <c r="J672" s="63">
        <f t="shared" si="109"/>
        <v>1705.6</v>
      </c>
      <c r="K672" s="61">
        <v>210.75</v>
      </c>
      <c r="L672" s="64">
        <v>0.0</v>
      </c>
      <c r="M672" s="61" t="s">
        <v>24</v>
      </c>
      <c r="N672" s="61" t="s">
        <v>25</v>
      </c>
      <c r="O672" s="36" t="s">
        <v>867</v>
      </c>
      <c r="P672" s="73">
        <f t="shared" si="101"/>
        <v>583.65</v>
      </c>
      <c r="Q672" s="36" t="s">
        <v>867</v>
      </c>
      <c r="R672" s="36" t="s">
        <v>25</v>
      </c>
      <c r="S672" s="41" t="s">
        <v>2007</v>
      </c>
      <c r="T672" s="114"/>
    </row>
    <row r="673" ht="15.75" customHeight="1">
      <c r="A673" s="8" t="s">
        <v>20</v>
      </c>
      <c r="B673" s="36" t="s">
        <v>311</v>
      </c>
      <c r="C673" s="36" t="s">
        <v>2008</v>
      </c>
      <c r="D673" s="36">
        <v>1.0</v>
      </c>
      <c r="E673" s="60" t="s">
        <v>2009</v>
      </c>
      <c r="F673" s="61">
        <v>130.0</v>
      </c>
      <c r="G673" s="62">
        <v>45956.0</v>
      </c>
      <c r="H673" s="61">
        <v>60.99</v>
      </c>
      <c r="I673" s="63">
        <f t="shared" si="108"/>
        <v>62</v>
      </c>
      <c r="J673" s="63">
        <f t="shared" si="109"/>
        <v>64.48</v>
      </c>
      <c r="K673" s="61">
        <v>50.0</v>
      </c>
      <c r="L673" s="64">
        <v>1.0</v>
      </c>
      <c r="M673" s="61" t="s">
        <v>24</v>
      </c>
      <c r="N673" s="61" t="s">
        <v>25</v>
      </c>
      <c r="O673" s="36" t="s">
        <v>1004</v>
      </c>
      <c r="P673" s="73">
        <f t="shared" si="101"/>
        <v>15.52</v>
      </c>
      <c r="Q673" s="36" t="s">
        <v>1004</v>
      </c>
      <c r="R673" s="36" t="s">
        <v>25</v>
      </c>
      <c r="S673" s="41" t="s">
        <v>2010</v>
      </c>
      <c r="T673" s="114"/>
    </row>
    <row r="674" ht="15.75" customHeight="1">
      <c r="A674" s="8" t="s">
        <v>20</v>
      </c>
      <c r="B674" s="36" t="s">
        <v>2011</v>
      </c>
      <c r="C674" s="36" t="s">
        <v>2012</v>
      </c>
      <c r="D674" s="36">
        <v>1.0</v>
      </c>
      <c r="E674" s="60" t="s">
        <v>2013</v>
      </c>
      <c r="F674" s="61">
        <v>1340.0</v>
      </c>
      <c r="G674" s="62">
        <v>45958.0</v>
      </c>
      <c r="H674" s="61">
        <v>670.87</v>
      </c>
      <c r="I674" s="63">
        <f t="shared" si="108"/>
        <v>678</v>
      </c>
      <c r="J674" s="63">
        <f t="shared" si="109"/>
        <v>705.12</v>
      </c>
      <c r="K674" s="61">
        <v>300.0</v>
      </c>
      <c r="L674" s="64">
        <v>6.0</v>
      </c>
      <c r="M674" s="61" t="s">
        <v>24</v>
      </c>
      <c r="N674" s="61" t="s">
        <v>25</v>
      </c>
      <c r="O674" s="36" t="s">
        <v>1004</v>
      </c>
      <c r="P674" s="73">
        <f t="shared" si="101"/>
        <v>334.88</v>
      </c>
      <c r="Q674" s="36" t="s">
        <v>1004</v>
      </c>
      <c r="R674" s="36" t="s">
        <v>25</v>
      </c>
      <c r="S674" s="41" t="s">
        <v>2014</v>
      </c>
      <c r="T674" s="114"/>
    </row>
    <row r="675" ht="15.75" customHeight="1">
      <c r="A675" s="8" t="s">
        <v>20</v>
      </c>
      <c r="B675" s="36" t="s">
        <v>1954</v>
      </c>
      <c r="C675" s="36" t="s">
        <v>2015</v>
      </c>
      <c r="D675" s="36">
        <v>1.0</v>
      </c>
      <c r="E675" s="60" t="s">
        <v>2016</v>
      </c>
      <c r="F675" s="61">
        <v>560.0</v>
      </c>
      <c r="G675" s="62">
        <v>45959.0</v>
      </c>
      <c r="H675" s="61">
        <v>363.8</v>
      </c>
      <c r="I675" s="63">
        <f t="shared" si="108"/>
        <v>367</v>
      </c>
      <c r="J675" s="63">
        <f t="shared" si="109"/>
        <v>381.68</v>
      </c>
      <c r="K675" s="61">
        <v>50.0</v>
      </c>
      <c r="L675" s="64">
        <v>1.0</v>
      </c>
      <c r="M675" s="61" t="s">
        <v>24</v>
      </c>
      <c r="N675" s="61" t="s">
        <v>25</v>
      </c>
      <c r="O675" s="36" t="s">
        <v>867</v>
      </c>
      <c r="P675" s="73">
        <f t="shared" si="101"/>
        <v>128.32</v>
      </c>
      <c r="Q675" s="36" t="s">
        <v>867</v>
      </c>
      <c r="R675" s="36" t="s">
        <v>25</v>
      </c>
      <c r="S675" s="41" t="s">
        <v>2017</v>
      </c>
      <c r="T675" s="114"/>
    </row>
    <row r="676" ht="15.75" customHeight="1">
      <c r="A676" s="8" t="s">
        <v>25</v>
      </c>
      <c r="B676" s="36" t="s">
        <v>1833</v>
      </c>
      <c r="C676" s="36" t="s">
        <v>2018</v>
      </c>
      <c r="D676" s="36">
        <v>2.0</v>
      </c>
      <c r="E676" s="60" t="s">
        <v>2019</v>
      </c>
      <c r="F676" s="61">
        <v>0.0</v>
      </c>
      <c r="G676" s="62">
        <v>45960.0</v>
      </c>
      <c r="H676" s="61">
        <f>3468.6+196.5</f>
        <v>3665.1</v>
      </c>
      <c r="I676" s="63">
        <f t="shared" si="108"/>
        <v>3702</v>
      </c>
      <c r="J676" s="63">
        <f t="shared" si="109"/>
        <v>3850.08</v>
      </c>
      <c r="K676" s="61">
        <v>600.0</v>
      </c>
      <c r="L676" s="64">
        <v>12.0</v>
      </c>
      <c r="M676" s="61" t="s">
        <v>24</v>
      </c>
      <c r="N676" s="61" t="s">
        <v>25</v>
      </c>
      <c r="O676" s="36" t="s">
        <v>867</v>
      </c>
      <c r="P676" s="73">
        <f t="shared" si="101"/>
        <v>-4450.08</v>
      </c>
      <c r="Q676" s="36" t="s">
        <v>1981</v>
      </c>
      <c r="R676" s="36" t="s">
        <v>25</v>
      </c>
      <c r="S676" s="41" t="s">
        <v>2020</v>
      </c>
      <c r="T676" s="114"/>
    </row>
    <row r="677" ht="15.75" customHeight="1">
      <c r="A677" s="8" t="s">
        <v>20</v>
      </c>
      <c r="B677" s="36" t="s">
        <v>1080</v>
      </c>
      <c r="C677" s="36" t="s">
        <v>2021</v>
      </c>
      <c r="D677" s="36">
        <v>1.0</v>
      </c>
      <c r="E677" s="60" t="s">
        <v>2022</v>
      </c>
      <c r="F677" s="61">
        <v>450.0</v>
      </c>
      <c r="G677" s="62">
        <v>45966.0</v>
      </c>
      <c r="H677" s="61">
        <v>197.99</v>
      </c>
      <c r="I677" s="63">
        <f t="shared" si="108"/>
        <v>200</v>
      </c>
      <c r="J677" s="63">
        <f t="shared" si="109"/>
        <v>208</v>
      </c>
      <c r="K677" s="61">
        <v>100.0</v>
      </c>
      <c r="L677" s="64">
        <v>2.0</v>
      </c>
      <c r="M677" s="61" t="s">
        <v>24</v>
      </c>
      <c r="N677" s="61" t="s">
        <v>25</v>
      </c>
      <c r="O677" s="36" t="s">
        <v>1004</v>
      </c>
      <c r="P677" s="73">
        <f t="shared" si="101"/>
        <v>142</v>
      </c>
      <c r="Q677" s="36" t="s">
        <v>1004</v>
      </c>
      <c r="R677" s="36" t="s">
        <v>25</v>
      </c>
      <c r="S677" s="41" t="s">
        <v>2023</v>
      </c>
      <c r="T677" s="114"/>
    </row>
    <row r="678" ht="15.75" customHeight="1">
      <c r="A678" s="8" t="s">
        <v>20</v>
      </c>
      <c r="B678" s="36" t="s">
        <v>1080</v>
      </c>
      <c r="C678" s="36" t="s">
        <v>2024</v>
      </c>
      <c r="D678" s="36">
        <v>1.0</v>
      </c>
      <c r="E678" s="60" t="s">
        <v>2025</v>
      </c>
      <c r="F678" s="61">
        <v>730.0</v>
      </c>
      <c r="G678" s="62">
        <v>45966.0</v>
      </c>
      <c r="H678" s="61">
        <v>507.55</v>
      </c>
      <c r="I678" s="63">
        <f t="shared" si="108"/>
        <v>513</v>
      </c>
      <c r="J678" s="63">
        <f t="shared" si="109"/>
        <v>533.52</v>
      </c>
      <c r="K678" s="61">
        <v>50.0</v>
      </c>
      <c r="L678" s="64">
        <v>1.0</v>
      </c>
      <c r="M678" s="61" t="s">
        <v>24</v>
      </c>
      <c r="N678" s="61" t="s">
        <v>25</v>
      </c>
      <c r="O678" s="36" t="s">
        <v>1004</v>
      </c>
      <c r="P678" s="73">
        <f t="shared" si="101"/>
        <v>146.48</v>
      </c>
      <c r="Q678" s="36" t="s">
        <v>1004</v>
      </c>
      <c r="R678" s="36" t="s">
        <v>25</v>
      </c>
      <c r="S678" s="41" t="s">
        <v>2026</v>
      </c>
      <c r="T678" s="114"/>
    </row>
    <row r="679" ht="15.75" customHeight="1">
      <c r="A679" s="8" t="s">
        <v>25</v>
      </c>
      <c r="B679" s="36" t="s">
        <v>179</v>
      </c>
      <c r="C679" s="36" t="s">
        <v>1984</v>
      </c>
      <c r="D679" s="36">
        <v>1.0</v>
      </c>
      <c r="E679" s="36" t="str">
        <f>CONCATENATE(STOCK!C21," ",STOCK!D21," ",STOCK!E21)</f>
        <v>  </v>
      </c>
      <c r="F679" s="61">
        <v>130.0</v>
      </c>
      <c r="G679" s="62"/>
      <c r="H679" s="61">
        <v>0.0</v>
      </c>
      <c r="I679" s="63">
        <f>ROUND(H679+H679*0,0)</f>
        <v>0</v>
      </c>
      <c r="J679" s="63">
        <f t="shared" si="109"/>
        <v>0</v>
      </c>
      <c r="K679" s="61">
        <v>0.0</v>
      </c>
      <c r="L679" s="64">
        <v>0.0</v>
      </c>
      <c r="M679" s="61" t="s">
        <v>24</v>
      </c>
      <c r="N679" s="61" t="s">
        <v>25</v>
      </c>
      <c r="O679" s="36" t="s">
        <v>1004</v>
      </c>
      <c r="P679" s="73">
        <f t="shared" si="101"/>
        <v>130</v>
      </c>
      <c r="Q679" s="36" t="s">
        <v>867</v>
      </c>
      <c r="R679" s="36" t="s">
        <v>25</v>
      </c>
      <c r="S679" s="41" t="s">
        <v>1679</v>
      </c>
      <c r="T679" s="114"/>
    </row>
    <row r="680" ht="15.75" customHeight="1">
      <c r="A680" s="8" t="s">
        <v>20</v>
      </c>
      <c r="B680" s="36" t="s">
        <v>179</v>
      </c>
      <c r="C680" s="36" t="s">
        <v>2027</v>
      </c>
      <c r="D680" s="36">
        <v>1.0</v>
      </c>
      <c r="E680" s="80" t="s">
        <v>2028</v>
      </c>
      <c r="F680" s="61">
        <v>630.0</v>
      </c>
      <c r="G680" s="62">
        <v>45966.0</v>
      </c>
      <c r="H680" s="61">
        <v>443.7</v>
      </c>
      <c r="I680" s="63">
        <f t="shared" ref="I680:I681" si="110">ROUND(H680+H680*0.01,0)</f>
        <v>448</v>
      </c>
      <c r="J680" s="63">
        <f t="shared" si="109"/>
        <v>465.92</v>
      </c>
      <c r="K680" s="61">
        <v>50.0</v>
      </c>
      <c r="L680" s="64">
        <v>1.0</v>
      </c>
      <c r="M680" s="61" t="s">
        <v>24</v>
      </c>
      <c r="N680" s="61" t="s">
        <v>25</v>
      </c>
      <c r="O680" s="36" t="s">
        <v>867</v>
      </c>
      <c r="P680" s="73">
        <f t="shared" si="101"/>
        <v>114.08</v>
      </c>
      <c r="Q680" s="36" t="s">
        <v>1004</v>
      </c>
      <c r="R680" s="36" t="s">
        <v>25</v>
      </c>
      <c r="S680" s="41" t="s">
        <v>1679</v>
      </c>
      <c r="T680" s="114"/>
    </row>
    <row r="681" ht="15.75" customHeight="1">
      <c r="A681" s="8" t="s">
        <v>20</v>
      </c>
      <c r="B681" s="36" t="s">
        <v>179</v>
      </c>
      <c r="C681" s="129" t="s">
        <v>2029</v>
      </c>
      <c r="D681" s="36">
        <v>1.0</v>
      </c>
      <c r="E681" s="129" t="s">
        <v>2029</v>
      </c>
      <c r="F681" s="61">
        <v>2350.0</v>
      </c>
      <c r="G681" s="62">
        <v>45966.0</v>
      </c>
      <c r="H681" s="61">
        <v>1333.15</v>
      </c>
      <c r="I681" s="63">
        <f t="shared" si="110"/>
        <v>1346</v>
      </c>
      <c r="J681" s="63">
        <f t="shared" si="109"/>
        <v>1399.84</v>
      </c>
      <c r="K681" s="61">
        <v>211.0</v>
      </c>
      <c r="L681" s="64">
        <v>0.0</v>
      </c>
      <c r="M681" s="61" t="s">
        <v>24</v>
      </c>
      <c r="N681" s="61" t="s">
        <v>25</v>
      </c>
      <c r="O681" s="36" t="s">
        <v>867</v>
      </c>
      <c r="P681" s="73">
        <f t="shared" si="101"/>
        <v>739.16</v>
      </c>
      <c r="Q681" s="36" t="s">
        <v>867</v>
      </c>
      <c r="R681" s="36" t="s">
        <v>25</v>
      </c>
      <c r="S681" s="89">
        <v>4.735899221E9</v>
      </c>
      <c r="T681" s="114"/>
    </row>
    <row r="682" ht="15.75" customHeight="1">
      <c r="A682" s="8" t="s">
        <v>25</v>
      </c>
      <c r="B682" s="36" t="s">
        <v>1897</v>
      </c>
      <c r="C682" s="36" t="s">
        <v>1984</v>
      </c>
      <c r="D682" s="36">
        <v>1.0</v>
      </c>
      <c r="E682" s="36" t="str">
        <f>CONCATENATE(STOCK!C24," ",STOCK!D24," ",STOCK!E24)</f>
        <v>  </v>
      </c>
      <c r="F682" s="61">
        <v>150.0</v>
      </c>
      <c r="G682" s="62"/>
      <c r="H682" s="61">
        <v>0.0</v>
      </c>
      <c r="I682" s="63">
        <f>ROUND(H682+H682*0,0)</f>
        <v>0</v>
      </c>
      <c r="J682" s="63">
        <f t="shared" si="109"/>
        <v>0</v>
      </c>
      <c r="K682" s="61">
        <v>0.0</v>
      </c>
      <c r="L682" s="64">
        <v>0.0</v>
      </c>
      <c r="M682" s="61" t="s">
        <v>24</v>
      </c>
      <c r="N682" s="61" t="s">
        <v>25</v>
      </c>
      <c r="O682" s="36" t="s">
        <v>1004</v>
      </c>
      <c r="P682" s="73">
        <f t="shared" si="101"/>
        <v>150</v>
      </c>
      <c r="Q682" s="36" t="s">
        <v>1004</v>
      </c>
      <c r="R682" s="36" t="s">
        <v>25</v>
      </c>
      <c r="S682" s="41" t="s">
        <v>1679</v>
      </c>
      <c r="T682" s="114"/>
    </row>
    <row r="683" ht="15.75" customHeight="1">
      <c r="A683" s="8" t="s">
        <v>20</v>
      </c>
      <c r="B683" s="36" t="s">
        <v>2030</v>
      </c>
      <c r="C683" s="36" t="s">
        <v>2031</v>
      </c>
      <c r="D683" s="36">
        <v>1.0</v>
      </c>
      <c r="E683" s="60" t="s">
        <v>2032</v>
      </c>
      <c r="F683" s="61">
        <v>117.33</v>
      </c>
      <c r="G683" s="62">
        <v>45968.0</v>
      </c>
      <c r="H683" s="61">
        <v>117.33</v>
      </c>
      <c r="I683" s="61">
        <v>117.33</v>
      </c>
      <c r="J683" s="61">
        <v>117.33</v>
      </c>
      <c r="K683" s="61">
        <v>0.0</v>
      </c>
      <c r="L683" s="64">
        <v>0.0</v>
      </c>
      <c r="M683" s="61" t="s">
        <v>24</v>
      </c>
      <c r="N683" s="61" t="s">
        <v>25</v>
      </c>
      <c r="O683" s="36" t="s">
        <v>867</v>
      </c>
      <c r="P683" s="73">
        <f t="shared" si="101"/>
        <v>0</v>
      </c>
      <c r="Q683" s="36" t="s">
        <v>867</v>
      </c>
      <c r="R683" s="36" t="s">
        <v>25</v>
      </c>
      <c r="S683" s="41" t="s">
        <v>2033</v>
      </c>
      <c r="T683" s="114"/>
    </row>
    <row r="684" ht="15.75" customHeight="1">
      <c r="A684" s="8" t="s">
        <v>20</v>
      </c>
      <c r="B684" s="36" t="s">
        <v>67</v>
      </c>
      <c r="C684" s="36" t="s">
        <v>2034</v>
      </c>
      <c r="D684" s="36">
        <v>2.0</v>
      </c>
      <c r="E684" s="60" t="s">
        <v>2035</v>
      </c>
      <c r="F684" s="61">
        <v>765.0</v>
      </c>
      <c r="G684" s="62">
        <v>45971.0</v>
      </c>
      <c r="H684" s="61">
        <v>447.99</v>
      </c>
      <c r="I684" s="63">
        <f t="shared" ref="I684:I692" si="111">ROUND(H684+H684*0.01,0)</f>
        <v>452</v>
      </c>
      <c r="J684" s="63">
        <f t="shared" ref="J684:J685" si="112">I684+(I684*0.04)</f>
        <v>470.08</v>
      </c>
      <c r="K684" s="61">
        <v>150.0</v>
      </c>
      <c r="L684" s="64">
        <v>3.0</v>
      </c>
      <c r="M684" s="61" t="s">
        <v>24</v>
      </c>
      <c r="N684" s="61" t="s">
        <v>25</v>
      </c>
      <c r="O684" s="36" t="s">
        <v>867</v>
      </c>
      <c r="P684" s="73">
        <f t="shared" si="101"/>
        <v>144.92</v>
      </c>
      <c r="Q684" s="36" t="s">
        <v>867</v>
      </c>
      <c r="R684" s="36" t="s">
        <v>25</v>
      </c>
      <c r="S684" s="41" t="s">
        <v>2036</v>
      </c>
      <c r="T684" s="114"/>
    </row>
    <row r="685" ht="15.75" customHeight="1">
      <c r="A685" s="8" t="s">
        <v>20</v>
      </c>
      <c r="B685" s="36" t="s">
        <v>67</v>
      </c>
      <c r="C685" s="36" t="s">
        <v>2037</v>
      </c>
      <c r="D685" s="36">
        <v>1.0</v>
      </c>
      <c r="E685" s="36"/>
      <c r="F685" s="61">
        <v>560.0</v>
      </c>
      <c r="G685" s="81">
        <v>45971.0</v>
      </c>
      <c r="H685" s="61">
        <v>279.99</v>
      </c>
      <c r="I685" s="63">
        <f t="shared" si="111"/>
        <v>283</v>
      </c>
      <c r="J685" s="63">
        <f t="shared" si="112"/>
        <v>294.32</v>
      </c>
      <c r="K685" s="61">
        <v>150.0</v>
      </c>
      <c r="L685" s="64">
        <v>3.0</v>
      </c>
      <c r="M685" s="61" t="s">
        <v>24</v>
      </c>
      <c r="N685" s="61" t="s">
        <v>25</v>
      </c>
      <c r="O685" s="36" t="s">
        <v>867</v>
      </c>
      <c r="P685" s="73">
        <f t="shared" si="101"/>
        <v>115.68</v>
      </c>
      <c r="Q685" s="36" t="s">
        <v>867</v>
      </c>
      <c r="R685" s="36" t="s">
        <v>25</v>
      </c>
      <c r="S685" s="41" t="s">
        <v>2038</v>
      </c>
      <c r="T685" s="114"/>
    </row>
    <row r="686" ht="15.75" customHeight="1">
      <c r="A686" s="8" t="s">
        <v>20</v>
      </c>
      <c r="B686" s="36" t="s">
        <v>1860</v>
      </c>
      <c r="C686" s="36" t="s">
        <v>2039</v>
      </c>
      <c r="D686" s="36">
        <v>1.0</v>
      </c>
      <c r="E686" s="36"/>
      <c r="F686" s="61">
        <v>0.0</v>
      </c>
      <c r="G686" s="62">
        <v>45971.0</v>
      </c>
      <c r="H686" s="61">
        <v>0.0</v>
      </c>
      <c r="I686" s="63">
        <f t="shared" si="111"/>
        <v>0</v>
      </c>
      <c r="J686" s="116">
        <v>55.0</v>
      </c>
      <c r="K686" s="61">
        <v>50.0</v>
      </c>
      <c r="L686" s="64">
        <v>1.0</v>
      </c>
      <c r="M686" s="61" t="s">
        <v>24</v>
      </c>
      <c r="N686" s="61" t="s">
        <v>25</v>
      </c>
      <c r="O686" s="36" t="s">
        <v>867</v>
      </c>
      <c r="P686" s="73">
        <f t="shared" si="101"/>
        <v>-105</v>
      </c>
      <c r="Q686" s="36" t="s">
        <v>867</v>
      </c>
      <c r="R686" s="36" t="s">
        <v>25</v>
      </c>
      <c r="S686" s="41" t="s">
        <v>2040</v>
      </c>
      <c r="T686" s="114"/>
    </row>
    <row r="687" ht="15.75" customHeight="1">
      <c r="A687" s="8" t="s">
        <v>25</v>
      </c>
      <c r="B687" s="36" t="s">
        <v>1954</v>
      </c>
      <c r="C687" s="36" t="s">
        <v>2018</v>
      </c>
      <c r="D687" s="36">
        <v>1.0</v>
      </c>
      <c r="E687" s="36"/>
      <c r="F687" s="98">
        <v>2500.0</v>
      </c>
      <c r="G687" s="99">
        <v>45973.0</v>
      </c>
      <c r="H687" s="98">
        <v>0.0</v>
      </c>
      <c r="I687" s="120">
        <f t="shared" si="111"/>
        <v>0</v>
      </c>
      <c r="J687" s="120">
        <f t="shared" ref="J687:J692" si="113">I687+(I687*0.04)</f>
        <v>0</v>
      </c>
      <c r="K687" s="113"/>
      <c r="L687" s="123"/>
      <c r="M687" s="61" t="s">
        <v>24</v>
      </c>
      <c r="N687" s="61" t="s">
        <v>25</v>
      </c>
      <c r="O687" s="36" t="s">
        <v>867</v>
      </c>
      <c r="P687" s="73">
        <f t="shared" si="101"/>
        <v>2500</v>
      </c>
      <c r="Q687" s="36" t="s">
        <v>1981</v>
      </c>
      <c r="R687" s="36" t="s">
        <v>25</v>
      </c>
      <c r="S687" s="41" t="s">
        <v>24</v>
      </c>
      <c r="T687" s="114"/>
    </row>
    <row r="688" ht="15.75" customHeight="1">
      <c r="A688" s="8" t="s">
        <v>20</v>
      </c>
      <c r="B688" s="36" t="s">
        <v>179</v>
      </c>
      <c r="C688" s="36" t="s">
        <v>2041</v>
      </c>
      <c r="D688" s="36">
        <v>1.0</v>
      </c>
      <c r="E688" s="60" t="s">
        <v>2042</v>
      </c>
      <c r="F688" s="61">
        <v>550.0</v>
      </c>
      <c r="G688" s="62">
        <v>45973.0</v>
      </c>
      <c r="H688" s="61">
        <v>188.99</v>
      </c>
      <c r="I688" s="63">
        <f t="shared" si="111"/>
        <v>191</v>
      </c>
      <c r="J688" s="63">
        <f t="shared" si="113"/>
        <v>198.64</v>
      </c>
      <c r="K688" s="61">
        <v>150.0</v>
      </c>
      <c r="L688" s="64">
        <v>3.0</v>
      </c>
      <c r="M688" s="61" t="s">
        <v>24</v>
      </c>
      <c r="N688" s="61" t="s">
        <v>25</v>
      </c>
      <c r="O688" s="36" t="s">
        <v>1004</v>
      </c>
      <c r="P688" s="73">
        <f t="shared" si="101"/>
        <v>201.36</v>
      </c>
      <c r="Q688" s="36" t="s">
        <v>1004</v>
      </c>
      <c r="R688" s="36" t="s">
        <v>25</v>
      </c>
      <c r="S688" s="41" t="s">
        <v>2043</v>
      </c>
      <c r="T688" s="114"/>
    </row>
    <row r="689" ht="15.75" customHeight="1">
      <c r="A689" s="8" t="s">
        <v>20</v>
      </c>
      <c r="B689" s="36" t="s">
        <v>37</v>
      </c>
      <c r="C689" s="36" t="s">
        <v>2044</v>
      </c>
      <c r="D689" s="36">
        <v>1.0</v>
      </c>
      <c r="E689" s="60" t="s">
        <v>2045</v>
      </c>
      <c r="F689" s="61">
        <v>0.0</v>
      </c>
      <c r="G689" s="62">
        <v>45973.0</v>
      </c>
      <c r="H689" s="61">
        <v>0.0</v>
      </c>
      <c r="I689" s="63">
        <f t="shared" si="111"/>
        <v>0</v>
      </c>
      <c r="J689" s="63">
        <f t="shared" si="113"/>
        <v>0</v>
      </c>
      <c r="K689" s="61">
        <v>400.0</v>
      </c>
      <c r="L689" s="64">
        <v>8.0</v>
      </c>
      <c r="M689" s="61" t="s">
        <v>24</v>
      </c>
      <c r="N689" s="61" t="s">
        <v>25</v>
      </c>
      <c r="O689" s="36" t="s">
        <v>867</v>
      </c>
      <c r="P689" s="73">
        <f t="shared" si="101"/>
        <v>-400</v>
      </c>
      <c r="Q689" s="36" t="s">
        <v>867</v>
      </c>
      <c r="R689" s="36" t="s">
        <v>25</v>
      </c>
      <c r="S689" s="41" t="s">
        <v>2046</v>
      </c>
      <c r="T689" s="114"/>
    </row>
    <row r="690" ht="15.75" customHeight="1">
      <c r="A690" s="8" t="s">
        <v>20</v>
      </c>
      <c r="B690" s="36" t="s">
        <v>657</v>
      </c>
      <c r="C690" s="36" t="s">
        <v>2047</v>
      </c>
      <c r="D690" s="36">
        <v>1.0</v>
      </c>
      <c r="E690" s="60" t="s">
        <v>2048</v>
      </c>
      <c r="F690" s="61">
        <v>410.0</v>
      </c>
      <c r="G690" s="62">
        <v>45973.0</v>
      </c>
      <c r="H690" s="61">
        <v>277.2</v>
      </c>
      <c r="I690" s="63">
        <f t="shared" si="111"/>
        <v>280</v>
      </c>
      <c r="J690" s="63">
        <f t="shared" si="113"/>
        <v>291.2</v>
      </c>
      <c r="K690" s="61">
        <v>50.0</v>
      </c>
      <c r="L690" s="64">
        <v>1.0</v>
      </c>
      <c r="M690" s="61" t="s">
        <v>24</v>
      </c>
      <c r="N690" s="61" t="s">
        <v>25</v>
      </c>
      <c r="O690" s="36" t="s">
        <v>867</v>
      </c>
      <c r="P690" s="73">
        <f t="shared" si="101"/>
        <v>68.8</v>
      </c>
      <c r="Q690" s="36" t="s">
        <v>1004</v>
      </c>
      <c r="R690" s="36" t="s">
        <v>25</v>
      </c>
      <c r="S690" s="41" t="s">
        <v>2049</v>
      </c>
      <c r="T690" s="114"/>
    </row>
    <row r="691" ht="15.75" customHeight="1">
      <c r="A691" s="8" t="s">
        <v>20</v>
      </c>
      <c r="B691" s="36" t="s">
        <v>67</v>
      </c>
      <c r="C691" s="36" t="s">
        <v>2050</v>
      </c>
      <c r="D691" s="36">
        <v>1.0</v>
      </c>
      <c r="E691" s="60" t="s">
        <v>2051</v>
      </c>
      <c r="F691" s="61">
        <v>315.0</v>
      </c>
      <c r="G691" s="62">
        <v>45974.0</v>
      </c>
      <c r="H691" s="61">
        <v>155.99</v>
      </c>
      <c r="I691" s="63">
        <f t="shared" si="111"/>
        <v>158</v>
      </c>
      <c r="J691" s="63">
        <f t="shared" si="113"/>
        <v>164.32</v>
      </c>
      <c r="K691" s="61">
        <v>100.0</v>
      </c>
      <c r="L691" s="64">
        <v>2.0</v>
      </c>
      <c r="M691" s="61" t="s">
        <v>24</v>
      </c>
      <c r="N691" s="61" t="s">
        <v>25</v>
      </c>
      <c r="O691" s="36" t="s">
        <v>867</v>
      </c>
      <c r="P691" s="73">
        <f t="shared" si="101"/>
        <v>50.68</v>
      </c>
      <c r="Q691" s="36" t="s">
        <v>867</v>
      </c>
      <c r="R691" s="36" t="s">
        <v>25</v>
      </c>
      <c r="S691" s="41" t="s">
        <v>2052</v>
      </c>
      <c r="T691" s="114"/>
    </row>
    <row r="692" ht="15.75" customHeight="1">
      <c r="A692" s="8" t="s">
        <v>20</v>
      </c>
      <c r="B692" s="36" t="s">
        <v>657</v>
      </c>
      <c r="C692" s="36" t="s">
        <v>2053</v>
      </c>
      <c r="D692" s="36">
        <v>3.0</v>
      </c>
      <c r="E692" s="60" t="s">
        <v>2054</v>
      </c>
      <c r="F692" s="61">
        <v>450.0</v>
      </c>
      <c r="G692" s="62">
        <v>45974.0</v>
      </c>
      <c r="H692" s="61">
        <v>263.77</v>
      </c>
      <c r="I692" s="63">
        <f t="shared" si="111"/>
        <v>266</v>
      </c>
      <c r="J692" s="63">
        <f t="shared" si="113"/>
        <v>276.64</v>
      </c>
      <c r="K692" s="61">
        <v>100.0</v>
      </c>
      <c r="L692" s="64">
        <v>2.0</v>
      </c>
      <c r="M692" s="61" t="s">
        <v>24</v>
      </c>
      <c r="N692" s="61" t="s">
        <v>25</v>
      </c>
      <c r="O692" s="36" t="s">
        <v>867</v>
      </c>
      <c r="P692" s="73">
        <f t="shared" si="101"/>
        <v>73.36</v>
      </c>
      <c r="Q692" s="36" t="s">
        <v>1004</v>
      </c>
      <c r="R692" s="36" t="s">
        <v>25</v>
      </c>
      <c r="S692" s="41" t="s">
        <v>2055</v>
      </c>
      <c r="T692" s="114"/>
    </row>
    <row r="693" ht="15.75" customHeight="1">
      <c r="A693" s="8" t="s">
        <v>20</v>
      </c>
      <c r="B693" s="36" t="s">
        <v>2056</v>
      </c>
      <c r="C693" s="36" t="s">
        <v>2057</v>
      </c>
      <c r="D693" s="36">
        <v>2.0</v>
      </c>
      <c r="E693" s="60" t="s">
        <v>2058</v>
      </c>
      <c r="F693" s="61">
        <v>395.0</v>
      </c>
      <c r="G693" s="62">
        <v>45979.0</v>
      </c>
      <c r="H693" s="61">
        <v>269.44</v>
      </c>
      <c r="I693" s="61">
        <v>269.44</v>
      </c>
      <c r="J693" s="61">
        <v>269.44</v>
      </c>
      <c r="K693" s="61">
        <v>100.0</v>
      </c>
      <c r="L693" s="64">
        <v>2.0</v>
      </c>
      <c r="M693" s="61" t="s">
        <v>24</v>
      </c>
      <c r="N693" s="61" t="s">
        <v>25</v>
      </c>
      <c r="O693" s="36" t="s">
        <v>867</v>
      </c>
      <c r="P693" s="73">
        <f t="shared" si="101"/>
        <v>25.56</v>
      </c>
      <c r="Q693" s="36" t="s">
        <v>867</v>
      </c>
      <c r="R693" s="36" t="s">
        <v>25</v>
      </c>
      <c r="S693" s="41" t="s">
        <v>2059</v>
      </c>
      <c r="T693" s="114"/>
    </row>
    <row r="694" ht="15.75" customHeight="1">
      <c r="A694" s="8" t="s">
        <v>20</v>
      </c>
      <c r="B694" s="36" t="s">
        <v>37</v>
      </c>
      <c r="C694" s="36" t="s">
        <v>2060</v>
      </c>
      <c r="D694" s="36">
        <v>1.0</v>
      </c>
      <c r="E694" s="60" t="s">
        <v>2061</v>
      </c>
      <c r="F694" s="61">
        <v>0.0</v>
      </c>
      <c r="G694" s="62">
        <v>45980.0</v>
      </c>
      <c r="H694" s="61">
        <v>0.0</v>
      </c>
      <c r="I694" s="63">
        <f t="shared" ref="I694:I713" si="114">ROUND(H694+H694*0.01,0)</f>
        <v>0</v>
      </c>
      <c r="J694" s="63">
        <f t="shared" ref="J694:J712" si="115">I694+(I694*0.04)</f>
        <v>0</v>
      </c>
      <c r="K694" s="61">
        <v>50.0</v>
      </c>
      <c r="L694" s="64">
        <v>1.0</v>
      </c>
      <c r="M694" s="61" t="s">
        <v>24</v>
      </c>
      <c r="N694" s="61" t="s">
        <v>25</v>
      </c>
      <c r="O694" s="36" t="s">
        <v>867</v>
      </c>
      <c r="P694" s="73">
        <f t="shared" si="101"/>
        <v>-50</v>
      </c>
      <c r="Q694" s="36" t="s">
        <v>867</v>
      </c>
      <c r="R694" s="36" t="s">
        <v>25</v>
      </c>
      <c r="S694" s="41" t="s">
        <v>2062</v>
      </c>
      <c r="T694" s="114"/>
    </row>
    <row r="695" ht="15.75" customHeight="1">
      <c r="A695" s="8" t="s">
        <v>25</v>
      </c>
      <c r="B695" s="36" t="s">
        <v>179</v>
      </c>
      <c r="C695" s="36" t="s">
        <v>2063</v>
      </c>
      <c r="D695" s="36">
        <v>1.0</v>
      </c>
      <c r="E695" s="36"/>
      <c r="F695" s="61">
        <v>601.72</v>
      </c>
      <c r="G695" s="62"/>
      <c r="H695" s="61">
        <v>0.0</v>
      </c>
      <c r="I695" s="63">
        <f t="shared" si="114"/>
        <v>0</v>
      </c>
      <c r="J695" s="63">
        <f t="shared" si="115"/>
        <v>0</v>
      </c>
      <c r="K695" s="61">
        <v>0.0</v>
      </c>
      <c r="L695" s="64">
        <v>0.0</v>
      </c>
      <c r="M695" s="61" t="s">
        <v>24</v>
      </c>
      <c r="N695" s="61" t="s">
        <v>25</v>
      </c>
      <c r="O695" s="36" t="s">
        <v>1004</v>
      </c>
      <c r="P695" s="73">
        <f t="shared" si="101"/>
        <v>601.72</v>
      </c>
      <c r="Q695" s="36" t="s">
        <v>867</v>
      </c>
      <c r="R695" s="36" t="s">
        <v>25</v>
      </c>
      <c r="S695" s="41" t="s">
        <v>24</v>
      </c>
      <c r="T695" s="114"/>
    </row>
    <row r="696" ht="15.75" customHeight="1">
      <c r="A696" s="8" t="s">
        <v>25</v>
      </c>
      <c r="B696" s="36" t="s">
        <v>1833</v>
      </c>
      <c r="C696" s="36" t="s">
        <v>2064</v>
      </c>
      <c r="D696" s="36">
        <v>5.0</v>
      </c>
      <c r="E696" s="60" t="s">
        <v>2065</v>
      </c>
      <c r="F696" s="61">
        <v>0.0</v>
      </c>
      <c r="G696" s="62">
        <v>45981.0</v>
      </c>
      <c r="H696" s="61">
        <v>287.22</v>
      </c>
      <c r="I696" s="63">
        <f t="shared" si="114"/>
        <v>290</v>
      </c>
      <c r="J696" s="63">
        <f t="shared" si="115"/>
        <v>301.6</v>
      </c>
      <c r="K696" s="61">
        <v>100.0</v>
      </c>
      <c r="L696" s="64">
        <v>2.0</v>
      </c>
      <c r="M696" s="61" t="s">
        <v>24</v>
      </c>
      <c r="N696" s="61" t="s">
        <v>25</v>
      </c>
      <c r="O696" s="36" t="s">
        <v>1004</v>
      </c>
      <c r="P696" s="73">
        <f t="shared" si="101"/>
        <v>-401.6</v>
      </c>
      <c r="Q696" s="36" t="s">
        <v>1981</v>
      </c>
      <c r="R696" s="36" t="s">
        <v>25</v>
      </c>
      <c r="S696" s="41" t="s">
        <v>2066</v>
      </c>
      <c r="T696" s="114"/>
    </row>
    <row r="697" ht="15.75" customHeight="1">
      <c r="A697" s="8" t="s">
        <v>20</v>
      </c>
      <c r="B697" s="36" t="s">
        <v>2011</v>
      </c>
      <c r="C697" s="36" t="s">
        <v>2067</v>
      </c>
      <c r="D697" s="36">
        <v>1.0</v>
      </c>
      <c r="E697" s="36"/>
      <c r="F697" s="61">
        <v>500.0</v>
      </c>
      <c r="G697" s="62"/>
      <c r="H697" s="61">
        <v>218.0</v>
      </c>
      <c r="I697" s="63">
        <f t="shared" si="114"/>
        <v>220</v>
      </c>
      <c r="J697" s="63">
        <f t="shared" si="115"/>
        <v>228.8</v>
      </c>
      <c r="K697" s="61">
        <v>150.0</v>
      </c>
      <c r="L697" s="64">
        <v>3.0</v>
      </c>
      <c r="M697" s="61" t="s">
        <v>24</v>
      </c>
      <c r="N697" s="61" t="s">
        <v>25</v>
      </c>
      <c r="O697" s="36" t="s">
        <v>1004</v>
      </c>
      <c r="P697" s="73">
        <f t="shared" si="101"/>
        <v>121.2</v>
      </c>
      <c r="Q697" s="36" t="s">
        <v>1004</v>
      </c>
      <c r="R697" s="36" t="s">
        <v>25</v>
      </c>
      <c r="S697" s="41" t="s">
        <v>2068</v>
      </c>
      <c r="T697" s="114"/>
    </row>
    <row r="698" ht="15.75" customHeight="1">
      <c r="A698" s="8" t="s">
        <v>20</v>
      </c>
      <c r="B698" s="36" t="s">
        <v>63</v>
      </c>
      <c r="C698" s="36" t="s">
        <v>2069</v>
      </c>
      <c r="D698" s="36">
        <v>1.0</v>
      </c>
      <c r="E698" s="36"/>
      <c r="F698" s="61">
        <v>660.0</v>
      </c>
      <c r="G698" s="62">
        <v>45987.0</v>
      </c>
      <c r="H698" s="61">
        <v>0.0</v>
      </c>
      <c r="I698" s="63">
        <f t="shared" si="114"/>
        <v>0</v>
      </c>
      <c r="J698" s="63">
        <f t="shared" si="115"/>
        <v>0</v>
      </c>
      <c r="K698" s="61">
        <v>600.0</v>
      </c>
      <c r="L698" s="64">
        <v>12.0</v>
      </c>
      <c r="M698" s="61" t="s">
        <v>24</v>
      </c>
      <c r="N698" s="61" t="s">
        <v>25</v>
      </c>
      <c r="O698" s="36" t="s">
        <v>867</v>
      </c>
      <c r="P698" s="73">
        <f t="shared" si="101"/>
        <v>60</v>
      </c>
      <c r="Q698" s="36" t="s">
        <v>867</v>
      </c>
      <c r="R698" s="36" t="s">
        <v>25</v>
      </c>
      <c r="S698" s="41" t="s">
        <v>2070</v>
      </c>
      <c r="T698" s="114"/>
    </row>
    <row r="699" ht="15.75" customHeight="1">
      <c r="A699" s="8" t="s">
        <v>20</v>
      </c>
      <c r="B699" s="36" t="s">
        <v>37</v>
      </c>
      <c r="C699" s="36" t="s">
        <v>2071</v>
      </c>
      <c r="D699" s="36">
        <v>1.0</v>
      </c>
      <c r="E699" s="36"/>
      <c r="F699" s="61"/>
      <c r="G699" s="62">
        <v>45987.0</v>
      </c>
      <c r="H699" s="61">
        <v>0.0</v>
      </c>
      <c r="I699" s="63">
        <f t="shared" si="114"/>
        <v>0</v>
      </c>
      <c r="J699" s="63">
        <f t="shared" si="115"/>
        <v>0</v>
      </c>
      <c r="K699" s="61">
        <v>200.0</v>
      </c>
      <c r="L699" s="64">
        <v>4.0</v>
      </c>
      <c r="M699" s="61" t="s">
        <v>24</v>
      </c>
      <c r="N699" s="61" t="s">
        <v>25</v>
      </c>
      <c r="O699" s="36" t="s">
        <v>867</v>
      </c>
      <c r="P699" s="73">
        <f t="shared" si="101"/>
        <v>-200</v>
      </c>
      <c r="Q699" s="36" t="s">
        <v>867</v>
      </c>
      <c r="R699" s="36" t="s">
        <v>25</v>
      </c>
      <c r="S699" s="41" t="s">
        <v>2072</v>
      </c>
      <c r="T699" s="114"/>
    </row>
    <row r="700" ht="15.75" customHeight="1">
      <c r="A700" s="8" t="s">
        <v>20</v>
      </c>
      <c r="B700" s="36" t="s">
        <v>657</v>
      </c>
      <c r="C700" s="36" t="s">
        <v>2073</v>
      </c>
      <c r="D700" s="36">
        <v>1.0</v>
      </c>
      <c r="E700" s="60" t="s">
        <v>2074</v>
      </c>
      <c r="F700" s="61">
        <v>650.0</v>
      </c>
      <c r="G700" s="62">
        <v>45987.0</v>
      </c>
      <c r="H700" s="61">
        <v>415.0</v>
      </c>
      <c r="I700" s="63">
        <f t="shared" si="114"/>
        <v>419</v>
      </c>
      <c r="J700" s="63">
        <f t="shared" si="115"/>
        <v>435.76</v>
      </c>
      <c r="K700" s="61">
        <v>100.0</v>
      </c>
      <c r="L700" s="64">
        <v>2.0</v>
      </c>
      <c r="M700" s="61" t="s">
        <v>24</v>
      </c>
      <c r="N700" s="61" t="s">
        <v>25</v>
      </c>
      <c r="O700" s="36" t="s">
        <v>867</v>
      </c>
      <c r="P700" s="73">
        <f t="shared" si="101"/>
        <v>114.24</v>
      </c>
      <c r="Q700" s="36" t="s">
        <v>1004</v>
      </c>
      <c r="R700" s="36" t="s">
        <v>25</v>
      </c>
      <c r="S700" s="41" t="s">
        <v>2075</v>
      </c>
      <c r="T700" s="114"/>
    </row>
    <row r="701" ht="15.75" customHeight="1">
      <c r="A701" s="8" t="s">
        <v>25</v>
      </c>
      <c r="B701" s="36" t="s">
        <v>179</v>
      </c>
      <c r="C701" s="36" t="s">
        <v>2063</v>
      </c>
      <c r="D701" s="36">
        <v>1.0</v>
      </c>
      <c r="E701" s="36"/>
      <c r="F701" s="61">
        <v>601.72</v>
      </c>
      <c r="G701" s="62">
        <v>45987.0</v>
      </c>
      <c r="H701" s="61">
        <v>0.0</v>
      </c>
      <c r="I701" s="63">
        <f t="shared" si="114"/>
        <v>0</v>
      </c>
      <c r="J701" s="63">
        <f t="shared" si="115"/>
        <v>0</v>
      </c>
      <c r="K701" s="61">
        <v>0.0</v>
      </c>
      <c r="L701" s="64">
        <v>0.0</v>
      </c>
      <c r="M701" s="61" t="s">
        <v>24</v>
      </c>
      <c r="N701" s="61" t="s">
        <v>25</v>
      </c>
      <c r="O701" s="36" t="s">
        <v>1004</v>
      </c>
      <c r="P701" s="73">
        <f t="shared" si="101"/>
        <v>601.72</v>
      </c>
      <c r="Q701" s="36" t="s">
        <v>867</v>
      </c>
      <c r="R701" s="36" t="s">
        <v>25</v>
      </c>
      <c r="S701" s="41" t="s">
        <v>24</v>
      </c>
      <c r="T701" s="114"/>
      <c r="AG701" s="17" t="s">
        <v>2076</v>
      </c>
    </row>
    <row r="702" ht="15.75" customHeight="1">
      <c r="A702" s="8" t="s">
        <v>20</v>
      </c>
      <c r="B702" s="36" t="s">
        <v>179</v>
      </c>
      <c r="C702" s="36" t="s">
        <v>2077</v>
      </c>
      <c r="D702" s="36">
        <v>1.0</v>
      </c>
      <c r="E702" s="36"/>
      <c r="F702" s="61">
        <v>530.0</v>
      </c>
      <c r="G702" s="62">
        <v>45988.0</v>
      </c>
      <c r="H702" s="61">
        <v>289.62</v>
      </c>
      <c r="I702" s="63">
        <f t="shared" si="114"/>
        <v>293</v>
      </c>
      <c r="J702" s="63">
        <f t="shared" si="115"/>
        <v>304.72</v>
      </c>
      <c r="K702" s="61">
        <v>225.0</v>
      </c>
      <c r="L702" s="64">
        <v>4.5</v>
      </c>
      <c r="M702" s="61" t="s">
        <v>24</v>
      </c>
      <c r="N702" s="61" t="s">
        <v>25</v>
      </c>
      <c r="O702" s="36" t="s">
        <v>1004</v>
      </c>
      <c r="P702" s="73">
        <f t="shared" si="101"/>
        <v>0.28</v>
      </c>
      <c r="Q702" s="36" t="s">
        <v>867</v>
      </c>
      <c r="R702" s="36" t="s">
        <v>25</v>
      </c>
      <c r="S702" s="41" t="s">
        <v>2078</v>
      </c>
      <c r="T702" s="114"/>
    </row>
    <row r="703" ht="15.75" customHeight="1">
      <c r="A703" s="8" t="s">
        <v>20</v>
      </c>
      <c r="B703" s="36" t="s">
        <v>179</v>
      </c>
      <c r="C703" s="129" t="s">
        <v>2079</v>
      </c>
      <c r="D703" s="36">
        <v>1.0</v>
      </c>
      <c r="E703" s="129" t="s">
        <v>2079</v>
      </c>
      <c r="F703" s="61">
        <v>2350.0</v>
      </c>
      <c r="G703" s="62">
        <v>45988.0</v>
      </c>
      <c r="H703" s="61">
        <v>934.5</v>
      </c>
      <c r="I703" s="63">
        <f t="shared" si="114"/>
        <v>944</v>
      </c>
      <c r="J703" s="63">
        <f t="shared" si="115"/>
        <v>981.76</v>
      </c>
      <c r="K703" s="61">
        <v>210.75</v>
      </c>
      <c r="L703" s="64">
        <v>0.0</v>
      </c>
      <c r="M703" s="61" t="s">
        <v>24</v>
      </c>
      <c r="N703" s="61" t="s">
        <v>25</v>
      </c>
      <c r="O703" s="36" t="s">
        <v>1004</v>
      </c>
      <c r="P703" s="73">
        <f t="shared" si="101"/>
        <v>1157.49</v>
      </c>
      <c r="Q703" s="36" t="s">
        <v>867</v>
      </c>
      <c r="R703" s="36" t="s">
        <v>25</v>
      </c>
      <c r="S703" s="89" t="s">
        <v>2080</v>
      </c>
      <c r="T703" s="114"/>
    </row>
    <row r="704" ht="15.75" customHeight="1">
      <c r="A704" s="8" t="s">
        <v>20</v>
      </c>
      <c r="B704" s="36" t="s">
        <v>2081</v>
      </c>
      <c r="C704" s="36" t="s">
        <v>2082</v>
      </c>
      <c r="D704" s="36">
        <v>1.0</v>
      </c>
      <c r="E704" s="36"/>
      <c r="F704" s="61">
        <v>880.0</v>
      </c>
      <c r="G704" s="62">
        <v>45993.0</v>
      </c>
      <c r="H704" s="61">
        <v>390.54</v>
      </c>
      <c r="I704" s="63">
        <f t="shared" si="114"/>
        <v>394</v>
      </c>
      <c r="J704" s="63">
        <f t="shared" si="115"/>
        <v>409.76</v>
      </c>
      <c r="K704" s="61">
        <v>300.0</v>
      </c>
      <c r="L704" s="64">
        <v>6.0</v>
      </c>
      <c r="M704" s="61" t="s">
        <v>24</v>
      </c>
      <c r="N704" s="61" t="s">
        <v>25</v>
      </c>
      <c r="O704" s="36" t="s">
        <v>1004</v>
      </c>
      <c r="P704" s="73">
        <f t="shared" si="101"/>
        <v>170.24</v>
      </c>
      <c r="Q704" s="36" t="s">
        <v>1004</v>
      </c>
      <c r="R704" s="36" t="s">
        <v>25</v>
      </c>
      <c r="S704" s="41" t="s">
        <v>2083</v>
      </c>
      <c r="T704" s="114"/>
    </row>
    <row r="705" ht="15.75" customHeight="1">
      <c r="A705" s="8" t="s">
        <v>20</v>
      </c>
      <c r="B705" s="36" t="s">
        <v>2081</v>
      </c>
      <c r="C705" s="36" t="s">
        <v>2084</v>
      </c>
      <c r="D705" s="36">
        <v>2.0</v>
      </c>
      <c r="E705" s="36"/>
      <c r="F705" s="61">
        <v>600.0</v>
      </c>
      <c r="G705" s="62">
        <v>45993.0</v>
      </c>
      <c r="H705" s="61">
        <v>210.86</v>
      </c>
      <c r="I705" s="63">
        <f t="shared" si="114"/>
        <v>213</v>
      </c>
      <c r="J705" s="63">
        <f t="shared" si="115"/>
        <v>221.52</v>
      </c>
      <c r="K705" s="61">
        <v>225.0</v>
      </c>
      <c r="L705" s="64">
        <v>4.5</v>
      </c>
      <c r="M705" s="61" t="s">
        <v>24</v>
      </c>
      <c r="N705" s="61" t="s">
        <v>25</v>
      </c>
      <c r="O705" s="36" t="s">
        <v>1004</v>
      </c>
      <c r="P705" s="73">
        <f t="shared" si="101"/>
        <v>153.48</v>
      </c>
      <c r="Q705" s="36" t="s">
        <v>1004</v>
      </c>
      <c r="R705" s="36" t="s">
        <v>25</v>
      </c>
      <c r="S705" s="41" t="s">
        <v>2085</v>
      </c>
      <c r="T705" s="114"/>
    </row>
    <row r="706" ht="15.75" customHeight="1">
      <c r="A706" s="8" t="s">
        <v>20</v>
      </c>
      <c r="B706" s="36" t="s">
        <v>2086</v>
      </c>
      <c r="C706" s="36" t="s">
        <v>2087</v>
      </c>
      <c r="D706" s="36">
        <v>22.0</v>
      </c>
      <c r="E706" s="36"/>
      <c r="F706" s="61">
        <v>4700.0</v>
      </c>
      <c r="G706" s="62">
        <v>45993.0</v>
      </c>
      <c r="H706" s="61">
        <v>3147.62</v>
      </c>
      <c r="I706" s="63">
        <f t="shared" si="114"/>
        <v>3179</v>
      </c>
      <c r="J706" s="63">
        <f t="shared" si="115"/>
        <v>3306.16</v>
      </c>
      <c r="K706" s="61">
        <v>500.0</v>
      </c>
      <c r="L706" s="64">
        <v>10.0</v>
      </c>
      <c r="M706" s="61" t="s">
        <v>24</v>
      </c>
      <c r="N706" s="61" t="s">
        <v>25</v>
      </c>
      <c r="O706" s="36" t="s">
        <v>1004</v>
      </c>
      <c r="P706" s="73">
        <f t="shared" si="101"/>
        <v>893.84</v>
      </c>
      <c r="Q706" s="36" t="s">
        <v>1004</v>
      </c>
      <c r="R706" s="36" t="s">
        <v>25</v>
      </c>
      <c r="S706" s="41" t="s">
        <v>2088</v>
      </c>
      <c r="T706" s="114"/>
    </row>
    <row r="707" ht="15.75" customHeight="1">
      <c r="A707" s="8" t="s">
        <v>25</v>
      </c>
      <c r="B707" s="36" t="s">
        <v>179</v>
      </c>
      <c r="C707" s="36" t="s">
        <v>2089</v>
      </c>
      <c r="D707" s="36">
        <v>1.0</v>
      </c>
      <c r="E707" s="36"/>
      <c r="F707" s="61">
        <v>1467.58</v>
      </c>
      <c r="G707" s="62">
        <v>45993.0</v>
      </c>
      <c r="H707" s="61">
        <v>0.0</v>
      </c>
      <c r="I707" s="63">
        <f t="shared" si="114"/>
        <v>0</v>
      </c>
      <c r="J707" s="63">
        <f t="shared" si="115"/>
        <v>0</v>
      </c>
      <c r="K707" s="61">
        <v>0.0</v>
      </c>
      <c r="L707" s="64">
        <v>0.0</v>
      </c>
      <c r="M707" s="61" t="s">
        <v>24</v>
      </c>
      <c r="N707" s="61" t="s">
        <v>25</v>
      </c>
      <c r="O707" s="36" t="s">
        <v>1004</v>
      </c>
      <c r="P707" s="73">
        <f t="shared" si="101"/>
        <v>1467.58</v>
      </c>
      <c r="Q707" s="36" t="s">
        <v>1004</v>
      </c>
      <c r="R707" s="36" t="s">
        <v>25</v>
      </c>
      <c r="S707" s="41" t="s">
        <v>24</v>
      </c>
      <c r="T707" s="114"/>
    </row>
    <row r="708" ht="15.75" customHeight="1">
      <c r="A708" s="8" t="s">
        <v>25</v>
      </c>
      <c r="B708" s="36" t="s">
        <v>179</v>
      </c>
      <c r="C708" s="36" t="s">
        <v>2090</v>
      </c>
      <c r="D708" s="36">
        <v>1.0</v>
      </c>
      <c r="E708" s="36"/>
      <c r="F708" s="61">
        <v>601.72</v>
      </c>
      <c r="G708" s="62">
        <v>45993.0</v>
      </c>
      <c r="H708" s="61">
        <v>0.0</v>
      </c>
      <c r="I708" s="63">
        <f t="shared" si="114"/>
        <v>0</v>
      </c>
      <c r="J708" s="63">
        <f t="shared" si="115"/>
        <v>0</v>
      </c>
      <c r="K708" s="61">
        <v>0.0</v>
      </c>
      <c r="L708" s="64">
        <v>0.0</v>
      </c>
      <c r="M708" s="61" t="s">
        <v>24</v>
      </c>
      <c r="N708" s="61" t="s">
        <v>25</v>
      </c>
      <c r="O708" s="36" t="s">
        <v>1004</v>
      </c>
      <c r="P708" s="73">
        <f t="shared" si="101"/>
        <v>601.72</v>
      </c>
      <c r="Q708" s="36" t="s">
        <v>1004</v>
      </c>
      <c r="R708" s="36" t="s">
        <v>25</v>
      </c>
      <c r="S708" s="41" t="s">
        <v>24</v>
      </c>
      <c r="T708" s="114"/>
    </row>
    <row r="709" ht="15.75" customHeight="1">
      <c r="A709" s="8" t="s">
        <v>20</v>
      </c>
      <c r="B709" s="36" t="s">
        <v>179</v>
      </c>
      <c r="C709" s="131" t="s">
        <v>2091</v>
      </c>
      <c r="D709" s="36">
        <v>1.0</v>
      </c>
      <c r="E709" s="131" t="s">
        <v>2091</v>
      </c>
      <c r="F709" s="61">
        <v>2350.0</v>
      </c>
      <c r="G709" s="62">
        <v>45993.0</v>
      </c>
      <c r="H709" s="61">
        <v>410.0</v>
      </c>
      <c r="I709" s="63">
        <f t="shared" si="114"/>
        <v>414</v>
      </c>
      <c r="J709" s="63">
        <f t="shared" si="115"/>
        <v>430.56</v>
      </c>
      <c r="K709" s="61">
        <v>267.5</v>
      </c>
      <c r="L709" s="64">
        <v>0.0</v>
      </c>
      <c r="M709" s="61" t="s">
        <v>24</v>
      </c>
      <c r="N709" s="61" t="s">
        <v>25</v>
      </c>
      <c r="O709" s="36" t="s">
        <v>1004</v>
      </c>
      <c r="P709" s="73">
        <f t="shared" si="101"/>
        <v>1651.94</v>
      </c>
      <c r="Q709" s="36" t="s">
        <v>1004</v>
      </c>
      <c r="R709" s="36" t="s">
        <v>25</v>
      </c>
      <c r="S709" s="89">
        <v>1.39337345E9</v>
      </c>
      <c r="T709" s="114"/>
    </row>
    <row r="710" ht="15.75" customHeight="1">
      <c r="A710" s="8" t="s">
        <v>20</v>
      </c>
      <c r="B710" s="36" t="s">
        <v>179</v>
      </c>
      <c r="C710" s="129" t="s">
        <v>2092</v>
      </c>
      <c r="D710" s="36">
        <v>1.0</v>
      </c>
      <c r="E710" s="129" t="s">
        <v>2092</v>
      </c>
      <c r="F710" s="61">
        <v>2350.0</v>
      </c>
      <c r="G710" s="62">
        <v>45993.0</v>
      </c>
      <c r="H710" s="61">
        <v>410.0</v>
      </c>
      <c r="I710" s="63">
        <f t="shared" si="114"/>
        <v>414</v>
      </c>
      <c r="J710" s="63">
        <f t="shared" si="115"/>
        <v>430.56</v>
      </c>
      <c r="K710" s="61">
        <v>267.5</v>
      </c>
      <c r="L710" s="64">
        <v>0.0</v>
      </c>
      <c r="M710" s="61" t="s">
        <v>24</v>
      </c>
      <c r="N710" s="61" t="s">
        <v>25</v>
      </c>
      <c r="O710" s="36" t="s">
        <v>1004</v>
      </c>
      <c r="P710" s="73">
        <f t="shared" si="101"/>
        <v>1651.94</v>
      </c>
      <c r="Q710" s="36" t="s">
        <v>1004</v>
      </c>
      <c r="R710" s="36" t="s">
        <v>25</v>
      </c>
      <c r="S710" s="89">
        <v>7.520050543E9</v>
      </c>
      <c r="T710" s="114"/>
    </row>
    <row r="711" ht="15.75" customHeight="1">
      <c r="A711" s="8" t="s">
        <v>20</v>
      </c>
      <c r="B711" s="36" t="s">
        <v>179</v>
      </c>
      <c r="C711" s="36" t="s">
        <v>2084</v>
      </c>
      <c r="D711" s="36">
        <v>1.0</v>
      </c>
      <c r="E711" s="60" t="s">
        <v>2093</v>
      </c>
      <c r="F711" s="61">
        <v>600.0</v>
      </c>
      <c r="G711" s="62">
        <v>45994.0</v>
      </c>
      <c r="H711" s="61">
        <v>210.86</v>
      </c>
      <c r="I711" s="63">
        <f t="shared" si="114"/>
        <v>213</v>
      </c>
      <c r="J711" s="63">
        <f t="shared" si="115"/>
        <v>221.52</v>
      </c>
      <c r="K711" s="61">
        <v>200.0</v>
      </c>
      <c r="L711" s="64">
        <v>4.0</v>
      </c>
      <c r="M711" s="61" t="s">
        <v>24</v>
      </c>
      <c r="N711" s="61" t="s">
        <v>25</v>
      </c>
      <c r="O711" s="36" t="s">
        <v>1004</v>
      </c>
      <c r="P711" s="73">
        <f t="shared" si="101"/>
        <v>178.48</v>
      </c>
      <c r="Q711" s="36" t="s">
        <v>1004</v>
      </c>
      <c r="R711" s="36" t="s">
        <v>25</v>
      </c>
      <c r="S711" s="41" t="s">
        <v>2094</v>
      </c>
      <c r="T711" s="114"/>
    </row>
    <row r="712" ht="15.75" customHeight="1">
      <c r="A712" s="8" t="s">
        <v>20</v>
      </c>
      <c r="B712" s="36" t="s">
        <v>37</v>
      </c>
      <c r="C712" s="36" t="s">
        <v>2095</v>
      </c>
      <c r="D712" s="36">
        <v>1.0</v>
      </c>
      <c r="E712" s="60" t="s">
        <v>2096</v>
      </c>
      <c r="F712" s="61">
        <v>0.0</v>
      </c>
      <c r="G712" s="62">
        <v>45994.0</v>
      </c>
      <c r="H712" s="113"/>
      <c r="I712" s="63">
        <f t="shared" si="114"/>
        <v>0</v>
      </c>
      <c r="J712" s="63">
        <f t="shared" si="115"/>
        <v>0</v>
      </c>
      <c r="K712" s="61">
        <v>0.0</v>
      </c>
      <c r="L712" s="64">
        <v>0.0</v>
      </c>
      <c r="M712" s="61" t="s">
        <v>24</v>
      </c>
      <c r="N712" s="61" t="s">
        <v>25</v>
      </c>
      <c r="O712" s="36" t="s">
        <v>867</v>
      </c>
      <c r="P712" s="73">
        <f t="shared" si="101"/>
        <v>0</v>
      </c>
      <c r="Q712" s="36" t="s">
        <v>1981</v>
      </c>
      <c r="R712" s="36" t="s">
        <v>25</v>
      </c>
      <c r="S712" s="41" t="s">
        <v>2097</v>
      </c>
      <c r="T712" s="114"/>
    </row>
    <row r="713" ht="15.75" customHeight="1">
      <c r="A713" s="8" t="s">
        <v>25</v>
      </c>
      <c r="B713" s="36" t="s">
        <v>1833</v>
      </c>
      <c r="C713" s="36" t="s">
        <v>2098</v>
      </c>
      <c r="D713" s="36">
        <v>3.0</v>
      </c>
      <c r="E713" s="36"/>
      <c r="F713" s="61">
        <v>0.0</v>
      </c>
      <c r="G713" s="62">
        <v>45995.0</v>
      </c>
      <c r="H713" s="61">
        <v>2490.0</v>
      </c>
      <c r="I713" s="63">
        <f t="shared" si="114"/>
        <v>2515</v>
      </c>
      <c r="J713" s="63">
        <f>I713+(I713*0.04)+236.2</f>
        <v>2851.8</v>
      </c>
      <c r="K713" s="61">
        <v>625.0</v>
      </c>
      <c r="L713" s="64">
        <v>12.5</v>
      </c>
      <c r="M713" s="61" t="s">
        <v>24</v>
      </c>
      <c r="N713" s="61" t="s">
        <v>25</v>
      </c>
      <c r="O713" s="36" t="s">
        <v>1004</v>
      </c>
      <c r="P713" s="73">
        <f t="shared" si="101"/>
        <v>-3476.8</v>
      </c>
      <c r="Q713" s="36" t="s">
        <v>1981</v>
      </c>
      <c r="R713" s="36" t="s">
        <v>25</v>
      </c>
      <c r="S713" s="41" t="s">
        <v>2099</v>
      </c>
      <c r="T713" s="114"/>
    </row>
    <row r="714" ht="15.75" customHeight="1">
      <c r="A714" s="8" t="s">
        <v>20</v>
      </c>
      <c r="B714" s="36" t="s">
        <v>1833</v>
      </c>
      <c r="C714" s="36" t="s">
        <v>2100</v>
      </c>
      <c r="D714" s="36">
        <v>1.0</v>
      </c>
      <c r="E714" s="60" t="s">
        <v>2101</v>
      </c>
      <c r="F714" s="61">
        <v>0.0</v>
      </c>
      <c r="G714" s="62">
        <v>45995.0</v>
      </c>
      <c r="H714" s="61">
        <v>159.43</v>
      </c>
      <c r="I714" s="61">
        <v>159.43</v>
      </c>
      <c r="J714" s="61">
        <v>159.43</v>
      </c>
      <c r="K714" s="61">
        <v>0.0</v>
      </c>
      <c r="L714" s="64">
        <v>0.0</v>
      </c>
      <c r="M714" s="61" t="s">
        <v>24</v>
      </c>
      <c r="N714" s="61" t="s">
        <v>25</v>
      </c>
      <c r="O714" s="36" t="s">
        <v>1004</v>
      </c>
      <c r="P714" s="73">
        <f t="shared" si="101"/>
        <v>-159.43</v>
      </c>
      <c r="Q714" s="36" t="s">
        <v>1981</v>
      </c>
      <c r="R714" s="36" t="s">
        <v>25</v>
      </c>
      <c r="S714" s="41" t="s">
        <v>2102</v>
      </c>
      <c r="T714" s="114"/>
    </row>
    <row r="715" ht="15.75" customHeight="1">
      <c r="A715" s="8" t="s">
        <v>20</v>
      </c>
      <c r="B715" s="36" t="s">
        <v>1860</v>
      </c>
      <c r="C715" s="36" t="s">
        <v>1798</v>
      </c>
      <c r="D715" s="36">
        <v>1.0</v>
      </c>
      <c r="E715" s="60" t="s">
        <v>2103</v>
      </c>
      <c r="F715" s="61">
        <v>1100.0</v>
      </c>
      <c r="G715" s="62">
        <v>45995.0</v>
      </c>
      <c r="H715" s="61">
        <v>260.0</v>
      </c>
      <c r="I715" s="63">
        <f t="shared" ref="I715:I717" si="116">ROUND(H715+H715*0.01,0)</f>
        <v>263</v>
      </c>
      <c r="J715" s="63">
        <f t="shared" ref="J715:J717" si="117">I715+(I715*0.04)</f>
        <v>273.52</v>
      </c>
      <c r="K715" s="61">
        <v>600.0</v>
      </c>
      <c r="L715" s="64">
        <v>12.0</v>
      </c>
      <c r="M715" s="61" t="s">
        <v>24</v>
      </c>
      <c r="N715" s="61" t="s">
        <v>25</v>
      </c>
      <c r="O715" s="36" t="s">
        <v>867</v>
      </c>
      <c r="P715" s="73">
        <f t="shared" si="101"/>
        <v>226.48</v>
      </c>
      <c r="Q715" s="36" t="s">
        <v>867</v>
      </c>
      <c r="R715" s="36" t="s">
        <v>25</v>
      </c>
      <c r="S715" s="41" t="s">
        <v>2104</v>
      </c>
      <c r="T715" s="114"/>
    </row>
    <row r="716" ht="15.75" customHeight="1">
      <c r="A716" s="8" t="s">
        <v>20</v>
      </c>
      <c r="B716" s="36" t="s">
        <v>179</v>
      </c>
      <c r="C716" s="136" t="s">
        <v>2105</v>
      </c>
      <c r="D716" s="36">
        <v>1.0</v>
      </c>
      <c r="E716" s="129" t="s">
        <v>2105</v>
      </c>
      <c r="F716" s="61">
        <v>2450.0</v>
      </c>
      <c r="G716" s="62">
        <v>45996.0</v>
      </c>
      <c r="H716" s="61">
        <v>410.0</v>
      </c>
      <c r="I716" s="63">
        <f t="shared" si="116"/>
        <v>414</v>
      </c>
      <c r="J716" s="63">
        <f t="shared" si="117"/>
        <v>430.56</v>
      </c>
      <c r="K716" s="61">
        <v>267.5</v>
      </c>
      <c r="L716" s="64">
        <v>0.0</v>
      </c>
      <c r="M716" s="61" t="s">
        <v>24</v>
      </c>
      <c r="N716" s="61" t="s">
        <v>25</v>
      </c>
      <c r="O716" s="36" t="s">
        <v>1004</v>
      </c>
      <c r="P716" s="73">
        <f t="shared" si="101"/>
        <v>1751.94</v>
      </c>
      <c r="Q716" s="36" t="s">
        <v>1004</v>
      </c>
      <c r="R716" s="36" t="s">
        <v>25</v>
      </c>
      <c r="S716" s="89">
        <v>1.321991775E9</v>
      </c>
      <c r="T716" s="114"/>
    </row>
    <row r="717" ht="15.75" customHeight="1">
      <c r="A717" s="8" t="s">
        <v>20</v>
      </c>
      <c r="B717" s="36" t="s">
        <v>2106</v>
      </c>
      <c r="C717" s="36" t="s">
        <v>2107</v>
      </c>
      <c r="D717" s="36">
        <v>2.0</v>
      </c>
      <c r="E717" s="60" t="s">
        <v>2108</v>
      </c>
      <c r="F717" s="61">
        <v>260.0</v>
      </c>
      <c r="G717" s="62">
        <v>45996.0</v>
      </c>
      <c r="H717" s="98">
        <v>153.08</v>
      </c>
      <c r="I717" s="63">
        <f t="shared" si="116"/>
        <v>155</v>
      </c>
      <c r="J717" s="63">
        <f t="shared" si="117"/>
        <v>161.2</v>
      </c>
      <c r="K717" s="61">
        <v>50.0</v>
      </c>
      <c r="L717" s="64">
        <v>1.0</v>
      </c>
      <c r="M717" s="61" t="s">
        <v>24</v>
      </c>
      <c r="N717" s="61" t="s">
        <v>25</v>
      </c>
      <c r="O717" s="36" t="s">
        <v>867</v>
      </c>
      <c r="P717" s="73">
        <f t="shared" si="101"/>
        <v>48.8</v>
      </c>
      <c r="Q717" s="36" t="s">
        <v>867</v>
      </c>
      <c r="R717" s="36" t="s">
        <v>25</v>
      </c>
      <c r="S717" s="41" t="s">
        <v>2109</v>
      </c>
      <c r="T717" s="114"/>
    </row>
    <row r="718" ht="15.75" customHeight="1">
      <c r="A718" s="8" t="s">
        <v>20</v>
      </c>
      <c r="B718" s="36" t="s">
        <v>2110</v>
      </c>
      <c r="C718" s="36" t="s">
        <v>2111</v>
      </c>
      <c r="D718" s="36">
        <v>1.0</v>
      </c>
      <c r="E718" s="60" t="s">
        <v>2112</v>
      </c>
      <c r="F718" s="61">
        <v>65.0</v>
      </c>
      <c r="G718" s="81">
        <v>46002.0</v>
      </c>
      <c r="H718" s="116">
        <v>28.15</v>
      </c>
      <c r="I718" s="116">
        <v>28.15</v>
      </c>
      <c r="J718" s="116">
        <v>28.15</v>
      </c>
      <c r="K718" s="61">
        <v>0.0</v>
      </c>
      <c r="L718" s="64">
        <v>0.0</v>
      </c>
      <c r="M718" s="61" t="s">
        <v>24</v>
      </c>
      <c r="N718" s="61" t="s">
        <v>25</v>
      </c>
      <c r="O718" s="36" t="s">
        <v>867</v>
      </c>
      <c r="P718" s="73">
        <f t="shared" si="101"/>
        <v>36.85</v>
      </c>
      <c r="Q718" s="36" t="s">
        <v>867</v>
      </c>
      <c r="R718" s="36" t="s">
        <v>25</v>
      </c>
      <c r="S718" s="41" t="s">
        <v>2113</v>
      </c>
      <c r="T718" s="114"/>
    </row>
    <row r="719" ht="15.75" customHeight="1">
      <c r="A719" s="8" t="s">
        <v>25</v>
      </c>
      <c r="B719" s="36" t="s">
        <v>1833</v>
      </c>
      <c r="C719" s="36" t="s">
        <v>2114</v>
      </c>
      <c r="D719" s="36">
        <v>9.0</v>
      </c>
      <c r="E719" s="60" t="s">
        <v>2115</v>
      </c>
      <c r="F719" s="61">
        <v>0.0</v>
      </c>
      <c r="G719" s="62">
        <v>46003.0</v>
      </c>
      <c r="H719" s="61">
        <v>1440.0</v>
      </c>
      <c r="I719" s="63">
        <f t="shared" ref="I719:I742" si="118">ROUND(H719+H719*0.01,0)</f>
        <v>1454</v>
      </c>
      <c r="J719" s="63">
        <f t="shared" ref="J719:J732" si="119">I719+(I719*0.04)</f>
        <v>1512.16</v>
      </c>
      <c r="K719" s="61">
        <v>2075.0</v>
      </c>
      <c r="L719" s="64">
        <v>41.5</v>
      </c>
      <c r="M719" s="61" t="s">
        <v>24</v>
      </c>
      <c r="N719" s="61" t="s">
        <v>25</v>
      </c>
      <c r="O719" s="36" t="s">
        <v>1004</v>
      </c>
      <c r="P719" s="73">
        <f t="shared" si="101"/>
        <v>-3587.16</v>
      </c>
      <c r="Q719" s="36" t="s">
        <v>1981</v>
      </c>
      <c r="R719" s="36" t="s">
        <v>25</v>
      </c>
      <c r="S719" s="41" t="s">
        <v>2116</v>
      </c>
      <c r="T719" s="114"/>
    </row>
    <row r="720" ht="15.75" customHeight="1">
      <c r="A720" s="8" t="s">
        <v>20</v>
      </c>
      <c r="B720" s="36" t="s">
        <v>905</v>
      </c>
      <c r="C720" s="36" t="s">
        <v>2117</v>
      </c>
      <c r="D720" s="36">
        <v>1.0</v>
      </c>
      <c r="E720" s="60" t="s">
        <v>2118</v>
      </c>
      <c r="F720" s="61">
        <v>320.0</v>
      </c>
      <c r="G720" s="62"/>
      <c r="H720" s="61">
        <v>159.99</v>
      </c>
      <c r="I720" s="63">
        <f t="shared" si="118"/>
        <v>162</v>
      </c>
      <c r="J720" s="63">
        <f t="shared" si="119"/>
        <v>168.48</v>
      </c>
      <c r="K720" s="61">
        <v>100.0</v>
      </c>
      <c r="L720" s="64">
        <v>2.0</v>
      </c>
      <c r="M720" s="61" t="s">
        <v>24</v>
      </c>
      <c r="N720" s="61" t="s">
        <v>25</v>
      </c>
      <c r="O720" s="36" t="s">
        <v>1004</v>
      </c>
      <c r="P720" s="73">
        <f t="shared" si="101"/>
        <v>51.52</v>
      </c>
      <c r="Q720" s="36" t="s">
        <v>1004</v>
      </c>
      <c r="R720" s="36" t="s">
        <v>25</v>
      </c>
      <c r="S720" s="41" t="s">
        <v>2119</v>
      </c>
      <c r="T720" s="114"/>
    </row>
    <row r="721" ht="15.75" customHeight="1">
      <c r="A721" s="8" t="s">
        <v>20</v>
      </c>
      <c r="B721" s="36" t="s">
        <v>37</v>
      </c>
      <c r="C721" s="36" t="s">
        <v>2120</v>
      </c>
      <c r="D721" s="36">
        <v>1.0</v>
      </c>
      <c r="E721" s="60" t="s">
        <v>2121</v>
      </c>
      <c r="F721" s="61"/>
      <c r="G721" s="62">
        <v>46008.0</v>
      </c>
      <c r="H721" s="113"/>
      <c r="I721" s="63">
        <f t="shared" si="118"/>
        <v>0</v>
      </c>
      <c r="J721" s="63">
        <f t="shared" si="119"/>
        <v>0</v>
      </c>
      <c r="K721" s="61">
        <v>200.0</v>
      </c>
      <c r="L721" s="64">
        <v>4.0</v>
      </c>
      <c r="M721" s="61" t="s">
        <v>24</v>
      </c>
      <c r="N721" s="61" t="s">
        <v>25</v>
      </c>
      <c r="O721" s="36" t="s">
        <v>1004</v>
      </c>
      <c r="P721" s="73">
        <f t="shared" si="101"/>
        <v>-200</v>
      </c>
      <c r="Q721" s="36" t="s">
        <v>1981</v>
      </c>
      <c r="R721" s="36" t="s">
        <v>25</v>
      </c>
      <c r="S721" s="41" t="s">
        <v>2122</v>
      </c>
      <c r="T721" s="114"/>
    </row>
    <row r="722" ht="15.75" customHeight="1">
      <c r="A722" s="8" t="s">
        <v>20</v>
      </c>
      <c r="B722" s="36" t="s">
        <v>37</v>
      </c>
      <c r="C722" s="36" t="s">
        <v>2123</v>
      </c>
      <c r="D722" s="36">
        <v>1.0</v>
      </c>
      <c r="E722" s="36"/>
      <c r="F722" s="61"/>
      <c r="G722" s="62">
        <v>46008.0</v>
      </c>
      <c r="H722" s="113"/>
      <c r="I722" s="63">
        <f t="shared" si="118"/>
        <v>0</v>
      </c>
      <c r="J722" s="63">
        <f t="shared" si="119"/>
        <v>0</v>
      </c>
      <c r="K722" s="113"/>
      <c r="L722" s="123"/>
      <c r="M722" s="61" t="s">
        <v>24</v>
      </c>
      <c r="N722" s="61" t="s">
        <v>25</v>
      </c>
      <c r="O722" s="36" t="s">
        <v>1004</v>
      </c>
      <c r="P722" s="73">
        <f t="shared" si="101"/>
        <v>0</v>
      </c>
      <c r="Q722" s="36" t="s">
        <v>1981</v>
      </c>
      <c r="R722" s="36" t="s">
        <v>25</v>
      </c>
      <c r="S722" s="102" t="s">
        <v>1693</v>
      </c>
      <c r="T722" s="114"/>
    </row>
    <row r="723" ht="15.75" customHeight="1">
      <c r="A723" s="8" t="s">
        <v>20</v>
      </c>
      <c r="B723" s="36" t="s">
        <v>37</v>
      </c>
      <c r="C723" s="36" t="s">
        <v>2124</v>
      </c>
      <c r="D723" s="36">
        <v>1.0</v>
      </c>
      <c r="E723" s="36"/>
      <c r="F723" s="61"/>
      <c r="G723" s="81">
        <v>46008.0</v>
      </c>
      <c r="H723" s="113"/>
      <c r="I723" s="63">
        <f t="shared" si="118"/>
        <v>0</v>
      </c>
      <c r="J723" s="63">
        <f t="shared" si="119"/>
        <v>0</v>
      </c>
      <c r="K723" s="61">
        <v>200.0</v>
      </c>
      <c r="L723" s="64">
        <v>4.0</v>
      </c>
      <c r="M723" s="61" t="s">
        <v>24</v>
      </c>
      <c r="N723" s="61" t="s">
        <v>25</v>
      </c>
      <c r="O723" s="36" t="s">
        <v>1004</v>
      </c>
      <c r="P723" s="73">
        <f t="shared" si="101"/>
        <v>-200</v>
      </c>
      <c r="Q723" s="36" t="s">
        <v>1981</v>
      </c>
      <c r="R723" s="36" t="s">
        <v>25</v>
      </c>
      <c r="S723" s="41" t="s">
        <v>2125</v>
      </c>
      <c r="T723" s="114"/>
    </row>
    <row r="724" ht="15.75" customHeight="1">
      <c r="A724" s="8" t="s">
        <v>20</v>
      </c>
      <c r="B724" s="36" t="s">
        <v>2126</v>
      </c>
      <c r="C724" s="36" t="s">
        <v>2127</v>
      </c>
      <c r="D724" s="36">
        <v>1.0</v>
      </c>
      <c r="E724" s="60" t="s">
        <v>2128</v>
      </c>
      <c r="F724" s="61">
        <v>830.0</v>
      </c>
      <c r="G724" s="62">
        <v>46009.0</v>
      </c>
      <c r="H724" s="61">
        <v>444.35</v>
      </c>
      <c r="I724" s="63">
        <f t="shared" si="118"/>
        <v>449</v>
      </c>
      <c r="J724" s="63">
        <f t="shared" si="119"/>
        <v>466.96</v>
      </c>
      <c r="K724" s="61">
        <v>50.0</v>
      </c>
      <c r="L724" s="64">
        <v>1.0</v>
      </c>
      <c r="M724" s="61" t="s">
        <v>24</v>
      </c>
      <c r="N724" s="61" t="s">
        <v>25</v>
      </c>
      <c r="O724" s="36" t="s">
        <v>1004</v>
      </c>
      <c r="P724" s="73">
        <f t="shared" si="101"/>
        <v>313.04</v>
      </c>
      <c r="Q724" s="36" t="s">
        <v>1004</v>
      </c>
      <c r="R724" s="36" t="s">
        <v>25</v>
      </c>
      <c r="S724" s="41" t="s">
        <v>2129</v>
      </c>
      <c r="T724" s="114"/>
    </row>
    <row r="725" ht="15.75" customHeight="1">
      <c r="A725" s="8" t="s">
        <v>20</v>
      </c>
      <c r="B725" s="36" t="s">
        <v>1916</v>
      </c>
      <c r="C725" s="36" t="s">
        <v>2130</v>
      </c>
      <c r="D725" s="36">
        <v>2.0</v>
      </c>
      <c r="E725" s="60" t="s">
        <v>2131</v>
      </c>
      <c r="F725" s="61">
        <v>400.0</v>
      </c>
      <c r="G725" s="62">
        <v>46009.0</v>
      </c>
      <c r="H725" s="61">
        <v>177.98</v>
      </c>
      <c r="I725" s="63">
        <f t="shared" si="118"/>
        <v>180</v>
      </c>
      <c r="J725" s="63">
        <f t="shared" si="119"/>
        <v>187.2</v>
      </c>
      <c r="K725" s="61">
        <v>200.0</v>
      </c>
      <c r="L725" s="64">
        <v>4.0</v>
      </c>
      <c r="M725" s="61" t="s">
        <v>24</v>
      </c>
      <c r="N725" s="61" t="s">
        <v>25</v>
      </c>
      <c r="O725" s="36" t="s">
        <v>1004</v>
      </c>
      <c r="P725" s="73">
        <f t="shared" si="101"/>
        <v>12.8</v>
      </c>
      <c r="Q725" s="36" t="s">
        <v>1004</v>
      </c>
      <c r="R725" s="36" t="s">
        <v>25</v>
      </c>
      <c r="S725" s="41" t="s">
        <v>2132</v>
      </c>
      <c r="T725" s="114"/>
    </row>
    <row r="726" ht="15.75" customHeight="1">
      <c r="A726" s="8" t="s">
        <v>20</v>
      </c>
      <c r="B726" s="36" t="s">
        <v>1797</v>
      </c>
      <c r="C726" s="36" t="s">
        <v>2127</v>
      </c>
      <c r="D726" s="36">
        <v>1.0</v>
      </c>
      <c r="E726" s="115" t="s">
        <v>2133</v>
      </c>
      <c r="F726" s="61">
        <v>780.0</v>
      </c>
      <c r="G726" s="62">
        <v>46009.0</v>
      </c>
      <c r="H726" s="61">
        <v>529.35</v>
      </c>
      <c r="I726" s="63">
        <f t="shared" si="118"/>
        <v>535</v>
      </c>
      <c r="J726" s="63">
        <f t="shared" si="119"/>
        <v>556.4</v>
      </c>
      <c r="K726" s="61">
        <v>50.0</v>
      </c>
      <c r="L726" s="64">
        <v>1.0</v>
      </c>
      <c r="M726" s="61" t="s">
        <v>2134</v>
      </c>
      <c r="N726" s="61" t="s">
        <v>20</v>
      </c>
      <c r="O726" s="36" t="s">
        <v>867</v>
      </c>
      <c r="P726" s="73">
        <f t="shared" si="101"/>
        <v>173.6</v>
      </c>
      <c r="Q726" s="36" t="s">
        <v>1981</v>
      </c>
      <c r="R726" s="114" t="s">
        <v>20</v>
      </c>
      <c r="S726" s="41" t="s">
        <v>2135</v>
      </c>
      <c r="T726" s="114"/>
    </row>
    <row r="727" ht="15.75" customHeight="1">
      <c r="A727" s="8" t="s">
        <v>20</v>
      </c>
      <c r="B727" s="36" t="s">
        <v>2136</v>
      </c>
      <c r="C727" s="36" t="s">
        <v>2137</v>
      </c>
      <c r="D727" s="36">
        <v>1.0</v>
      </c>
      <c r="E727" s="60" t="s">
        <v>2138</v>
      </c>
      <c r="F727" s="61">
        <f>150</f>
        <v>150</v>
      </c>
      <c r="G727" s="62">
        <v>46009.0</v>
      </c>
      <c r="H727" s="61">
        <v>48.45</v>
      </c>
      <c r="I727" s="63">
        <f t="shared" si="118"/>
        <v>49</v>
      </c>
      <c r="J727" s="63">
        <f t="shared" si="119"/>
        <v>50.96</v>
      </c>
      <c r="K727" s="61">
        <v>33.33</v>
      </c>
      <c r="L727" s="64">
        <v>0.66</v>
      </c>
      <c r="M727" s="61" t="s">
        <v>2134</v>
      </c>
      <c r="N727" s="61" t="s">
        <v>20</v>
      </c>
      <c r="O727" s="36" t="s">
        <v>867</v>
      </c>
      <c r="P727" s="73">
        <f t="shared" si="101"/>
        <v>65.71</v>
      </c>
      <c r="Q727" s="36" t="s">
        <v>1981</v>
      </c>
      <c r="R727" s="114" t="s">
        <v>20</v>
      </c>
      <c r="S727" s="47" t="s">
        <v>2139</v>
      </c>
      <c r="T727" s="114"/>
    </row>
    <row r="728" ht="15.75" customHeight="1">
      <c r="A728" s="8" t="s">
        <v>20</v>
      </c>
      <c r="B728" s="36" t="s">
        <v>2136</v>
      </c>
      <c r="C728" s="36" t="s">
        <v>2140</v>
      </c>
      <c r="D728" s="36">
        <v>1.0</v>
      </c>
      <c r="E728" s="60" t="s">
        <v>2141</v>
      </c>
      <c r="F728" s="61">
        <f>1500</f>
        <v>1500</v>
      </c>
      <c r="G728" s="62">
        <v>46009.0</v>
      </c>
      <c r="H728" s="61">
        <f>905.68+342.54</f>
        <v>1248.22</v>
      </c>
      <c r="I728" s="63">
        <f t="shared" si="118"/>
        <v>1261</v>
      </c>
      <c r="J728" s="63">
        <f t="shared" si="119"/>
        <v>1311.44</v>
      </c>
      <c r="K728" s="61">
        <v>33.33</v>
      </c>
      <c r="L728" s="64">
        <v>0.66</v>
      </c>
      <c r="M728" s="61" t="s">
        <v>2134</v>
      </c>
      <c r="N728" s="61" t="s">
        <v>20</v>
      </c>
      <c r="O728" s="36" t="s">
        <v>867</v>
      </c>
      <c r="P728" s="73">
        <f t="shared" si="101"/>
        <v>155.23</v>
      </c>
      <c r="Q728" s="36" t="s">
        <v>1981</v>
      </c>
      <c r="R728" s="114" t="s">
        <v>20</v>
      </c>
      <c r="S728" s="102" t="s">
        <v>2142</v>
      </c>
      <c r="T728" s="114"/>
    </row>
    <row r="729" ht="15.75" customHeight="1">
      <c r="A729" s="8" t="s">
        <v>20</v>
      </c>
      <c r="B729" s="36" t="s">
        <v>2136</v>
      </c>
      <c r="C729" s="36" t="s">
        <v>2143</v>
      </c>
      <c r="D729" s="36">
        <v>1.0</v>
      </c>
      <c r="E729" s="60" t="s">
        <v>2144</v>
      </c>
      <c r="F729" s="61">
        <f>1200</f>
        <v>1200</v>
      </c>
      <c r="G729" s="62">
        <v>46009.0</v>
      </c>
      <c r="H729" s="61">
        <f>625+342.54</f>
        <v>967.54</v>
      </c>
      <c r="I729" s="63">
        <f t="shared" si="118"/>
        <v>977</v>
      </c>
      <c r="J729" s="63">
        <f t="shared" si="119"/>
        <v>1016.08</v>
      </c>
      <c r="K729" s="61">
        <v>33.33</v>
      </c>
      <c r="L729" s="64">
        <v>0.66</v>
      </c>
      <c r="M729" s="61" t="s">
        <v>2134</v>
      </c>
      <c r="N729" s="61" t="s">
        <v>20</v>
      </c>
      <c r="O729" s="36" t="s">
        <v>867</v>
      </c>
      <c r="P729" s="73">
        <f t="shared" si="101"/>
        <v>150.59</v>
      </c>
      <c r="Q729" s="36" t="s">
        <v>1981</v>
      </c>
      <c r="R729" s="114" t="s">
        <v>20</v>
      </c>
      <c r="S729" s="102" t="s">
        <v>2142</v>
      </c>
      <c r="T729" s="114"/>
    </row>
    <row r="730" ht="15.75" customHeight="1">
      <c r="A730" s="8" t="s">
        <v>20</v>
      </c>
      <c r="B730" s="36" t="s">
        <v>37</v>
      </c>
      <c r="C730" s="36" t="s">
        <v>2145</v>
      </c>
      <c r="D730" s="36">
        <v>1.0</v>
      </c>
      <c r="E730" s="60" t="s">
        <v>2146</v>
      </c>
      <c r="F730" s="61"/>
      <c r="G730" s="62">
        <v>46010.0</v>
      </c>
      <c r="H730" s="113"/>
      <c r="I730" s="63">
        <f t="shared" si="118"/>
        <v>0</v>
      </c>
      <c r="J730" s="63">
        <f t="shared" si="119"/>
        <v>0</v>
      </c>
      <c r="K730" s="61">
        <v>50.0</v>
      </c>
      <c r="L730" s="64">
        <v>1.0</v>
      </c>
      <c r="M730" s="61" t="s">
        <v>24</v>
      </c>
      <c r="N730" s="61" t="s">
        <v>25</v>
      </c>
      <c r="O730" s="36" t="s">
        <v>867</v>
      </c>
      <c r="P730" s="73">
        <f t="shared" si="101"/>
        <v>-50</v>
      </c>
      <c r="Q730" s="36" t="s">
        <v>1981</v>
      </c>
      <c r="R730" s="36" t="s">
        <v>25</v>
      </c>
      <c r="S730" s="41" t="s">
        <v>2147</v>
      </c>
      <c r="T730" s="114"/>
    </row>
    <row r="731" ht="15.75" customHeight="1">
      <c r="A731" s="8" t="s">
        <v>20</v>
      </c>
      <c r="B731" s="36" t="s">
        <v>179</v>
      </c>
      <c r="C731" s="131" t="s">
        <v>2148</v>
      </c>
      <c r="D731" s="36">
        <v>1.0</v>
      </c>
      <c r="E731" s="36"/>
      <c r="F731" s="98">
        <v>2450.0</v>
      </c>
      <c r="G731" s="62">
        <v>46010.0</v>
      </c>
      <c r="H731" s="61">
        <v>469.88</v>
      </c>
      <c r="I731" s="63">
        <f t="shared" si="118"/>
        <v>475</v>
      </c>
      <c r="J731" s="63">
        <f t="shared" si="119"/>
        <v>494</v>
      </c>
      <c r="K731" s="61">
        <v>210.75</v>
      </c>
      <c r="L731" s="64">
        <v>1.0</v>
      </c>
      <c r="M731" s="61" t="s">
        <v>24</v>
      </c>
      <c r="N731" s="61" t="s">
        <v>25</v>
      </c>
      <c r="O731" s="36" t="s">
        <v>867</v>
      </c>
      <c r="P731" s="73">
        <f t="shared" si="101"/>
        <v>1745.25</v>
      </c>
      <c r="Q731" s="36" t="s">
        <v>1004</v>
      </c>
      <c r="R731" s="36" t="s">
        <v>25</v>
      </c>
      <c r="S731" s="89">
        <v>6.477918882E9</v>
      </c>
      <c r="T731" s="114"/>
    </row>
    <row r="732" ht="15.75" customHeight="1">
      <c r="A732" s="8" t="s">
        <v>20</v>
      </c>
      <c r="B732" s="36" t="s">
        <v>1954</v>
      </c>
      <c r="C732" s="36" t="s">
        <v>2149</v>
      </c>
      <c r="D732" s="36">
        <v>1.0</v>
      </c>
      <c r="E732" s="60" t="s">
        <v>2150</v>
      </c>
      <c r="F732" s="61">
        <v>3500.0</v>
      </c>
      <c r="G732" s="62">
        <v>46010.0</v>
      </c>
      <c r="H732" s="61">
        <v>1295.1</v>
      </c>
      <c r="I732" s="63">
        <f t="shared" si="118"/>
        <v>1308</v>
      </c>
      <c r="J732" s="63">
        <f t="shared" si="119"/>
        <v>1360.32</v>
      </c>
      <c r="K732" s="61">
        <v>1550.0</v>
      </c>
      <c r="L732" s="64">
        <v>31.0</v>
      </c>
      <c r="M732" s="61" t="s">
        <v>24</v>
      </c>
      <c r="N732" s="61" t="s">
        <v>25</v>
      </c>
      <c r="O732" s="36" t="s">
        <v>867</v>
      </c>
      <c r="P732" s="73">
        <f t="shared" si="101"/>
        <v>589.68</v>
      </c>
      <c r="Q732" s="36" t="s">
        <v>867</v>
      </c>
      <c r="R732" s="36" t="s">
        <v>25</v>
      </c>
      <c r="S732" s="41" t="s">
        <v>2151</v>
      </c>
      <c r="T732" s="36"/>
    </row>
    <row r="733" ht="15.75" customHeight="1">
      <c r="A733" s="8" t="s">
        <v>25</v>
      </c>
      <c r="B733" s="36" t="s">
        <v>1833</v>
      </c>
      <c r="C733" s="36" t="s">
        <v>2152</v>
      </c>
      <c r="D733" s="36">
        <v>4.0</v>
      </c>
      <c r="E733" s="60" t="s">
        <v>2153</v>
      </c>
      <c r="F733" s="61">
        <v>0.0</v>
      </c>
      <c r="G733" s="62">
        <v>46014.0</v>
      </c>
      <c r="H733" s="61">
        <v>849.56</v>
      </c>
      <c r="I733" s="63">
        <f t="shared" si="118"/>
        <v>858</v>
      </c>
      <c r="J733" s="63">
        <f>I733+(I733*0.04)+56.91</f>
        <v>949.23</v>
      </c>
      <c r="K733" s="61">
        <v>450.0</v>
      </c>
      <c r="L733" s="64">
        <v>9.0</v>
      </c>
      <c r="M733" s="61" t="s">
        <v>24</v>
      </c>
      <c r="N733" s="61" t="s">
        <v>25</v>
      </c>
      <c r="O733" s="36" t="s">
        <v>867</v>
      </c>
      <c r="P733" s="73">
        <f t="shared" si="101"/>
        <v>-1399.23</v>
      </c>
      <c r="Q733" s="36" t="s">
        <v>1981</v>
      </c>
      <c r="R733" s="36" t="s">
        <v>25</v>
      </c>
      <c r="S733" s="102" t="s">
        <v>2154</v>
      </c>
      <c r="T733" s="114"/>
    </row>
    <row r="734" ht="15.75" customHeight="1">
      <c r="A734" s="8" t="s">
        <v>25</v>
      </c>
      <c r="B734" s="36" t="s">
        <v>179</v>
      </c>
      <c r="C734" s="36" t="s">
        <v>2155</v>
      </c>
      <c r="D734" s="36">
        <v>1.0</v>
      </c>
      <c r="E734" s="36"/>
      <c r="F734" s="61">
        <v>1054.0</v>
      </c>
      <c r="G734" s="62"/>
      <c r="H734" s="113"/>
      <c r="I734" s="63">
        <f t="shared" si="118"/>
        <v>0</v>
      </c>
      <c r="J734" s="63">
        <f t="shared" ref="J734:J739" si="120">I734+(I734*0.04)</f>
        <v>0</v>
      </c>
      <c r="K734" s="113"/>
      <c r="L734" s="123"/>
      <c r="M734" s="61" t="s">
        <v>24</v>
      </c>
      <c r="N734" s="61" t="s">
        <v>25</v>
      </c>
      <c r="O734" s="36" t="s">
        <v>1004</v>
      </c>
      <c r="P734" s="73">
        <f t="shared" si="101"/>
        <v>1054</v>
      </c>
      <c r="Q734" s="36" t="s">
        <v>1004</v>
      </c>
      <c r="R734" s="36" t="s">
        <v>25</v>
      </c>
      <c r="S734" s="41" t="s">
        <v>24</v>
      </c>
      <c r="T734" s="114"/>
    </row>
    <row r="735" ht="15.75" customHeight="1">
      <c r="A735" s="8" t="s">
        <v>20</v>
      </c>
      <c r="B735" s="36" t="s">
        <v>581</v>
      </c>
      <c r="C735" s="36" t="s">
        <v>2069</v>
      </c>
      <c r="D735" s="36">
        <v>1.0</v>
      </c>
      <c r="E735" s="60" t="s">
        <v>2156</v>
      </c>
      <c r="F735" s="61">
        <v>1900.0</v>
      </c>
      <c r="G735" s="62">
        <v>46021.0</v>
      </c>
      <c r="H735" s="61">
        <v>1027.68</v>
      </c>
      <c r="I735" s="63">
        <f t="shared" si="118"/>
        <v>1038</v>
      </c>
      <c r="J735" s="63">
        <f t="shared" si="120"/>
        <v>1079.52</v>
      </c>
      <c r="K735" s="61">
        <v>450.0</v>
      </c>
      <c r="L735" s="64">
        <v>9.0</v>
      </c>
      <c r="M735" s="61" t="s">
        <v>24</v>
      </c>
      <c r="N735" s="61" t="s">
        <v>25</v>
      </c>
      <c r="O735" s="36" t="s">
        <v>867</v>
      </c>
      <c r="P735" s="73">
        <f t="shared" si="101"/>
        <v>370.48</v>
      </c>
      <c r="Q735" s="36" t="s">
        <v>867</v>
      </c>
      <c r="R735" s="114" t="s">
        <v>20</v>
      </c>
      <c r="S735" s="41" t="s">
        <v>2157</v>
      </c>
      <c r="T735" s="114"/>
    </row>
    <row r="736" ht="15.75" customHeight="1">
      <c r="A736" s="8" t="s">
        <v>20</v>
      </c>
      <c r="B736" s="36" t="s">
        <v>2136</v>
      </c>
      <c r="C736" s="36" t="s">
        <v>2158</v>
      </c>
      <c r="D736" s="36">
        <v>1.0</v>
      </c>
      <c r="E736" s="60" t="s">
        <v>2159</v>
      </c>
      <c r="F736" s="61">
        <f>650</f>
        <v>650</v>
      </c>
      <c r="G736" s="62">
        <v>46027.0</v>
      </c>
      <c r="H736" s="61">
        <v>457.83</v>
      </c>
      <c r="I736" s="63">
        <f t="shared" si="118"/>
        <v>462</v>
      </c>
      <c r="J736" s="63">
        <f t="shared" si="120"/>
        <v>480.48</v>
      </c>
      <c r="K736" s="61">
        <v>50.0</v>
      </c>
      <c r="L736" s="64">
        <v>1.0</v>
      </c>
      <c r="M736" s="61" t="s">
        <v>2134</v>
      </c>
      <c r="N736" s="61" t="s">
        <v>20</v>
      </c>
      <c r="O736" s="36" t="s">
        <v>867</v>
      </c>
      <c r="P736" s="73">
        <f t="shared" si="101"/>
        <v>119.52</v>
      </c>
      <c r="Q736" s="36" t="s">
        <v>1981</v>
      </c>
      <c r="R736" s="114" t="s">
        <v>20</v>
      </c>
      <c r="S736" s="41" t="s">
        <v>2160</v>
      </c>
      <c r="T736" s="80" t="s">
        <v>2161</v>
      </c>
    </row>
    <row r="737" ht="15.75" customHeight="1">
      <c r="A737" s="8" t="s">
        <v>20</v>
      </c>
      <c r="B737" s="36" t="s">
        <v>581</v>
      </c>
      <c r="C737" s="36" t="s">
        <v>2162</v>
      </c>
      <c r="D737" s="36">
        <v>115.0</v>
      </c>
      <c r="E737" s="36"/>
      <c r="F737" s="61">
        <f>(60*L737)+J737</f>
        <v>7814.48</v>
      </c>
      <c r="G737" s="62">
        <v>46039.0</v>
      </c>
      <c r="H737" s="61">
        <v>3898.09</v>
      </c>
      <c r="I737" s="63">
        <f t="shared" si="118"/>
        <v>3937</v>
      </c>
      <c r="J737" s="63">
        <f t="shared" si="120"/>
        <v>4094.48</v>
      </c>
      <c r="K737" s="61">
        <v>2952.44</v>
      </c>
      <c r="L737" s="64">
        <v>62.0</v>
      </c>
      <c r="M737" s="61" t="s">
        <v>24</v>
      </c>
      <c r="N737" s="61" t="s">
        <v>25</v>
      </c>
      <c r="O737" s="36" t="s">
        <v>867</v>
      </c>
      <c r="P737" s="73">
        <f t="shared" si="101"/>
        <v>767.56</v>
      </c>
      <c r="Q737" s="36" t="s">
        <v>867</v>
      </c>
      <c r="R737" s="114" t="s">
        <v>20</v>
      </c>
      <c r="S737" s="41" t="s">
        <v>2163</v>
      </c>
      <c r="T737" s="36"/>
    </row>
    <row r="738" ht="15.75" customHeight="1">
      <c r="A738" s="8" t="s">
        <v>20</v>
      </c>
      <c r="B738" s="36" t="s">
        <v>179</v>
      </c>
      <c r="C738" s="36" t="s">
        <v>2164</v>
      </c>
      <c r="D738" s="36">
        <v>1.0</v>
      </c>
      <c r="E738" s="60" t="s">
        <v>2165</v>
      </c>
      <c r="F738" s="61">
        <v>180.0</v>
      </c>
      <c r="G738" s="62">
        <v>46042.0</v>
      </c>
      <c r="H738" s="61">
        <v>125.19</v>
      </c>
      <c r="I738" s="63">
        <f t="shared" si="118"/>
        <v>126</v>
      </c>
      <c r="J738" s="63">
        <f t="shared" si="120"/>
        <v>131.04</v>
      </c>
      <c r="K738" s="61">
        <v>0.0</v>
      </c>
      <c r="L738" s="64">
        <v>0.0</v>
      </c>
      <c r="M738" s="61" t="s">
        <v>24</v>
      </c>
      <c r="N738" s="61" t="s">
        <v>20</v>
      </c>
      <c r="O738" s="36" t="s">
        <v>1004</v>
      </c>
      <c r="P738" s="73">
        <f t="shared" si="101"/>
        <v>48.96</v>
      </c>
      <c r="Q738" s="36" t="s">
        <v>1981</v>
      </c>
      <c r="R738" s="114" t="s">
        <v>20</v>
      </c>
      <c r="S738" s="41" t="s">
        <v>2166</v>
      </c>
      <c r="T738" s="36"/>
    </row>
    <row r="739" ht="15.75" customHeight="1">
      <c r="A739" s="8" t="s">
        <v>20</v>
      </c>
      <c r="B739" s="36" t="s">
        <v>179</v>
      </c>
      <c r="C739" s="36" t="s">
        <v>2167</v>
      </c>
      <c r="D739" s="36">
        <v>2.0</v>
      </c>
      <c r="E739" s="60" t="s">
        <v>2168</v>
      </c>
      <c r="F739" s="61">
        <v>150.0</v>
      </c>
      <c r="G739" s="81">
        <v>46042.0</v>
      </c>
      <c r="H739" s="61">
        <v>52.97</v>
      </c>
      <c r="I739" s="63">
        <f t="shared" si="118"/>
        <v>53</v>
      </c>
      <c r="J739" s="63">
        <f t="shared" si="120"/>
        <v>55.12</v>
      </c>
      <c r="K739" s="61">
        <v>47.62</v>
      </c>
      <c r="L739" s="64">
        <v>1.0</v>
      </c>
      <c r="M739" s="61" t="s">
        <v>24</v>
      </c>
      <c r="N739" s="61" t="s">
        <v>20</v>
      </c>
      <c r="O739" s="36" t="s">
        <v>1004</v>
      </c>
      <c r="P739" s="73">
        <f t="shared" si="101"/>
        <v>47.26</v>
      </c>
      <c r="Q739" s="36" t="s">
        <v>1981</v>
      </c>
      <c r="R739" s="114" t="s">
        <v>20</v>
      </c>
      <c r="S739" s="41" t="s">
        <v>2169</v>
      </c>
      <c r="T739" s="114"/>
    </row>
    <row r="740" ht="15.75" customHeight="1">
      <c r="A740" s="8" t="s">
        <v>20</v>
      </c>
      <c r="B740" s="36" t="s">
        <v>1954</v>
      </c>
      <c r="C740" s="36" t="s">
        <v>2170</v>
      </c>
      <c r="D740" s="36">
        <v>1.0</v>
      </c>
      <c r="E740" s="60" t="s">
        <v>2171</v>
      </c>
      <c r="F740" s="61">
        <v>225.0</v>
      </c>
      <c r="G740" s="62">
        <v>46042.0</v>
      </c>
      <c r="H740" s="61">
        <v>107.77</v>
      </c>
      <c r="I740" s="63">
        <f t="shared" si="118"/>
        <v>109</v>
      </c>
      <c r="J740" s="63">
        <f>I740+(I740*0.04)+39.98</f>
        <v>153.34</v>
      </c>
      <c r="K740" s="61">
        <v>19.33</v>
      </c>
      <c r="L740" s="64">
        <v>0.0</v>
      </c>
      <c r="M740" s="61" t="s">
        <v>2134</v>
      </c>
      <c r="N740" s="61" t="s">
        <v>20</v>
      </c>
      <c r="O740" s="36" t="s">
        <v>1004</v>
      </c>
      <c r="P740" s="73">
        <f t="shared" si="101"/>
        <v>52.33</v>
      </c>
      <c r="Q740" s="36" t="s">
        <v>1981</v>
      </c>
      <c r="R740" s="114" t="s">
        <v>20</v>
      </c>
      <c r="S740" s="102" t="s">
        <v>2172</v>
      </c>
      <c r="T740" s="114"/>
    </row>
    <row r="741" ht="15.75" customHeight="1">
      <c r="A741" s="8" t="s">
        <v>20</v>
      </c>
      <c r="B741" s="36" t="s">
        <v>67</v>
      </c>
      <c r="C741" s="36" t="s">
        <v>2173</v>
      </c>
      <c r="D741" s="36">
        <v>1.0</v>
      </c>
      <c r="E741" s="60" t="s">
        <v>2174</v>
      </c>
      <c r="F741" s="61">
        <v>130.0</v>
      </c>
      <c r="G741" s="62">
        <v>46048.0</v>
      </c>
      <c r="H741" s="61">
        <v>61.98</v>
      </c>
      <c r="I741" s="63">
        <f t="shared" si="118"/>
        <v>63</v>
      </c>
      <c r="J741" s="63">
        <f t="shared" ref="J741:J742" si="121">I741+(I741*0.04)</f>
        <v>65.52</v>
      </c>
      <c r="K741" s="61">
        <v>22.5</v>
      </c>
      <c r="L741" s="64">
        <v>0.5</v>
      </c>
      <c r="M741" s="61" t="s">
        <v>24</v>
      </c>
      <c r="N741" s="61" t="s">
        <v>25</v>
      </c>
      <c r="O741" s="36" t="s">
        <v>1004</v>
      </c>
      <c r="P741" s="73">
        <f t="shared" si="101"/>
        <v>41.98</v>
      </c>
      <c r="Q741" s="36" t="s">
        <v>867</v>
      </c>
      <c r="R741" s="36" t="s">
        <v>25</v>
      </c>
      <c r="S741" s="41" t="s">
        <v>2175</v>
      </c>
      <c r="T741" s="114"/>
    </row>
    <row r="742" ht="15.75" customHeight="1">
      <c r="A742" s="8" t="s">
        <v>25</v>
      </c>
      <c r="B742" s="36" t="s">
        <v>1954</v>
      </c>
      <c r="C742" s="36" t="s">
        <v>127</v>
      </c>
      <c r="D742" s="36">
        <v>1.0</v>
      </c>
      <c r="E742" s="36"/>
      <c r="F742" s="61">
        <v>500.0</v>
      </c>
      <c r="G742" s="62"/>
      <c r="H742" s="113"/>
      <c r="I742" s="63">
        <f t="shared" si="118"/>
        <v>0</v>
      </c>
      <c r="J742" s="63">
        <f t="shared" si="121"/>
        <v>0</v>
      </c>
      <c r="K742" s="113"/>
      <c r="L742" s="123"/>
      <c r="M742" s="61" t="s">
        <v>2134</v>
      </c>
      <c r="N742" s="61" t="s">
        <v>20</v>
      </c>
      <c r="O742" s="36" t="s">
        <v>1004</v>
      </c>
      <c r="P742" s="73">
        <f t="shared" si="101"/>
        <v>500</v>
      </c>
      <c r="Q742" s="36" t="s">
        <v>1981</v>
      </c>
      <c r="R742" s="114" t="s">
        <v>20</v>
      </c>
      <c r="S742" s="41" t="s">
        <v>24</v>
      </c>
      <c r="T742" s="114"/>
    </row>
    <row r="743" ht="15.75" customHeight="1">
      <c r="A743" s="8" t="s">
        <v>25</v>
      </c>
      <c r="B743" s="36" t="s">
        <v>1954</v>
      </c>
      <c r="C743" s="36" t="s">
        <v>2176</v>
      </c>
      <c r="D743" s="36">
        <v>1.0</v>
      </c>
      <c r="E743" s="36"/>
      <c r="F743" s="61">
        <v>500.0</v>
      </c>
      <c r="G743" s="62"/>
      <c r="H743" s="113"/>
      <c r="I743" s="63"/>
      <c r="J743" s="63"/>
      <c r="K743" s="113"/>
      <c r="L743" s="123"/>
      <c r="M743" s="61" t="s">
        <v>24</v>
      </c>
      <c r="N743" s="61" t="s">
        <v>25</v>
      </c>
      <c r="O743" s="36" t="s">
        <v>867</v>
      </c>
      <c r="P743" s="73">
        <f t="shared" si="101"/>
        <v>500</v>
      </c>
      <c r="Q743" s="36" t="s">
        <v>867</v>
      </c>
      <c r="R743" s="36" t="s">
        <v>25</v>
      </c>
      <c r="S743" s="41" t="s">
        <v>24</v>
      </c>
      <c r="T743" s="114"/>
    </row>
    <row r="744" ht="15.75" customHeight="1">
      <c r="A744" s="8" t="s">
        <v>25</v>
      </c>
      <c r="B744" s="36" t="s">
        <v>1954</v>
      </c>
      <c r="C744" s="36" t="s">
        <v>2177</v>
      </c>
      <c r="D744" s="36">
        <v>1.0</v>
      </c>
      <c r="E744" s="36"/>
      <c r="F744" s="61">
        <v>120.0</v>
      </c>
      <c r="G744" s="62"/>
      <c r="H744" s="61"/>
      <c r="I744" s="63"/>
      <c r="J744" s="63"/>
      <c r="K744" s="61"/>
      <c r="L744" s="123"/>
      <c r="M744" s="61" t="s">
        <v>2134</v>
      </c>
      <c r="N744" s="61" t="s">
        <v>20</v>
      </c>
      <c r="O744" s="36" t="s">
        <v>1004</v>
      </c>
      <c r="P744" s="73">
        <f t="shared" si="101"/>
        <v>120</v>
      </c>
      <c r="Q744" s="36" t="s">
        <v>1981</v>
      </c>
      <c r="R744" s="114" t="s">
        <v>20</v>
      </c>
      <c r="S744" s="41" t="s">
        <v>24</v>
      </c>
      <c r="T744" s="114"/>
    </row>
    <row r="745" ht="15.75" customHeight="1">
      <c r="A745" s="8" t="s">
        <v>25</v>
      </c>
      <c r="B745" s="36" t="s">
        <v>1860</v>
      </c>
      <c r="C745" s="36" t="s">
        <v>2177</v>
      </c>
      <c r="D745" s="36">
        <v>1.0</v>
      </c>
      <c r="E745" s="36"/>
      <c r="F745" s="61">
        <v>200.0</v>
      </c>
      <c r="G745" s="62"/>
      <c r="H745" s="61"/>
      <c r="I745" s="63"/>
      <c r="J745" s="63"/>
      <c r="K745" s="61"/>
      <c r="L745" s="123"/>
      <c r="M745" s="61" t="s">
        <v>24</v>
      </c>
      <c r="N745" s="61" t="s">
        <v>25</v>
      </c>
      <c r="O745" s="36" t="s">
        <v>1004</v>
      </c>
      <c r="P745" s="73">
        <f t="shared" si="101"/>
        <v>200</v>
      </c>
      <c r="Q745" s="36" t="s">
        <v>867</v>
      </c>
      <c r="R745" s="36" t="s">
        <v>25</v>
      </c>
      <c r="S745" s="41" t="s">
        <v>24</v>
      </c>
      <c r="T745" s="114"/>
    </row>
    <row r="746" ht="15.75" customHeight="1">
      <c r="A746" s="8" t="s">
        <v>20</v>
      </c>
      <c r="B746" s="36" t="s">
        <v>657</v>
      </c>
      <c r="C746" s="36" t="s">
        <v>2178</v>
      </c>
      <c r="D746" s="36">
        <v>1.0</v>
      </c>
      <c r="E746" s="60" t="s">
        <v>2179</v>
      </c>
      <c r="F746" s="61">
        <v>93.0</v>
      </c>
      <c r="G746" s="62">
        <v>46055.0</v>
      </c>
      <c r="H746" s="61">
        <v>74.23</v>
      </c>
      <c r="I746" s="63">
        <f t="shared" ref="I746:I749" si="122">ROUND(H746+H746*0.01,0)</f>
        <v>75</v>
      </c>
      <c r="J746" s="63">
        <f t="shared" ref="J746:J749" si="123">I746+(I746*0.04)</f>
        <v>78</v>
      </c>
      <c r="K746" s="61">
        <v>0.0</v>
      </c>
      <c r="L746" s="64">
        <v>0.0</v>
      </c>
      <c r="M746" s="61" t="s">
        <v>24</v>
      </c>
      <c r="N746" s="61" t="s">
        <v>25</v>
      </c>
      <c r="O746" s="36" t="s">
        <v>867</v>
      </c>
      <c r="P746" s="73">
        <f t="shared" si="101"/>
        <v>15</v>
      </c>
      <c r="Q746" s="36" t="s">
        <v>867</v>
      </c>
      <c r="R746" s="114" t="s">
        <v>20</v>
      </c>
      <c r="S746" s="41" t="s">
        <v>2180</v>
      </c>
      <c r="T746" s="114"/>
    </row>
    <row r="747" ht="15.75" customHeight="1">
      <c r="A747" s="8" t="s">
        <v>20</v>
      </c>
      <c r="B747" s="36" t="s">
        <v>657</v>
      </c>
      <c r="C747" s="36" t="s">
        <v>2181</v>
      </c>
      <c r="D747" s="36">
        <v>1.0</v>
      </c>
      <c r="E747" s="60" t="s">
        <v>2182</v>
      </c>
      <c r="F747" s="61">
        <v>241.0</v>
      </c>
      <c r="G747" s="62">
        <v>46055.0</v>
      </c>
      <c r="H747" s="61">
        <v>149.0</v>
      </c>
      <c r="I747" s="63">
        <f t="shared" si="122"/>
        <v>150</v>
      </c>
      <c r="J747" s="63">
        <f t="shared" si="123"/>
        <v>156</v>
      </c>
      <c r="K747" s="61">
        <v>45.0</v>
      </c>
      <c r="L747" s="64">
        <v>1.0</v>
      </c>
      <c r="M747" s="61" t="s">
        <v>24</v>
      </c>
      <c r="N747" s="61" t="s">
        <v>25</v>
      </c>
      <c r="O747" s="36" t="s">
        <v>867</v>
      </c>
      <c r="P747" s="73">
        <f t="shared" si="101"/>
        <v>40</v>
      </c>
      <c r="Q747" s="36" t="s">
        <v>867</v>
      </c>
      <c r="R747" s="114" t="s">
        <v>20</v>
      </c>
      <c r="S747" s="47" t="s">
        <v>2183</v>
      </c>
      <c r="T747" s="114"/>
    </row>
    <row r="748" ht="15.75" customHeight="1">
      <c r="A748" s="8" t="s">
        <v>20</v>
      </c>
      <c r="B748" s="36" t="s">
        <v>657</v>
      </c>
      <c r="C748" s="36" t="s">
        <v>2184</v>
      </c>
      <c r="D748" s="36">
        <v>1.0</v>
      </c>
      <c r="E748" s="60" t="s">
        <v>2185</v>
      </c>
      <c r="F748" s="61">
        <v>98.0</v>
      </c>
      <c r="G748" s="62">
        <v>46055.0</v>
      </c>
      <c r="H748" s="61">
        <v>56.64</v>
      </c>
      <c r="I748" s="63">
        <f t="shared" si="122"/>
        <v>57</v>
      </c>
      <c r="J748" s="63">
        <f t="shared" si="123"/>
        <v>59.28</v>
      </c>
      <c r="K748" s="61">
        <v>22.5</v>
      </c>
      <c r="L748" s="64">
        <v>0.5</v>
      </c>
      <c r="M748" s="61" t="s">
        <v>24</v>
      </c>
      <c r="N748" s="61" t="s">
        <v>25</v>
      </c>
      <c r="O748" s="36" t="s">
        <v>867</v>
      </c>
      <c r="P748" s="73">
        <f t="shared" si="101"/>
        <v>16.22</v>
      </c>
      <c r="Q748" s="36" t="s">
        <v>867</v>
      </c>
      <c r="R748" s="114" t="s">
        <v>20</v>
      </c>
      <c r="S748" s="47" t="s">
        <v>2186</v>
      </c>
      <c r="T748" s="114"/>
    </row>
    <row r="749" ht="15.75" customHeight="1">
      <c r="A749" s="8" t="s">
        <v>20</v>
      </c>
      <c r="B749" s="36" t="s">
        <v>657</v>
      </c>
      <c r="C749" s="36" t="s">
        <v>2187</v>
      </c>
      <c r="D749" s="36">
        <v>1.0</v>
      </c>
      <c r="E749" s="60" t="s">
        <v>2188</v>
      </c>
      <c r="F749" s="61">
        <v>102.0</v>
      </c>
      <c r="G749" s="62">
        <v>46056.0</v>
      </c>
      <c r="H749" s="61">
        <v>33.33</v>
      </c>
      <c r="I749" s="63">
        <f t="shared" si="122"/>
        <v>34</v>
      </c>
      <c r="J749" s="63">
        <f t="shared" si="123"/>
        <v>35.36</v>
      </c>
      <c r="K749" s="61">
        <v>50.0</v>
      </c>
      <c r="L749" s="64">
        <v>1.0</v>
      </c>
      <c r="M749" s="61" t="s">
        <v>24</v>
      </c>
      <c r="N749" s="61" t="s">
        <v>25</v>
      </c>
      <c r="O749" s="36" t="s">
        <v>867</v>
      </c>
      <c r="P749" s="73">
        <f t="shared" si="101"/>
        <v>16.64</v>
      </c>
      <c r="Q749" s="36" t="s">
        <v>867</v>
      </c>
      <c r="R749" s="114" t="s">
        <v>20</v>
      </c>
      <c r="S749" s="18" t="s">
        <v>2189</v>
      </c>
      <c r="T749" s="114"/>
    </row>
    <row r="750" ht="15.75" customHeight="1">
      <c r="A750" s="8" t="s">
        <v>20</v>
      </c>
      <c r="B750" s="36" t="s">
        <v>1860</v>
      </c>
      <c r="C750" s="36" t="s">
        <v>2190</v>
      </c>
      <c r="D750" s="36">
        <v>1.0</v>
      </c>
      <c r="E750" s="36" t="s">
        <v>65</v>
      </c>
      <c r="F750" s="61">
        <v>1150.0</v>
      </c>
      <c r="G750" s="62">
        <v>46057.0</v>
      </c>
      <c r="H750" s="61">
        <v>810.0</v>
      </c>
      <c r="I750" s="61">
        <v>810.0</v>
      </c>
      <c r="J750" s="61">
        <v>810.0</v>
      </c>
      <c r="K750" s="61">
        <v>0.0</v>
      </c>
      <c r="L750" s="64">
        <v>0.0</v>
      </c>
      <c r="M750" s="61" t="s">
        <v>24</v>
      </c>
      <c r="N750" s="61" t="s">
        <v>25</v>
      </c>
      <c r="O750" s="36" t="s">
        <v>867</v>
      </c>
      <c r="P750" s="73">
        <f t="shared" si="101"/>
        <v>340</v>
      </c>
      <c r="Q750" s="36" t="s">
        <v>867</v>
      </c>
      <c r="R750" s="36" t="s">
        <v>25</v>
      </c>
      <c r="S750" s="41" t="s">
        <v>24</v>
      </c>
      <c r="T750" s="114"/>
    </row>
    <row r="751" ht="15.75" customHeight="1">
      <c r="A751" s="8" t="s">
        <v>20</v>
      </c>
      <c r="B751" s="36" t="s">
        <v>71</v>
      </c>
      <c r="C751" s="36" t="s">
        <v>2191</v>
      </c>
      <c r="D751" s="36">
        <v>1.0</v>
      </c>
      <c r="E751" s="36"/>
      <c r="F751" s="61">
        <v>500.0</v>
      </c>
      <c r="G751" s="62"/>
      <c r="H751" s="61">
        <v>248.97</v>
      </c>
      <c r="I751" s="63">
        <f t="shared" ref="I751:I791" si="124">ROUND(H751+H751*0.01,0)</f>
        <v>251</v>
      </c>
      <c r="J751" s="63">
        <f t="shared" ref="J751:J791" si="125">I751+(I751*0.04)</f>
        <v>261.04</v>
      </c>
      <c r="K751" s="61">
        <v>135.0</v>
      </c>
      <c r="L751" s="64">
        <v>3.0</v>
      </c>
      <c r="M751" s="61" t="s">
        <v>2134</v>
      </c>
      <c r="N751" s="61" t="s">
        <v>25</v>
      </c>
      <c r="O751" s="36" t="s">
        <v>1004</v>
      </c>
      <c r="P751" s="73">
        <f t="shared" si="101"/>
        <v>103.96</v>
      </c>
      <c r="Q751" s="36" t="s">
        <v>1004</v>
      </c>
      <c r="R751" s="114" t="s">
        <v>20</v>
      </c>
      <c r="S751" s="41" t="s">
        <v>2192</v>
      </c>
      <c r="T751" s="114"/>
    </row>
    <row r="752" ht="15.75" customHeight="1">
      <c r="A752" s="8" t="s">
        <v>20</v>
      </c>
      <c r="B752" s="36" t="s">
        <v>71</v>
      </c>
      <c r="C752" s="36" t="s">
        <v>2193</v>
      </c>
      <c r="D752" s="36">
        <v>4.0</v>
      </c>
      <c r="E752" s="36"/>
      <c r="F752" s="61">
        <v>11700.0</v>
      </c>
      <c r="G752" s="62">
        <v>46064.0</v>
      </c>
      <c r="H752" s="61">
        <v>5383.7</v>
      </c>
      <c r="I752" s="63">
        <f t="shared" si="124"/>
        <v>5438</v>
      </c>
      <c r="J752" s="63">
        <f t="shared" si="125"/>
        <v>5655.52</v>
      </c>
      <c r="K752" s="113"/>
      <c r="L752" s="123"/>
      <c r="M752" s="61" t="s">
        <v>2194</v>
      </c>
      <c r="N752" s="61" t="s">
        <v>20</v>
      </c>
      <c r="O752" s="36" t="s">
        <v>1004</v>
      </c>
      <c r="P752" s="73">
        <f t="shared" si="101"/>
        <v>6044.48</v>
      </c>
      <c r="Q752" s="36" t="s">
        <v>1981</v>
      </c>
      <c r="R752" s="114" t="s">
        <v>20</v>
      </c>
      <c r="S752" s="83"/>
      <c r="T752" s="114"/>
    </row>
    <row r="753" ht="15.75" customHeight="1">
      <c r="A753" s="8" t="s">
        <v>20</v>
      </c>
      <c r="B753" s="36" t="s">
        <v>71</v>
      </c>
      <c r="C753" s="36" t="s">
        <v>2195</v>
      </c>
      <c r="D753" s="36">
        <v>3.0</v>
      </c>
      <c r="E753" s="36"/>
      <c r="F753" s="61">
        <v>4550.0</v>
      </c>
      <c r="G753" s="62"/>
      <c r="H753" s="61">
        <v>2597.71</v>
      </c>
      <c r="I753" s="63">
        <f t="shared" si="124"/>
        <v>2624</v>
      </c>
      <c r="J753" s="63">
        <f t="shared" si="125"/>
        <v>2728.96</v>
      </c>
      <c r="K753" s="61">
        <v>810.0</v>
      </c>
      <c r="L753" s="64">
        <v>18.0</v>
      </c>
      <c r="M753" s="61" t="s">
        <v>2134</v>
      </c>
      <c r="N753" s="61" t="s">
        <v>25</v>
      </c>
      <c r="O753" s="36" t="s">
        <v>1004</v>
      </c>
      <c r="P753" s="73">
        <f t="shared" si="101"/>
        <v>1011.04</v>
      </c>
      <c r="Q753" s="36" t="s">
        <v>1004</v>
      </c>
      <c r="R753" s="114" t="s">
        <v>20</v>
      </c>
      <c r="S753" s="41" t="s">
        <v>2196</v>
      </c>
      <c r="T753" s="114"/>
    </row>
    <row r="754" ht="15.75" customHeight="1">
      <c r="A754" s="8" t="s">
        <v>20</v>
      </c>
      <c r="B754" s="36" t="s">
        <v>71</v>
      </c>
      <c r="C754" s="36" t="s">
        <v>2197</v>
      </c>
      <c r="D754" s="36">
        <v>1.0</v>
      </c>
      <c r="E754" s="36"/>
      <c r="F754" s="61">
        <v>4800.0</v>
      </c>
      <c r="G754" s="62">
        <v>46080.0</v>
      </c>
      <c r="H754" s="61">
        <v>1584.0</v>
      </c>
      <c r="I754" s="63">
        <f t="shared" si="124"/>
        <v>1600</v>
      </c>
      <c r="J754" s="63">
        <f t="shared" si="125"/>
        <v>1664</v>
      </c>
      <c r="K754" s="113"/>
      <c r="L754" s="123"/>
      <c r="M754" s="61" t="s">
        <v>2194</v>
      </c>
      <c r="N754" s="61" t="s">
        <v>20</v>
      </c>
      <c r="O754" s="36" t="s">
        <v>1004</v>
      </c>
      <c r="P754" s="73">
        <f t="shared" si="101"/>
        <v>3136</v>
      </c>
      <c r="Q754" s="36" t="s">
        <v>1981</v>
      </c>
      <c r="R754" s="114" t="s">
        <v>20</v>
      </c>
      <c r="S754" s="83"/>
      <c r="T754" s="114"/>
    </row>
    <row r="755" ht="15.75" customHeight="1">
      <c r="A755" s="8" t="s">
        <v>20</v>
      </c>
      <c r="B755" s="36" t="s">
        <v>71</v>
      </c>
      <c r="C755" s="36" t="s">
        <v>2198</v>
      </c>
      <c r="D755" s="36">
        <v>1.0</v>
      </c>
      <c r="E755" s="36"/>
      <c r="F755" s="61">
        <v>2000.0</v>
      </c>
      <c r="G755" s="62"/>
      <c r="H755" s="61">
        <v>1272.84</v>
      </c>
      <c r="I755" s="63">
        <f t="shared" si="124"/>
        <v>1286</v>
      </c>
      <c r="J755" s="63">
        <f t="shared" si="125"/>
        <v>1337.44</v>
      </c>
      <c r="K755" s="61">
        <v>225.0</v>
      </c>
      <c r="L755" s="64">
        <v>5.0</v>
      </c>
      <c r="M755" s="61" t="s">
        <v>2134</v>
      </c>
      <c r="N755" s="61" t="s">
        <v>25</v>
      </c>
      <c r="O755" s="36" t="s">
        <v>1004</v>
      </c>
      <c r="P755" s="73">
        <f t="shared" si="101"/>
        <v>437.56</v>
      </c>
      <c r="Q755" s="36" t="s">
        <v>1004</v>
      </c>
      <c r="R755" s="114" t="s">
        <v>20</v>
      </c>
      <c r="S755" s="41" t="s">
        <v>2199</v>
      </c>
      <c r="T755" s="114"/>
    </row>
    <row r="756" ht="15.75" customHeight="1">
      <c r="A756" s="8" t="s">
        <v>20</v>
      </c>
      <c r="B756" s="36" t="s">
        <v>71</v>
      </c>
      <c r="C756" s="36" t="s">
        <v>2200</v>
      </c>
      <c r="D756" s="36">
        <v>2.0</v>
      </c>
      <c r="E756" s="36"/>
      <c r="F756" s="61">
        <v>280.0</v>
      </c>
      <c r="G756" s="62"/>
      <c r="H756" s="61">
        <v>210.4</v>
      </c>
      <c r="I756" s="63">
        <f t="shared" si="124"/>
        <v>213</v>
      </c>
      <c r="J756" s="63">
        <f t="shared" si="125"/>
        <v>221.52</v>
      </c>
      <c r="K756" s="61">
        <v>45.0</v>
      </c>
      <c r="L756" s="64">
        <v>1.0</v>
      </c>
      <c r="M756" s="61" t="s">
        <v>2134</v>
      </c>
      <c r="N756" s="61" t="s">
        <v>25</v>
      </c>
      <c r="O756" s="36" t="s">
        <v>1004</v>
      </c>
      <c r="P756" s="73">
        <f t="shared" si="101"/>
        <v>13.48</v>
      </c>
      <c r="Q756" s="36" t="s">
        <v>1004</v>
      </c>
      <c r="R756" s="114" t="s">
        <v>20</v>
      </c>
      <c r="S756" s="41" t="s">
        <v>2201</v>
      </c>
      <c r="T756" s="114"/>
    </row>
    <row r="757" ht="15.75" customHeight="1">
      <c r="A757" s="8" t="s">
        <v>20</v>
      </c>
      <c r="B757" s="36" t="s">
        <v>1821</v>
      </c>
      <c r="C757" s="36" t="s">
        <v>2202</v>
      </c>
      <c r="D757" s="36">
        <v>1.0</v>
      </c>
      <c r="E757" s="60" t="s">
        <v>2203</v>
      </c>
      <c r="F757" s="61">
        <v>1500.0</v>
      </c>
      <c r="G757" s="62">
        <v>46064.0</v>
      </c>
      <c r="H757" s="61">
        <v>1100.75</v>
      </c>
      <c r="I757" s="63">
        <f t="shared" si="124"/>
        <v>1112</v>
      </c>
      <c r="J757" s="63">
        <f t="shared" si="125"/>
        <v>1156.48</v>
      </c>
      <c r="K757" s="61">
        <v>90.0</v>
      </c>
      <c r="L757" s="64">
        <v>2.0</v>
      </c>
      <c r="M757" s="61" t="s">
        <v>24</v>
      </c>
      <c r="N757" s="61" t="s">
        <v>25</v>
      </c>
      <c r="O757" s="36" t="s">
        <v>867</v>
      </c>
      <c r="P757" s="73">
        <f t="shared" si="101"/>
        <v>253.52</v>
      </c>
      <c r="Q757" s="36" t="s">
        <v>867</v>
      </c>
      <c r="R757" s="114" t="s">
        <v>20</v>
      </c>
      <c r="S757" s="41" t="s">
        <v>24</v>
      </c>
      <c r="T757" s="114"/>
    </row>
    <row r="758" ht="15.75" customHeight="1">
      <c r="A758" s="8" t="s">
        <v>20</v>
      </c>
      <c r="B758" s="36" t="s">
        <v>1821</v>
      </c>
      <c r="C758" s="36" t="s">
        <v>2204</v>
      </c>
      <c r="D758" s="36">
        <v>1.0</v>
      </c>
      <c r="E758" s="60" t="s">
        <v>2203</v>
      </c>
      <c r="F758" s="61">
        <v>12200.0</v>
      </c>
      <c r="G758" s="62">
        <v>46064.0</v>
      </c>
      <c r="H758" s="61">
        <v>8884.86</v>
      </c>
      <c r="I758" s="63">
        <f t="shared" si="124"/>
        <v>8974</v>
      </c>
      <c r="J758" s="63">
        <f t="shared" si="125"/>
        <v>9332.96</v>
      </c>
      <c r="K758" s="61">
        <v>1485.0</v>
      </c>
      <c r="L758" s="64">
        <v>33.0</v>
      </c>
      <c r="M758" s="61" t="s">
        <v>24</v>
      </c>
      <c r="N758" s="61" t="s">
        <v>25</v>
      </c>
      <c r="O758" s="36" t="s">
        <v>867</v>
      </c>
      <c r="P758" s="73">
        <f t="shared" si="101"/>
        <v>1382.04</v>
      </c>
      <c r="Q758" s="36" t="s">
        <v>867</v>
      </c>
      <c r="R758" s="114" t="s">
        <v>20</v>
      </c>
      <c r="S758" s="41" t="s">
        <v>24</v>
      </c>
      <c r="T758" s="114"/>
    </row>
    <row r="759" ht="15.75" customHeight="1">
      <c r="A759" s="8" t="s">
        <v>20</v>
      </c>
      <c r="B759" s="41" t="s">
        <v>2205</v>
      </c>
      <c r="C759" s="41" t="s">
        <v>2206</v>
      </c>
      <c r="D759" s="41">
        <v>1.0</v>
      </c>
      <c r="E759" s="83"/>
      <c r="F759" s="87">
        <v>2500.0</v>
      </c>
      <c r="G759" s="137">
        <v>46037.0</v>
      </c>
      <c r="H759" s="44">
        <v>1455.89</v>
      </c>
      <c r="I759" s="63">
        <f t="shared" si="124"/>
        <v>1470</v>
      </c>
      <c r="J759" s="63">
        <f t="shared" si="125"/>
        <v>1528.8</v>
      </c>
      <c r="K759" s="44">
        <v>563.0</v>
      </c>
      <c r="L759" s="46">
        <v>0.0</v>
      </c>
      <c r="M759" s="61" t="s">
        <v>24</v>
      </c>
      <c r="N759" s="61" t="s">
        <v>25</v>
      </c>
      <c r="O759" s="36" t="s">
        <v>867</v>
      </c>
      <c r="P759" s="73">
        <f t="shared" si="101"/>
        <v>408.2</v>
      </c>
      <c r="Q759" s="36" t="s">
        <v>867</v>
      </c>
      <c r="R759" s="36" t="s">
        <v>25</v>
      </c>
      <c r="S759" s="41" t="s">
        <v>2207</v>
      </c>
      <c r="T759" s="83"/>
    </row>
    <row r="760" ht="15.75" customHeight="1">
      <c r="A760" s="8" t="s">
        <v>20</v>
      </c>
      <c r="B760" s="41" t="s">
        <v>2208</v>
      </c>
      <c r="C760" s="138" t="s">
        <v>2209</v>
      </c>
      <c r="D760" s="41">
        <v>1.0</v>
      </c>
      <c r="E760" s="83"/>
      <c r="F760" s="44">
        <v>2068.0</v>
      </c>
      <c r="G760" s="45"/>
      <c r="H760" s="44">
        <v>416.57</v>
      </c>
      <c r="I760" s="63">
        <f t="shared" si="124"/>
        <v>421</v>
      </c>
      <c r="J760" s="63">
        <f t="shared" si="125"/>
        <v>437.84</v>
      </c>
      <c r="K760" s="44">
        <v>259.46</v>
      </c>
      <c r="L760" s="46">
        <v>0.0</v>
      </c>
      <c r="M760" s="61" t="s">
        <v>2134</v>
      </c>
      <c r="N760" s="61" t="s">
        <v>20</v>
      </c>
      <c r="O760" s="36" t="s">
        <v>1004</v>
      </c>
      <c r="P760" s="73">
        <f t="shared" si="101"/>
        <v>1370.7</v>
      </c>
      <c r="Q760" s="36" t="s">
        <v>1981</v>
      </c>
      <c r="R760" s="114" t="s">
        <v>20</v>
      </c>
      <c r="S760" s="41" t="s">
        <v>2210</v>
      </c>
    </row>
    <row r="761" ht="15.75" customHeight="1">
      <c r="A761" s="8" t="s">
        <v>20</v>
      </c>
      <c r="B761" s="41" t="s">
        <v>2211</v>
      </c>
      <c r="C761" s="138" t="s">
        <v>2212</v>
      </c>
      <c r="D761" s="41">
        <v>1.0</v>
      </c>
      <c r="E761" s="83"/>
      <c r="F761" s="44">
        <v>2068.0</v>
      </c>
      <c r="G761" s="45"/>
      <c r="H761" s="44">
        <v>416.57</v>
      </c>
      <c r="I761" s="63">
        <f t="shared" si="124"/>
        <v>421</v>
      </c>
      <c r="J761" s="63">
        <f t="shared" si="125"/>
        <v>437.84</v>
      </c>
      <c r="K761" s="44">
        <v>277.44</v>
      </c>
      <c r="L761" s="46">
        <v>0.0</v>
      </c>
      <c r="M761" s="61" t="s">
        <v>2134</v>
      </c>
      <c r="N761" s="61" t="s">
        <v>20</v>
      </c>
      <c r="O761" s="36" t="s">
        <v>1004</v>
      </c>
      <c r="P761" s="73">
        <f t="shared" si="101"/>
        <v>1352.72</v>
      </c>
      <c r="Q761" s="36" t="s">
        <v>1981</v>
      </c>
      <c r="R761" s="114" t="s">
        <v>20</v>
      </c>
      <c r="S761" s="41" t="s">
        <v>2213</v>
      </c>
    </row>
    <row r="762" ht="15.75" customHeight="1">
      <c r="A762" s="8" t="s">
        <v>20</v>
      </c>
      <c r="B762" s="41" t="s">
        <v>37</v>
      </c>
      <c r="C762" s="41" t="s">
        <v>2145</v>
      </c>
      <c r="D762" s="41">
        <v>1.0</v>
      </c>
      <c r="E762" s="83"/>
      <c r="F762" s="44">
        <v>0.0</v>
      </c>
      <c r="G762" s="45"/>
      <c r="H762" s="44">
        <v>0.0</v>
      </c>
      <c r="I762" s="63">
        <f t="shared" si="124"/>
        <v>0</v>
      </c>
      <c r="J762" s="63">
        <f t="shared" si="125"/>
        <v>0</v>
      </c>
      <c r="K762" s="44">
        <v>45.0</v>
      </c>
      <c r="L762" s="46">
        <v>1.0</v>
      </c>
      <c r="M762" s="61" t="s">
        <v>2134</v>
      </c>
      <c r="N762" s="61" t="s">
        <v>20</v>
      </c>
      <c r="O762" s="36" t="s">
        <v>1004</v>
      </c>
      <c r="P762" s="73">
        <f t="shared" si="101"/>
        <v>-45</v>
      </c>
      <c r="Q762" s="36" t="s">
        <v>1981</v>
      </c>
      <c r="R762" s="114" t="s">
        <v>20</v>
      </c>
      <c r="S762" s="41" t="s">
        <v>2214</v>
      </c>
    </row>
    <row r="763" ht="15.75" customHeight="1">
      <c r="A763" s="8" t="s">
        <v>20</v>
      </c>
      <c r="B763" s="41" t="s">
        <v>2110</v>
      </c>
      <c r="C763" s="41" t="s">
        <v>2215</v>
      </c>
      <c r="D763" s="41">
        <v>1.0</v>
      </c>
      <c r="E763" s="43" t="s">
        <v>2216</v>
      </c>
      <c r="F763" s="44">
        <v>348.0</v>
      </c>
      <c r="G763" s="45"/>
      <c r="H763" s="44">
        <v>108.0</v>
      </c>
      <c r="I763" s="63">
        <f t="shared" si="124"/>
        <v>109</v>
      </c>
      <c r="J763" s="63">
        <f t="shared" si="125"/>
        <v>113.36</v>
      </c>
      <c r="K763" s="44">
        <v>185.0</v>
      </c>
      <c r="L763" s="46">
        <v>4.0</v>
      </c>
      <c r="M763" s="61" t="s">
        <v>2134</v>
      </c>
      <c r="N763" s="61" t="s">
        <v>20</v>
      </c>
      <c r="O763" s="36" t="s">
        <v>867</v>
      </c>
      <c r="P763" s="73">
        <f t="shared" si="101"/>
        <v>49.64</v>
      </c>
      <c r="Q763" s="36" t="s">
        <v>1981</v>
      </c>
      <c r="R763" s="114" t="s">
        <v>20</v>
      </c>
      <c r="S763" s="41" t="s">
        <v>2217</v>
      </c>
    </row>
    <row r="764" ht="15.75" customHeight="1">
      <c r="A764" s="8" t="s">
        <v>20</v>
      </c>
      <c r="B764" s="41" t="s">
        <v>657</v>
      </c>
      <c r="C764" s="41" t="s">
        <v>2218</v>
      </c>
      <c r="D764" s="41">
        <v>1.0</v>
      </c>
      <c r="E764" s="43" t="s">
        <v>2219</v>
      </c>
      <c r="F764" s="44">
        <v>800.0</v>
      </c>
      <c r="G764" s="54">
        <v>46078.0</v>
      </c>
      <c r="H764" s="44">
        <v>518.18</v>
      </c>
      <c r="I764" s="63">
        <f t="shared" si="124"/>
        <v>523</v>
      </c>
      <c r="J764" s="63">
        <f t="shared" si="125"/>
        <v>543.92</v>
      </c>
      <c r="K764" s="44">
        <v>54.5</v>
      </c>
      <c r="L764" s="82"/>
      <c r="M764" s="61" t="s">
        <v>2194</v>
      </c>
      <c r="N764" s="61" t="s">
        <v>20</v>
      </c>
      <c r="O764" s="36" t="s">
        <v>867</v>
      </c>
      <c r="P764" s="73">
        <f t="shared" si="101"/>
        <v>201.58</v>
      </c>
      <c r="Q764" s="36" t="s">
        <v>1981</v>
      </c>
      <c r="R764" s="114" t="s">
        <v>20</v>
      </c>
      <c r="S764" s="41" t="s">
        <v>2220</v>
      </c>
    </row>
    <row r="765" ht="15.75" customHeight="1">
      <c r="A765" s="8" t="s">
        <v>25</v>
      </c>
      <c r="B765" s="41" t="s">
        <v>1860</v>
      </c>
      <c r="C765" s="41" t="str">
        <f>STOCK!D8</f>
        <v>Rejillas</v>
      </c>
      <c r="D765" s="41">
        <v>1.0</v>
      </c>
      <c r="E765" s="83"/>
      <c r="F765" s="44">
        <v>120.0</v>
      </c>
      <c r="G765" s="107">
        <v>46079.0</v>
      </c>
      <c r="H765" s="44">
        <v>0.0</v>
      </c>
      <c r="I765" s="63">
        <f t="shared" si="124"/>
        <v>0</v>
      </c>
      <c r="J765" s="63">
        <f t="shared" si="125"/>
        <v>0</v>
      </c>
      <c r="K765" s="44">
        <v>0.0</v>
      </c>
      <c r="L765" s="82"/>
      <c r="M765" s="61" t="s">
        <v>24</v>
      </c>
      <c r="N765" s="61" t="s">
        <v>25</v>
      </c>
      <c r="O765" s="36" t="s">
        <v>867</v>
      </c>
      <c r="P765" s="73">
        <f t="shared" si="101"/>
        <v>120</v>
      </c>
      <c r="Q765" s="36" t="s">
        <v>867</v>
      </c>
      <c r="R765" s="36" t="s">
        <v>25</v>
      </c>
      <c r="S765" s="41" t="s">
        <v>1679</v>
      </c>
    </row>
    <row r="766" ht="15.75" customHeight="1">
      <c r="A766" s="8" t="s">
        <v>20</v>
      </c>
      <c r="B766" s="41" t="s">
        <v>2221</v>
      </c>
      <c r="C766" s="41" t="s">
        <v>2222</v>
      </c>
      <c r="D766" s="41">
        <v>1.0</v>
      </c>
      <c r="E766" s="83"/>
      <c r="F766" s="44">
        <v>0.0</v>
      </c>
      <c r="G766" s="41"/>
      <c r="H766" s="44"/>
      <c r="I766" s="63">
        <f t="shared" si="124"/>
        <v>0</v>
      </c>
      <c r="J766" s="63">
        <f t="shared" si="125"/>
        <v>0</v>
      </c>
      <c r="K766" s="44">
        <v>0.0</v>
      </c>
      <c r="L766" s="82"/>
      <c r="M766" s="61" t="s">
        <v>2194</v>
      </c>
      <c r="N766" s="61" t="s">
        <v>20</v>
      </c>
      <c r="O766" s="36" t="s">
        <v>1004</v>
      </c>
      <c r="P766" s="73">
        <f t="shared" si="101"/>
        <v>0</v>
      </c>
      <c r="Q766" s="36" t="s">
        <v>1981</v>
      </c>
      <c r="R766" s="114" t="s">
        <v>20</v>
      </c>
      <c r="S766" s="41" t="s">
        <v>2223</v>
      </c>
    </row>
    <row r="767" ht="15.75" customHeight="1">
      <c r="A767" s="8" t="s">
        <v>25</v>
      </c>
      <c r="B767" s="41" t="s">
        <v>179</v>
      </c>
      <c r="C767" s="41" t="s">
        <v>2224</v>
      </c>
      <c r="D767" s="41">
        <v>1.0</v>
      </c>
      <c r="E767" s="83"/>
      <c r="F767" s="44">
        <v>597.0</v>
      </c>
      <c r="G767" s="45"/>
      <c r="H767" s="44">
        <v>0.0</v>
      </c>
      <c r="I767" s="63">
        <f t="shared" si="124"/>
        <v>0</v>
      </c>
      <c r="J767" s="63">
        <f t="shared" si="125"/>
        <v>0</v>
      </c>
      <c r="K767" s="44">
        <v>0.0</v>
      </c>
      <c r="L767" s="82"/>
      <c r="M767" s="61" t="s">
        <v>24</v>
      </c>
      <c r="N767" s="61" t="s">
        <v>20</v>
      </c>
      <c r="O767" s="36" t="s">
        <v>1004</v>
      </c>
      <c r="P767" s="73">
        <f t="shared" si="101"/>
        <v>597</v>
      </c>
      <c r="Q767" s="36" t="s">
        <v>1981</v>
      </c>
      <c r="R767" s="114" t="s">
        <v>20</v>
      </c>
      <c r="S767" s="41" t="s">
        <v>24</v>
      </c>
    </row>
    <row r="768" ht="15.75" customHeight="1">
      <c r="A768" s="8" t="s">
        <v>20</v>
      </c>
      <c r="B768" s="41" t="s">
        <v>37</v>
      </c>
      <c r="C768" s="41" t="s">
        <v>2225</v>
      </c>
      <c r="D768" s="41"/>
      <c r="E768" s="83"/>
      <c r="F768" s="44">
        <v>0.0</v>
      </c>
      <c r="G768" s="45"/>
      <c r="H768" s="44"/>
      <c r="I768" s="63">
        <f t="shared" si="124"/>
        <v>0</v>
      </c>
      <c r="J768" s="63">
        <f t="shared" si="125"/>
        <v>0</v>
      </c>
      <c r="K768" s="44">
        <v>0.0</v>
      </c>
      <c r="L768" s="82"/>
      <c r="M768" s="61" t="s">
        <v>2194</v>
      </c>
      <c r="N768" s="61" t="s">
        <v>20</v>
      </c>
      <c r="O768" s="36" t="s">
        <v>1004</v>
      </c>
      <c r="P768" s="73">
        <f t="shared" si="101"/>
        <v>0</v>
      </c>
      <c r="Q768" s="36" t="s">
        <v>1981</v>
      </c>
      <c r="R768" s="114" t="s">
        <v>20</v>
      </c>
      <c r="S768" s="41"/>
    </row>
    <row r="769" ht="15.75" customHeight="1">
      <c r="A769" s="8" t="s">
        <v>20</v>
      </c>
      <c r="B769" s="41"/>
      <c r="C769" s="41"/>
      <c r="D769" s="41"/>
      <c r="E769" s="83"/>
      <c r="F769" s="44">
        <v>0.0</v>
      </c>
      <c r="G769" s="45"/>
      <c r="H769" s="44"/>
      <c r="I769" s="63">
        <f t="shared" si="124"/>
        <v>0</v>
      </c>
      <c r="J769" s="63">
        <f t="shared" si="125"/>
        <v>0</v>
      </c>
      <c r="K769" s="44">
        <v>0.0</v>
      </c>
      <c r="L769" s="82"/>
      <c r="M769" s="61" t="s">
        <v>2226</v>
      </c>
      <c r="N769" s="61" t="s">
        <v>20</v>
      </c>
      <c r="O769" s="36" t="s">
        <v>1981</v>
      </c>
      <c r="P769" s="73">
        <f t="shared" si="101"/>
        <v>0</v>
      </c>
      <c r="Q769" s="36" t="s">
        <v>1981</v>
      </c>
      <c r="R769" s="114" t="s">
        <v>20</v>
      </c>
      <c r="S769" s="41"/>
    </row>
    <row r="770" ht="15.75" customHeight="1">
      <c r="A770" s="8" t="s">
        <v>20</v>
      </c>
      <c r="B770" s="41"/>
      <c r="C770" s="41"/>
      <c r="D770" s="41"/>
      <c r="E770" s="83"/>
      <c r="F770" s="44">
        <v>0.0</v>
      </c>
      <c r="G770" s="45"/>
      <c r="H770" s="44"/>
      <c r="I770" s="63">
        <f t="shared" si="124"/>
        <v>0</v>
      </c>
      <c r="J770" s="63">
        <f t="shared" si="125"/>
        <v>0</v>
      </c>
      <c r="K770" s="44">
        <v>0.0</v>
      </c>
      <c r="L770" s="82"/>
      <c r="M770" s="61" t="s">
        <v>2226</v>
      </c>
      <c r="N770" s="61" t="s">
        <v>20</v>
      </c>
      <c r="O770" s="36" t="s">
        <v>1981</v>
      </c>
      <c r="P770" s="73">
        <f t="shared" si="101"/>
        <v>0</v>
      </c>
      <c r="Q770" s="36" t="s">
        <v>1981</v>
      </c>
      <c r="R770" s="114" t="s">
        <v>20</v>
      </c>
      <c r="S770" s="41"/>
    </row>
    <row r="771" ht="15.75" customHeight="1">
      <c r="A771" s="8" t="s">
        <v>20</v>
      </c>
      <c r="B771" s="41"/>
      <c r="C771" s="41"/>
      <c r="D771" s="41"/>
      <c r="E771" s="83"/>
      <c r="F771" s="44">
        <v>0.0</v>
      </c>
      <c r="G771" s="45"/>
      <c r="H771" s="44"/>
      <c r="I771" s="63">
        <f t="shared" si="124"/>
        <v>0</v>
      </c>
      <c r="J771" s="63">
        <f t="shared" si="125"/>
        <v>0</v>
      </c>
      <c r="K771" s="44">
        <v>0.0</v>
      </c>
      <c r="L771" s="82"/>
      <c r="M771" s="61" t="s">
        <v>2226</v>
      </c>
      <c r="N771" s="61" t="s">
        <v>20</v>
      </c>
      <c r="O771" s="36" t="s">
        <v>1981</v>
      </c>
      <c r="P771" s="73">
        <f t="shared" si="101"/>
        <v>0</v>
      </c>
      <c r="Q771" s="36" t="s">
        <v>1981</v>
      </c>
      <c r="R771" s="114" t="s">
        <v>20</v>
      </c>
      <c r="S771" s="41"/>
    </row>
    <row r="772" ht="15.75" customHeight="1">
      <c r="A772" s="8" t="s">
        <v>20</v>
      </c>
      <c r="B772" s="41"/>
      <c r="C772" s="41"/>
      <c r="D772" s="41"/>
      <c r="E772" s="83"/>
      <c r="F772" s="44">
        <v>0.0</v>
      </c>
      <c r="G772" s="45"/>
      <c r="H772" s="44"/>
      <c r="I772" s="63">
        <f t="shared" si="124"/>
        <v>0</v>
      </c>
      <c r="J772" s="63">
        <f t="shared" si="125"/>
        <v>0</v>
      </c>
      <c r="K772" s="44">
        <v>0.0</v>
      </c>
      <c r="L772" s="82"/>
      <c r="M772" s="61" t="s">
        <v>2226</v>
      </c>
      <c r="N772" s="61" t="s">
        <v>20</v>
      </c>
      <c r="O772" s="36" t="s">
        <v>1981</v>
      </c>
      <c r="P772" s="73">
        <f t="shared" si="101"/>
        <v>0</v>
      </c>
      <c r="Q772" s="36" t="s">
        <v>1981</v>
      </c>
      <c r="R772" s="114" t="s">
        <v>20</v>
      </c>
      <c r="S772" s="41"/>
    </row>
    <row r="773" ht="15.75" customHeight="1">
      <c r="A773" s="8" t="s">
        <v>20</v>
      </c>
      <c r="B773" s="41"/>
      <c r="C773" s="41"/>
      <c r="D773" s="41"/>
      <c r="E773" s="83"/>
      <c r="F773" s="44">
        <v>0.0</v>
      </c>
      <c r="G773" s="45"/>
      <c r="H773" s="44"/>
      <c r="I773" s="63">
        <f t="shared" si="124"/>
        <v>0</v>
      </c>
      <c r="J773" s="63">
        <f t="shared" si="125"/>
        <v>0</v>
      </c>
      <c r="K773" s="44">
        <v>0.0</v>
      </c>
      <c r="L773" s="82"/>
      <c r="M773" s="61" t="s">
        <v>2226</v>
      </c>
      <c r="N773" s="61" t="s">
        <v>20</v>
      </c>
      <c r="O773" s="36" t="s">
        <v>1981</v>
      </c>
      <c r="P773" s="73">
        <f t="shared" si="101"/>
        <v>0</v>
      </c>
      <c r="Q773" s="36" t="s">
        <v>1981</v>
      </c>
      <c r="R773" s="114" t="s">
        <v>20</v>
      </c>
      <c r="S773" s="41"/>
    </row>
    <row r="774" ht="15.75" customHeight="1">
      <c r="A774" s="8" t="s">
        <v>20</v>
      </c>
      <c r="B774" s="41"/>
      <c r="C774" s="41"/>
      <c r="D774" s="41"/>
      <c r="E774" s="83"/>
      <c r="F774" s="44">
        <v>0.0</v>
      </c>
      <c r="G774" s="45"/>
      <c r="H774" s="44"/>
      <c r="I774" s="63">
        <f t="shared" si="124"/>
        <v>0</v>
      </c>
      <c r="J774" s="63">
        <f t="shared" si="125"/>
        <v>0</v>
      </c>
      <c r="K774" s="44">
        <v>0.0</v>
      </c>
      <c r="L774" s="82"/>
      <c r="M774" s="61" t="s">
        <v>2226</v>
      </c>
      <c r="N774" s="61" t="s">
        <v>20</v>
      </c>
      <c r="O774" s="36" t="s">
        <v>1981</v>
      </c>
      <c r="P774" s="73">
        <f t="shared" si="101"/>
        <v>0</v>
      </c>
      <c r="Q774" s="36" t="s">
        <v>1981</v>
      </c>
      <c r="R774" s="114" t="s">
        <v>20</v>
      </c>
      <c r="S774" s="41"/>
    </row>
    <row r="775" ht="15.75" customHeight="1">
      <c r="A775" s="8" t="s">
        <v>20</v>
      </c>
      <c r="B775" s="41"/>
      <c r="C775" s="41"/>
      <c r="D775" s="41"/>
      <c r="E775" s="83"/>
      <c r="F775" s="44">
        <v>0.0</v>
      </c>
      <c r="G775" s="45"/>
      <c r="H775" s="44"/>
      <c r="I775" s="63">
        <f t="shared" si="124"/>
        <v>0</v>
      </c>
      <c r="J775" s="63">
        <f t="shared" si="125"/>
        <v>0</v>
      </c>
      <c r="K775" s="44">
        <v>0.0</v>
      </c>
      <c r="L775" s="82"/>
      <c r="M775" s="61" t="s">
        <v>2226</v>
      </c>
      <c r="N775" s="61" t="s">
        <v>20</v>
      </c>
      <c r="O775" s="36" t="s">
        <v>1981</v>
      </c>
      <c r="P775" s="73">
        <f t="shared" si="101"/>
        <v>0</v>
      </c>
      <c r="Q775" s="36" t="s">
        <v>1981</v>
      </c>
      <c r="R775" s="114" t="s">
        <v>20</v>
      </c>
      <c r="S775" s="41"/>
    </row>
    <row r="776" ht="15.75" customHeight="1">
      <c r="A776" s="8" t="s">
        <v>20</v>
      </c>
      <c r="B776" s="41"/>
      <c r="C776" s="41"/>
      <c r="D776" s="41"/>
      <c r="E776" s="83"/>
      <c r="F776" s="44">
        <v>0.0</v>
      </c>
      <c r="G776" s="45"/>
      <c r="H776" s="44"/>
      <c r="I776" s="63">
        <f t="shared" si="124"/>
        <v>0</v>
      </c>
      <c r="J776" s="63">
        <f t="shared" si="125"/>
        <v>0</v>
      </c>
      <c r="K776" s="44">
        <v>0.0</v>
      </c>
      <c r="L776" s="82"/>
      <c r="M776" s="61" t="s">
        <v>2226</v>
      </c>
      <c r="N776" s="61" t="s">
        <v>20</v>
      </c>
      <c r="O776" s="36" t="s">
        <v>1981</v>
      </c>
      <c r="P776" s="73">
        <f t="shared" si="101"/>
        <v>0</v>
      </c>
      <c r="Q776" s="36" t="s">
        <v>1981</v>
      </c>
      <c r="R776" s="114" t="s">
        <v>20</v>
      </c>
      <c r="S776" s="41"/>
    </row>
    <row r="777" ht="15.75" customHeight="1">
      <c r="A777" s="8" t="s">
        <v>20</v>
      </c>
      <c r="B777" s="41"/>
      <c r="C777" s="41"/>
      <c r="D777" s="41"/>
      <c r="E777" s="83"/>
      <c r="F777" s="44">
        <v>0.0</v>
      </c>
      <c r="G777" s="45"/>
      <c r="H777" s="44"/>
      <c r="I777" s="63">
        <f t="shared" si="124"/>
        <v>0</v>
      </c>
      <c r="J777" s="63">
        <f t="shared" si="125"/>
        <v>0</v>
      </c>
      <c r="K777" s="44">
        <v>0.0</v>
      </c>
      <c r="L777" s="82"/>
      <c r="M777" s="61" t="s">
        <v>2226</v>
      </c>
      <c r="N777" s="61" t="s">
        <v>20</v>
      </c>
      <c r="O777" s="36" t="s">
        <v>1981</v>
      </c>
      <c r="P777" s="73">
        <f t="shared" si="101"/>
        <v>0</v>
      </c>
      <c r="Q777" s="36" t="s">
        <v>1981</v>
      </c>
      <c r="R777" s="114" t="s">
        <v>20</v>
      </c>
      <c r="S777" s="41"/>
    </row>
    <row r="778" ht="15.75" customHeight="1">
      <c r="A778" s="8" t="s">
        <v>20</v>
      </c>
      <c r="B778" s="41"/>
      <c r="C778" s="41"/>
      <c r="D778" s="41"/>
      <c r="E778" s="83"/>
      <c r="F778" s="44">
        <v>0.0</v>
      </c>
      <c r="G778" s="45"/>
      <c r="H778" s="44"/>
      <c r="I778" s="63">
        <f t="shared" si="124"/>
        <v>0</v>
      </c>
      <c r="J778" s="63">
        <f t="shared" si="125"/>
        <v>0</v>
      </c>
      <c r="K778" s="44">
        <v>0.0</v>
      </c>
      <c r="L778" s="82"/>
      <c r="M778" s="61" t="s">
        <v>2226</v>
      </c>
      <c r="N778" s="61" t="s">
        <v>20</v>
      </c>
      <c r="O778" s="36" t="s">
        <v>1981</v>
      </c>
      <c r="P778" s="73">
        <f t="shared" si="101"/>
        <v>0</v>
      </c>
      <c r="Q778" s="36" t="s">
        <v>1981</v>
      </c>
      <c r="R778" s="114" t="s">
        <v>20</v>
      </c>
      <c r="S778" s="41"/>
    </row>
    <row r="779" ht="15.75" customHeight="1">
      <c r="A779" s="8" t="s">
        <v>20</v>
      </c>
      <c r="B779" s="41"/>
      <c r="C779" s="41"/>
      <c r="D779" s="41"/>
      <c r="E779" s="83"/>
      <c r="F779" s="44">
        <v>0.0</v>
      </c>
      <c r="G779" s="45"/>
      <c r="H779" s="44"/>
      <c r="I779" s="63">
        <f t="shared" si="124"/>
        <v>0</v>
      </c>
      <c r="J779" s="63">
        <f t="shared" si="125"/>
        <v>0</v>
      </c>
      <c r="K779" s="44">
        <v>0.0</v>
      </c>
      <c r="L779" s="82"/>
      <c r="M779" s="61" t="s">
        <v>2226</v>
      </c>
      <c r="N779" s="61" t="s">
        <v>20</v>
      </c>
      <c r="O779" s="36" t="s">
        <v>1981</v>
      </c>
      <c r="P779" s="73">
        <f t="shared" si="101"/>
        <v>0</v>
      </c>
      <c r="Q779" s="36" t="s">
        <v>1981</v>
      </c>
      <c r="R779" s="114" t="s">
        <v>20</v>
      </c>
      <c r="S779" s="41"/>
    </row>
    <row r="780" ht="15.75" customHeight="1">
      <c r="A780" s="8" t="s">
        <v>20</v>
      </c>
      <c r="B780" s="41"/>
      <c r="C780" s="41"/>
      <c r="D780" s="41"/>
      <c r="E780" s="83"/>
      <c r="F780" s="44">
        <v>0.0</v>
      </c>
      <c r="G780" s="45"/>
      <c r="H780" s="44"/>
      <c r="I780" s="63">
        <f t="shared" si="124"/>
        <v>0</v>
      </c>
      <c r="J780" s="63">
        <f t="shared" si="125"/>
        <v>0</v>
      </c>
      <c r="K780" s="44">
        <v>0.0</v>
      </c>
      <c r="L780" s="82"/>
      <c r="M780" s="61" t="s">
        <v>2226</v>
      </c>
      <c r="N780" s="61" t="s">
        <v>20</v>
      </c>
      <c r="O780" s="36" t="s">
        <v>1981</v>
      </c>
      <c r="P780" s="73">
        <f t="shared" si="101"/>
        <v>0</v>
      </c>
      <c r="Q780" s="36" t="s">
        <v>1981</v>
      </c>
      <c r="R780" s="114" t="s">
        <v>20</v>
      </c>
      <c r="S780" s="41"/>
    </row>
    <row r="781" ht="15.75" customHeight="1">
      <c r="A781" s="8" t="s">
        <v>20</v>
      </c>
      <c r="B781" s="41"/>
      <c r="C781" s="41"/>
      <c r="D781" s="41"/>
      <c r="E781" s="83"/>
      <c r="F781" s="44">
        <v>0.0</v>
      </c>
      <c r="G781" s="45"/>
      <c r="H781" s="44"/>
      <c r="I781" s="63">
        <f t="shared" si="124"/>
        <v>0</v>
      </c>
      <c r="J781" s="63">
        <f t="shared" si="125"/>
        <v>0</v>
      </c>
      <c r="K781" s="44">
        <v>0.0</v>
      </c>
      <c r="L781" s="82"/>
      <c r="M781" s="61" t="s">
        <v>2226</v>
      </c>
      <c r="N781" s="61" t="s">
        <v>20</v>
      </c>
      <c r="O781" s="36" t="s">
        <v>1981</v>
      </c>
      <c r="P781" s="73">
        <f t="shared" si="101"/>
        <v>0</v>
      </c>
      <c r="Q781" s="36" t="s">
        <v>1981</v>
      </c>
      <c r="R781" s="114" t="s">
        <v>20</v>
      </c>
      <c r="S781" s="41"/>
    </row>
    <row r="782" ht="15.75" customHeight="1">
      <c r="A782" s="8" t="s">
        <v>20</v>
      </c>
      <c r="B782" s="41"/>
      <c r="C782" s="41"/>
      <c r="D782" s="41"/>
      <c r="E782" s="83"/>
      <c r="F782" s="44">
        <v>0.0</v>
      </c>
      <c r="G782" s="45"/>
      <c r="H782" s="44"/>
      <c r="I782" s="63">
        <f t="shared" si="124"/>
        <v>0</v>
      </c>
      <c r="J782" s="63">
        <f t="shared" si="125"/>
        <v>0</v>
      </c>
      <c r="K782" s="44">
        <v>0.0</v>
      </c>
      <c r="L782" s="82"/>
      <c r="M782" s="61" t="s">
        <v>2226</v>
      </c>
      <c r="N782" s="61" t="s">
        <v>20</v>
      </c>
      <c r="O782" s="36" t="s">
        <v>1981</v>
      </c>
      <c r="P782" s="73">
        <f t="shared" si="101"/>
        <v>0</v>
      </c>
      <c r="Q782" s="36" t="s">
        <v>1981</v>
      </c>
      <c r="R782" s="114" t="s">
        <v>20</v>
      </c>
      <c r="S782" s="41"/>
    </row>
    <row r="783" ht="15.75" customHeight="1">
      <c r="A783" s="8" t="s">
        <v>20</v>
      </c>
      <c r="B783" s="41"/>
      <c r="C783" s="41"/>
      <c r="D783" s="41"/>
      <c r="E783" s="83"/>
      <c r="F783" s="44">
        <v>0.0</v>
      </c>
      <c r="G783" s="45"/>
      <c r="H783" s="44"/>
      <c r="I783" s="63">
        <f t="shared" si="124"/>
        <v>0</v>
      </c>
      <c r="J783" s="63">
        <f t="shared" si="125"/>
        <v>0</v>
      </c>
      <c r="K783" s="44">
        <v>0.0</v>
      </c>
      <c r="L783" s="82"/>
      <c r="M783" s="61" t="s">
        <v>2226</v>
      </c>
      <c r="N783" s="61" t="s">
        <v>20</v>
      </c>
      <c r="O783" s="36" t="s">
        <v>1981</v>
      </c>
      <c r="P783" s="73">
        <f t="shared" si="101"/>
        <v>0</v>
      </c>
      <c r="Q783" s="36" t="s">
        <v>1981</v>
      </c>
      <c r="R783" s="114" t="s">
        <v>20</v>
      </c>
      <c r="S783" s="41"/>
    </row>
    <row r="784" ht="15.75" customHeight="1">
      <c r="A784" s="8" t="s">
        <v>20</v>
      </c>
      <c r="B784" s="41"/>
      <c r="C784" s="41"/>
      <c r="D784" s="41"/>
      <c r="E784" s="83"/>
      <c r="F784" s="44">
        <v>0.0</v>
      </c>
      <c r="G784" s="45"/>
      <c r="H784" s="44"/>
      <c r="I784" s="63">
        <f t="shared" si="124"/>
        <v>0</v>
      </c>
      <c r="J784" s="63">
        <f t="shared" si="125"/>
        <v>0</v>
      </c>
      <c r="K784" s="44">
        <v>0.0</v>
      </c>
      <c r="L784" s="82"/>
      <c r="M784" s="61" t="s">
        <v>2226</v>
      </c>
      <c r="N784" s="61" t="s">
        <v>20</v>
      </c>
      <c r="O784" s="36" t="s">
        <v>1981</v>
      </c>
      <c r="P784" s="73">
        <f t="shared" si="101"/>
        <v>0</v>
      </c>
      <c r="Q784" s="36" t="s">
        <v>1981</v>
      </c>
      <c r="R784" s="114" t="s">
        <v>20</v>
      </c>
      <c r="S784" s="41"/>
    </row>
    <row r="785" ht="15.75" customHeight="1">
      <c r="A785" s="8" t="s">
        <v>20</v>
      </c>
      <c r="B785" s="41"/>
      <c r="C785" s="41"/>
      <c r="D785" s="41"/>
      <c r="E785" s="83"/>
      <c r="F785" s="44">
        <v>0.0</v>
      </c>
      <c r="G785" s="45"/>
      <c r="H785" s="44"/>
      <c r="I785" s="63">
        <f t="shared" si="124"/>
        <v>0</v>
      </c>
      <c r="J785" s="63">
        <f t="shared" si="125"/>
        <v>0</v>
      </c>
      <c r="K785" s="44">
        <v>0.0</v>
      </c>
      <c r="L785" s="82"/>
      <c r="M785" s="61" t="s">
        <v>2226</v>
      </c>
      <c r="N785" s="61" t="s">
        <v>20</v>
      </c>
      <c r="O785" s="36" t="s">
        <v>1981</v>
      </c>
      <c r="P785" s="73">
        <f t="shared" si="101"/>
        <v>0</v>
      </c>
      <c r="Q785" s="36" t="s">
        <v>1981</v>
      </c>
      <c r="R785" s="114" t="s">
        <v>20</v>
      </c>
      <c r="S785" s="41"/>
    </row>
    <row r="786" ht="15.75" customHeight="1">
      <c r="A786" s="8" t="s">
        <v>20</v>
      </c>
      <c r="B786" s="41"/>
      <c r="C786" s="41"/>
      <c r="D786" s="41"/>
      <c r="E786" s="83"/>
      <c r="F786" s="44">
        <v>0.0</v>
      </c>
      <c r="G786" s="45"/>
      <c r="H786" s="44"/>
      <c r="I786" s="63">
        <f t="shared" si="124"/>
        <v>0</v>
      </c>
      <c r="J786" s="63">
        <f t="shared" si="125"/>
        <v>0</v>
      </c>
      <c r="K786" s="44">
        <v>0.0</v>
      </c>
      <c r="L786" s="82"/>
      <c r="M786" s="61" t="s">
        <v>2226</v>
      </c>
      <c r="N786" s="61" t="s">
        <v>20</v>
      </c>
      <c r="O786" s="36" t="s">
        <v>1981</v>
      </c>
      <c r="P786" s="73">
        <f t="shared" si="101"/>
        <v>0</v>
      </c>
      <c r="Q786" s="36" t="s">
        <v>1981</v>
      </c>
      <c r="R786" s="114" t="s">
        <v>20</v>
      </c>
      <c r="S786" s="41"/>
    </row>
    <row r="787" ht="15.75" customHeight="1">
      <c r="A787" s="8" t="s">
        <v>20</v>
      </c>
      <c r="B787" s="41"/>
      <c r="C787" s="41"/>
      <c r="D787" s="41"/>
      <c r="E787" s="83"/>
      <c r="F787" s="44">
        <v>0.0</v>
      </c>
      <c r="G787" s="45"/>
      <c r="H787" s="44"/>
      <c r="I787" s="63">
        <f t="shared" si="124"/>
        <v>0</v>
      </c>
      <c r="J787" s="63">
        <f t="shared" si="125"/>
        <v>0</v>
      </c>
      <c r="K787" s="44">
        <v>0.0</v>
      </c>
      <c r="L787" s="82"/>
      <c r="M787" s="61" t="s">
        <v>2226</v>
      </c>
      <c r="N787" s="61" t="s">
        <v>20</v>
      </c>
      <c r="O787" s="36" t="s">
        <v>1981</v>
      </c>
      <c r="P787" s="73">
        <f t="shared" si="101"/>
        <v>0</v>
      </c>
      <c r="Q787" s="36" t="s">
        <v>1981</v>
      </c>
      <c r="R787" s="114" t="s">
        <v>20</v>
      </c>
      <c r="S787" s="41"/>
    </row>
    <row r="788" ht="15.75" customHeight="1">
      <c r="A788" s="8" t="s">
        <v>20</v>
      </c>
      <c r="B788" s="41"/>
      <c r="C788" s="41"/>
      <c r="D788" s="41"/>
      <c r="E788" s="83"/>
      <c r="F788" s="44">
        <v>0.0</v>
      </c>
      <c r="G788" s="45"/>
      <c r="H788" s="44"/>
      <c r="I788" s="63">
        <f t="shared" si="124"/>
        <v>0</v>
      </c>
      <c r="J788" s="63">
        <f t="shared" si="125"/>
        <v>0</v>
      </c>
      <c r="K788" s="44">
        <v>0.0</v>
      </c>
      <c r="L788" s="82"/>
      <c r="M788" s="61" t="s">
        <v>2226</v>
      </c>
      <c r="N788" s="61" t="s">
        <v>20</v>
      </c>
      <c r="O788" s="36" t="s">
        <v>1981</v>
      </c>
      <c r="P788" s="73">
        <f t="shared" si="101"/>
        <v>0</v>
      </c>
      <c r="Q788" s="36" t="s">
        <v>1981</v>
      </c>
      <c r="R788" s="114" t="s">
        <v>20</v>
      </c>
      <c r="S788" s="41"/>
    </row>
    <row r="789" ht="15.75" customHeight="1">
      <c r="A789" s="8" t="s">
        <v>20</v>
      </c>
      <c r="B789" s="41"/>
      <c r="C789" s="41"/>
      <c r="D789" s="41"/>
      <c r="E789" s="83"/>
      <c r="F789" s="44">
        <v>0.0</v>
      </c>
      <c r="G789" s="45"/>
      <c r="H789" s="44"/>
      <c r="I789" s="63">
        <f t="shared" si="124"/>
        <v>0</v>
      </c>
      <c r="J789" s="63">
        <f t="shared" si="125"/>
        <v>0</v>
      </c>
      <c r="K789" s="44">
        <v>0.0</v>
      </c>
      <c r="L789" s="82"/>
      <c r="M789" s="61" t="s">
        <v>2226</v>
      </c>
      <c r="N789" s="61" t="s">
        <v>20</v>
      </c>
      <c r="O789" s="36" t="s">
        <v>1981</v>
      </c>
      <c r="P789" s="73">
        <f t="shared" si="101"/>
        <v>0</v>
      </c>
      <c r="Q789" s="36" t="s">
        <v>1981</v>
      </c>
      <c r="R789" s="114" t="s">
        <v>20</v>
      </c>
      <c r="S789" s="41"/>
    </row>
    <row r="790" ht="15.75" customHeight="1">
      <c r="A790" s="8" t="s">
        <v>20</v>
      </c>
      <c r="B790" s="41"/>
      <c r="C790" s="41"/>
      <c r="D790" s="41"/>
      <c r="E790" s="83"/>
      <c r="F790" s="44">
        <v>0.0</v>
      </c>
      <c r="G790" s="45"/>
      <c r="H790" s="44"/>
      <c r="I790" s="63">
        <f t="shared" si="124"/>
        <v>0</v>
      </c>
      <c r="J790" s="63">
        <f t="shared" si="125"/>
        <v>0</v>
      </c>
      <c r="K790" s="44">
        <v>0.0</v>
      </c>
      <c r="L790" s="82"/>
      <c r="M790" s="61" t="s">
        <v>2226</v>
      </c>
      <c r="N790" s="61" t="s">
        <v>20</v>
      </c>
      <c r="O790" s="36" t="s">
        <v>1981</v>
      </c>
      <c r="P790" s="73">
        <f t="shared" si="101"/>
        <v>0</v>
      </c>
      <c r="Q790" s="36" t="s">
        <v>1981</v>
      </c>
      <c r="R790" s="114" t="s">
        <v>20</v>
      </c>
      <c r="S790" s="41"/>
    </row>
    <row r="791" ht="15.75" customHeight="1">
      <c r="A791" s="8" t="s">
        <v>20</v>
      </c>
      <c r="B791" s="41"/>
      <c r="C791" s="41"/>
      <c r="D791" s="41"/>
      <c r="E791" s="83"/>
      <c r="F791" s="44">
        <v>0.0</v>
      </c>
      <c r="G791" s="45"/>
      <c r="H791" s="44"/>
      <c r="I791" s="63">
        <f t="shared" si="124"/>
        <v>0</v>
      </c>
      <c r="J791" s="63">
        <f t="shared" si="125"/>
        <v>0</v>
      </c>
      <c r="K791" s="44">
        <v>0.0</v>
      </c>
      <c r="L791" s="82"/>
      <c r="M791" s="61" t="s">
        <v>2226</v>
      </c>
      <c r="N791" s="61" t="s">
        <v>20</v>
      </c>
      <c r="O791" s="36" t="s">
        <v>1981</v>
      </c>
      <c r="P791" s="73">
        <f t="shared" si="101"/>
        <v>0</v>
      </c>
      <c r="Q791" s="36" t="s">
        <v>1981</v>
      </c>
      <c r="R791" s="114" t="s">
        <v>20</v>
      </c>
      <c r="S791" s="41"/>
    </row>
    <row r="792" ht="15.75" customHeight="1">
      <c r="C792" s="139"/>
      <c r="F792" s="140"/>
      <c r="G792" s="26"/>
      <c r="H792" s="140"/>
      <c r="I792" s="140"/>
      <c r="J792" s="140"/>
      <c r="K792" s="140"/>
      <c r="L792" s="141"/>
      <c r="N792" s="142"/>
      <c r="O792" s="142"/>
      <c r="P792" s="140"/>
      <c r="Q792" s="142"/>
    </row>
    <row r="793" ht="15.75" customHeight="1">
      <c r="C793" s="139"/>
      <c r="F793" s="140"/>
      <c r="G793" s="26"/>
      <c r="H793" s="140"/>
      <c r="I793" s="140"/>
      <c r="J793" s="140"/>
      <c r="K793" s="140"/>
      <c r="L793" s="141"/>
      <c r="N793" s="142"/>
      <c r="O793" s="142"/>
      <c r="P793" s="140"/>
      <c r="Q793" s="142"/>
    </row>
    <row r="794" ht="15.75" customHeight="1">
      <c r="C794" s="139"/>
      <c r="F794" s="140"/>
      <c r="G794" s="26"/>
      <c r="H794" s="140"/>
      <c r="I794" s="140"/>
      <c r="J794" s="140"/>
      <c r="K794" s="140"/>
      <c r="L794" s="141"/>
      <c r="N794" s="142"/>
      <c r="O794" s="142"/>
      <c r="P794" s="140"/>
      <c r="Q794" s="142"/>
    </row>
    <row r="795" ht="15.75" customHeight="1">
      <c r="C795" s="139"/>
      <c r="F795" s="140"/>
      <c r="G795" s="26"/>
      <c r="H795" s="140"/>
      <c r="I795" s="140"/>
      <c r="J795" s="140"/>
      <c r="K795" s="140"/>
      <c r="L795" s="141"/>
      <c r="N795" s="142"/>
      <c r="O795" s="142"/>
      <c r="P795" s="140"/>
      <c r="Q795" s="142"/>
    </row>
    <row r="796" ht="15.75" customHeight="1">
      <c r="C796" s="139"/>
      <c r="F796" s="140"/>
      <c r="G796" s="26"/>
      <c r="H796" s="140"/>
      <c r="I796" s="140"/>
      <c r="J796" s="140"/>
      <c r="K796" s="140"/>
      <c r="L796" s="141"/>
      <c r="N796" s="142"/>
      <c r="O796" s="142"/>
      <c r="P796" s="140"/>
      <c r="Q796" s="142"/>
    </row>
    <row r="797" ht="15.75" customHeight="1">
      <c r="C797" s="139"/>
      <c r="F797" s="140"/>
      <c r="G797" s="26"/>
      <c r="H797" s="140"/>
      <c r="I797" s="140"/>
      <c r="J797" s="140"/>
      <c r="K797" s="140"/>
      <c r="L797" s="141"/>
      <c r="N797" s="142"/>
      <c r="O797" s="142"/>
      <c r="P797" s="140"/>
      <c r="Q797" s="142"/>
    </row>
    <row r="798" ht="15.75" customHeight="1">
      <c r="C798" s="139"/>
      <c r="F798" s="140"/>
      <c r="G798" s="26"/>
      <c r="H798" s="140"/>
      <c r="I798" s="140"/>
      <c r="J798" s="140"/>
      <c r="K798" s="140"/>
      <c r="L798" s="141"/>
      <c r="N798" s="142"/>
      <c r="O798" s="142"/>
      <c r="P798" s="140"/>
      <c r="Q798" s="142"/>
    </row>
    <row r="799" ht="15.75" customHeight="1">
      <c r="C799" s="139"/>
      <c r="F799" s="140"/>
      <c r="G799" s="26"/>
      <c r="H799" s="140"/>
      <c r="I799" s="140"/>
      <c r="J799" s="140"/>
      <c r="K799" s="140"/>
      <c r="L799" s="141"/>
      <c r="N799" s="142"/>
      <c r="O799" s="142"/>
      <c r="P799" s="140"/>
      <c r="Q799" s="142"/>
    </row>
    <row r="800" ht="15.75" customHeight="1">
      <c r="C800" s="139"/>
      <c r="F800" s="140"/>
      <c r="G800" s="26"/>
      <c r="H800" s="140"/>
      <c r="I800" s="140"/>
      <c r="J800" s="140"/>
      <c r="K800" s="140"/>
      <c r="L800" s="141"/>
      <c r="N800" s="142"/>
      <c r="O800" s="142"/>
      <c r="P800" s="140"/>
      <c r="Q800" s="142"/>
    </row>
    <row r="801" ht="15.75" customHeight="1">
      <c r="C801" s="139"/>
      <c r="F801" s="140"/>
      <c r="G801" s="26"/>
      <c r="H801" s="140"/>
      <c r="I801" s="140"/>
      <c r="J801" s="140"/>
      <c r="K801" s="140"/>
      <c r="L801" s="141"/>
      <c r="N801" s="142"/>
      <c r="O801" s="142"/>
      <c r="P801" s="140"/>
      <c r="Q801" s="142"/>
    </row>
    <row r="802" ht="15.75" customHeight="1">
      <c r="C802" s="139"/>
      <c r="F802" s="140"/>
      <c r="G802" s="26"/>
      <c r="H802" s="140"/>
      <c r="I802" s="140"/>
      <c r="J802" s="140"/>
      <c r="K802" s="140"/>
      <c r="L802" s="141"/>
      <c r="N802" s="142"/>
      <c r="O802" s="142"/>
      <c r="P802" s="140"/>
      <c r="Q802" s="142"/>
    </row>
    <row r="803" ht="15.75" customHeight="1">
      <c r="C803" s="139"/>
      <c r="F803" s="140"/>
      <c r="G803" s="26"/>
      <c r="H803" s="140"/>
      <c r="I803" s="140"/>
      <c r="J803" s="140"/>
      <c r="K803" s="140"/>
      <c r="L803" s="141"/>
      <c r="N803" s="142"/>
      <c r="O803" s="142"/>
      <c r="P803" s="140"/>
      <c r="Q803" s="142"/>
    </row>
    <row r="804" ht="15.75" customHeight="1">
      <c r="C804" s="139"/>
      <c r="F804" s="140"/>
      <c r="G804" s="26"/>
      <c r="H804" s="140"/>
      <c r="I804" s="140"/>
      <c r="J804" s="140"/>
      <c r="K804" s="140"/>
      <c r="L804" s="141"/>
      <c r="N804" s="142"/>
      <c r="O804" s="142"/>
      <c r="P804" s="140"/>
      <c r="Q804" s="142"/>
    </row>
    <row r="805" ht="15.75" customHeight="1">
      <c r="C805" s="139"/>
      <c r="F805" s="140"/>
      <c r="G805" s="26"/>
      <c r="H805" s="140"/>
      <c r="I805" s="140"/>
      <c r="J805" s="140"/>
      <c r="K805" s="140"/>
      <c r="L805" s="141"/>
      <c r="N805" s="142"/>
      <c r="O805" s="142"/>
      <c r="P805" s="140"/>
      <c r="Q805" s="142"/>
    </row>
    <row r="806" ht="15.75" customHeight="1">
      <c r="C806" s="139"/>
      <c r="F806" s="140"/>
      <c r="G806" s="26"/>
      <c r="H806" s="140"/>
      <c r="I806" s="140"/>
      <c r="J806" s="140"/>
      <c r="K806" s="140"/>
      <c r="L806" s="141"/>
      <c r="N806" s="142"/>
      <c r="O806" s="142"/>
      <c r="P806" s="140"/>
      <c r="Q806" s="142"/>
    </row>
    <row r="807" ht="15.75" customHeight="1">
      <c r="C807" s="139"/>
      <c r="F807" s="140"/>
      <c r="G807" s="26"/>
      <c r="H807" s="140"/>
      <c r="I807" s="140"/>
      <c r="J807" s="140"/>
      <c r="K807" s="140"/>
      <c r="L807" s="141"/>
      <c r="N807" s="142"/>
      <c r="O807" s="142"/>
      <c r="P807" s="140"/>
      <c r="Q807" s="142"/>
    </row>
    <row r="808" ht="15.75" customHeight="1">
      <c r="C808" s="139"/>
      <c r="F808" s="140"/>
      <c r="G808" s="26"/>
      <c r="H808" s="140"/>
      <c r="I808" s="140"/>
      <c r="J808" s="140"/>
      <c r="K808" s="140"/>
      <c r="L808" s="141"/>
      <c r="N808" s="142"/>
      <c r="O808" s="142"/>
      <c r="P808" s="140"/>
      <c r="Q808" s="142"/>
    </row>
    <row r="809" ht="15.75" customHeight="1">
      <c r="C809" s="139"/>
      <c r="F809" s="140"/>
      <c r="G809" s="26"/>
      <c r="H809" s="140"/>
      <c r="I809" s="140"/>
      <c r="J809" s="140"/>
      <c r="K809" s="140"/>
      <c r="L809" s="141"/>
      <c r="N809" s="142"/>
      <c r="O809" s="142"/>
      <c r="P809" s="140"/>
      <c r="Q809" s="142"/>
    </row>
    <row r="810" ht="15.75" customHeight="1">
      <c r="C810" s="139"/>
      <c r="F810" s="140"/>
      <c r="G810" s="26"/>
      <c r="H810" s="140"/>
      <c r="I810" s="140"/>
      <c r="J810" s="140"/>
      <c r="K810" s="140"/>
      <c r="L810" s="141"/>
      <c r="N810" s="142"/>
      <c r="O810" s="142"/>
      <c r="P810" s="140"/>
      <c r="Q810" s="142"/>
    </row>
    <row r="811" ht="15.75" customHeight="1">
      <c r="C811" s="139"/>
      <c r="F811" s="140"/>
      <c r="G811" s="26"/>
      <c r="H811" s="140"/>
      <c r="I811" s="140"/>
      <c r="J811" s="140"/>
      <c r="K811" s="140"/>
      <c r="L811" s="141"/>
      <c r="N811" s="142"/>
      <c r="O811" s="142"/>
      <c r="P811" s="140"/>
      <c r="Q811" s="142"/>
    </row>
    <row r="812" ht="15.75" customHeight="1">
      <c r="C812" s="139"/>
      <c r="F812" s="140"/>
      <c r="G812" s="26"/>
      <c r="H812" s="140"/>
      <c r="I812" s="140"/>
      <c r="J812" s="140"/>
      <c r="K812" s="140"/>
      <c r="L812" s="141"/>
      <c r="N812" s="142"/>
      <c r="O812" s="142"/>
      <c r="P812" s="140"/>
      <c r="Q812" s="142"/>
    </row>
    <row r="813" ht="15.75" customHeight="1">
      <c r="C813" s="139"/>
      <c r="F813" s="140"/>
      <c r="G813" s="26"/>
      <c r="H813" s="140"/>
      <c r="I813" s="140"/>
      <c r="J813" s="140"/>
      <c r="K813" s="140"/>
      <c r="L813" s="141"/>
      <c r="N813" s="142"/>
      <c r="O813" s="142"/>
      <c r="P813" s="140"/>
      <c r="Q813" s="142"/>
    </row>
    <row r="814" ht="15.75" customHeight="1">
      <c r="C814" s="139"/>
      <c r="F814" s="140"/>
      <c r="G814" s="26"/>
      <c r="H814" s="140"/>
      <c r="I814" s="140"/>
      <c r="J814" s="140"/>
      <c r="K814" s="140"/>
      <c r="L814" s="141"/>
      <c r="N814" s="142"/>
      <c r="O814" s="142"/>
      <c r="P814" s="140"/>
      <c r="Q814" s="142"/>
    </row>
    <row r="815" ht="15.75" customHeight="1">
      <c r="C815" s="139"/>
      <c r="F815" s="140"/>
      <c r="G815" s="26"/>
      <c r="H815" s="140"/>
      <c r="I815" s="140"/>
      <c r="J815" s="140"/>
      <c r="K815" s="140"/>
      <c r="L815" s="141"/>
      <c r="N815" s="142"/>
      <c r="O815" s="142"/>
      <c r="P815" s="140"/>
      <c r="Q815" s="142"/>
    </row>
    <row r="816" ht="15.75" customHeight="1">
      <c r="C816" s="139"/>
      <c r="F816" s="140"/>
      <c r="G816" s="26"/>
      <c r="H816" s="140"/>
      <c r="I816" s="140"/>
      <c r="J816" s="140"/>
      <c r="K816" s="140"/>
      <c r="L816" s="141"/>
      <c r="N816" s="142"/>
      <c r="O816" s="142"/>
      <c r="P816" s="140"/>
      <c r="Q816" s="142"/>
    </row>
    <row r="817" ht="15.75" customHeight="1">
      <c r="C817" s="139"/>
      <c r="F817" s="140"/>
      <c r="G817" s="26"/>
      <c r="H817" s="140"/>
      <c r="I817" s="140"/>
      <c r="J817" s="140"/>
      <c r="K817" s="140"/>
      <c r="L817" s="141"/>
      <c r="N817" s="142"/>
      <c r="O817" s="142"/>
      <c r="P817" s="140"/>
      <c r="Q817" s="142"/>
    </row>
    <row r="818" ht="15.75" customHeight="1">
      <c r="C818" s="139"/>
      <c r="F818" s="140"/>
      <c r="G818" s="26"/>
      <c r="H818" s="140"/>
      <c r="I818" s="140"/>
      <c r="J818" s="140"/>
      <c r="K818" s="140"/>
      <c r="L818" s="141"/>
      <c r="N818" s="142"/>
      <c r="O818" s="142"/>
      <c r="P818" s="140"/>
      <c r="Q818" s="142"/>
    </row>
    <row r="819" ht="15.75" customHeight="1">
      <c r="C819" s="139"/>
      <c r="F819" s="140"/>
      <c r="G819" s="26"/>
      <c r="H819" s="140"/>
      <c r="I819" s="140"/>
      <c r="J819" s="140"/>
      <c r="K819" s="140"/>
      <c r="L819" s="141"/>
      <c r="N819" s="142"/>
      <c r="O819" s="142"/>
      <c r="P819" s="140"/>
      <c r="Q819" s="142"/>
    </row>
    <row r="820" ht="15.75" customHeight="1">
      <c r="C820" s="139"/>
      <c r="F820" s="140"/>
      <c r="G820" s="26"/>
      <c r="H820" s="140"/>
      <c r="I820" s="140"/>
      <c r="J820" s="140"/>
      <c r="K820" s="140"/>
      <c r="L820" s="141"/>
      <c r="N820" s="142"/>
      <c r="O820" s="142"/>
      <c r="P820" s="140"/>
      <c r="Q820" s="142"/>
    </row>
    <row r="821" ht="15.75" customHeight="1">
      <c r="C821" s="139"/>
      <c r="F821" s="140"/>
      <c r="G821" s="26"/>
      <c r="H821" s="140"/>
      <c r="I821" s="140"/>
      <c r="J821" s="140"/>
      <c r="K821" s="140"/>
      <c r="L821" s="141"/>
      <c r="N821" s="142"/>
      <c r="O821" s="142"/>
      <c r="P821" s="140"/>
      <c r="Q821" s="142"/>
    </row>
    <row r="822" ht="15.75" customHeight="1">
      <c r="C822" s="139"/>
      <c r="F822" s="140"/>
      <c r="G822" s="26"/>
      <c r="H822" s="140"/>
      <c r="I822" s="140"/>
      <c r="J822" s="140"/>
      <c r="K822" s="140"/>
      <c r="L822" s="141"/>
      <c r="N822" s="142"/>
      <c r="O822" s="142"/>
      <c r="P822" s="140"/>
      <c r="Q822" s="142"/>
    </row>
    <row r="823" ht="15.75" customHeight="1">
      <c r="C823" s="139"/>
      <c r="F823" s="140"/>
      <c r="G823" s="26"/>
      <c r="H823" s="140"/>
      <c r="I823" s="140"/>
      <c r="J823" s="140"/>
      <c r="K823" s="140"/>
      <c r="L823" s="141"/>
      <c r="N823" s="142"/>
      <c r="O823" s="142"/>
      <c r="P823" s="140"/>
      <c r="Q823" s="142"/>
    </row>
    <row r="824" ht="15.75" customHeight="1">
      <c r="C824" s="139"/>
      <c r="F824" s="140"/>
      <c r="G824" s="26"/>
      <c r="H824" s="140"/>
      <c r="I824" s="140"/>
      <c r="J824" s="140"/>
      <c r="K824" s="140"/>
      <c r="L824" s="141"/>
      <c r="N824" s="142"/>
      <c r="O824" s="142"/>
      <c r="P824" s="140"/>
      <c r="Q824" s="142"/>
    </row>
    <row r="825" ht="15.75" customHeight="1">
      <c r="C825" s="139"/>
      <c r="F825" s="140"/>
      <c r="G825" s="26"/>
      <c r="H825" s="140"/>
      <c r="I825" s="140"/>
      <c r="J825" s="140"/>
      <c r="K825" s="140"/>
      <c r="L825" s="141"/>
      <c r="N825" s="142"/>
      <c r="O825" s="142"/>
      <c r="P825" s="140"/>
      <c r="Q825" s="142"/>
    </row>
    <row r="826" ht="15.75" customHeight="1">
      <c r="C826" s="139"/>
      <c r="F826" s="140"/>
      <c r="G826" s="26"/>
      <c r="H826" s="140"/>
      <c r="I826" s="140"/>
      <c r="J826" s="140"/>
      <c r="K826" s="140"/>
      <c r="L826" s="141"/>
      <c r="N826" s="142"/>
      <c r="O826" s="142"/>
      <c r="P826" s="140"/>
      <c r="Q826" s="142"/>
    </row>
    <row r="827" ht="15.75" customHeight="1">
      <c r="C827" s="139"/>
      <c r="F827" s="140"/>
      <c r="G827" s="26"/>
      <c r="H827" s="140"/>
      <c r="I827" s="140"/>
      <c r="J827" s="140"/>
      <c r="K827" s="140"/>
      <c r="L827" s="141"/>
      <c r="N827" s="142"/>
      <c r="O827" s="142"/>
      <c r="P827" s="140"/>
      <c r="Q827" s="142"/>
    </row>
    <row r="828" ht="15.75" customHeight="1">
      <c r="C828" s="139"/>
      <c r="F828" s="140"/>
      <c r="G828" s="26"/>
      <c r="H828" s="140"/>
      <c r="I828" s="140"/>
      <c r="J828" s="140"/>
      <c r="K828" s="140"/>
      <c r="L828" s="141"/>
      <c r="N828" s="142"/>
      <c r="O828" s="142"/>
      <c r="P828" s="140"/>
      <c r="Q828" s="142"/>
    </row>
    <row r="829" ht="15.75" customHeight="1">
      <c r="C829" s="139"/>
      <c r="F829" s="140"/>
      <c r="G829" s="26"/>
      <c r="H829" s="140"/>
      <c r="I829" s="140"/>
      <c r="J829" s="140"/>
      <c r="K829" s="140"/>
      <c r="L829" s="141"/>
      <c r="N829" s="142"/>
      <c r="O829" s="142"/>
      <c r="P829" s="140"/>
      <c r="Q829" s="142"/>
    </row>
    <row r="830" ht="15.75" customHeight="1">
      <c r="C830" s="139"/>
      <c r="F830" s="140"/>
      <c r="G830" s="26"/>
      <c r="H830" s="140"/>
      <c r="I830" s="140"/>
      <c r="J830" s="140"/>
      <c r="K830" s="140"/>
      <c r="L830" s="141"/>
      <c r="N830" s="142"/>
      <c r="O830" s="142"/>
      <c r="P830" s="140"/>
      <c r="Q830" s="142"/>
    </row>
    <row r="831" ht="15.75" customHeight="1">
      <c r="C831" s="139"/>
      <c r="F831" s="140"/>
      <c r="G831" s="26"/>
      <c r="H831" s="140"/>
      <c r="I831" s="140"/>
      <c r="J831" s="140"/>
      <c r="K831" s="140"/>
      <c r="L831" s="141"/>
      <c r="N831" s="142"/>
      <c r="O831" s="142"/>
      <c r="P831" s="140"/>
      <c r="Q831" s="142"/>
    </row>
    <row r="832" ht="15.75" customHeight="1">
      <c r="C832" s="139"/>
      <c r="F832" s="140"/>
      <c r="G832" s="26"/>
      <c r="H832" s="140"/>
      <c r="I832" s="140"/>
      <c r="J832" s="140"/>
      <c r="K832" s="140"/>
      <c r="L832" s="141"/>
      <c r="N832" s="142"/>
      <c r="O832" s="142"/>
      <c r="P832" s="140"/>
      <c r="Q832" s="142"/>
    </row>
    <row r="833" ht="15.75" customHeight="1">
      <c r="C833" s="139"/>
      <c r="F833" s="140"/>
      <c r="G833" s="26"/>
      <c r="H833" s="140"/>
      <c r="I833" s="140"/>
      <c r="J833" s="140"/>
      <c r="K833" s="140"/>
      <c r="L833" s="141"/>
      <c r="N833" s="142"/>
      <c r="O833" s="142"/>
      <c r="P833" s="140"/>
      <c r="Q833" s="142"/>
    </row>
    <row r="834" ht="15.75" customHeight="1">
      <c r="C834" s="139"/>
      <c r="F834" s="140"/>
      <c r="G834" s="26"/>
      <c r="H834" s="140"/>
      <c r="I834" s="140"/>
      <c r="J834" s="140"/>
      <c r="K834" s="140"/>
      <c r="L834" s="141"/>
      <c r="N834" s="142"/>
      <c r="O834" s="142"/>
      <c r="P834" s="140"/>
      <c r="Q834" s="142"/>
    </row>
    <row r="835" ht="15.75" customHeight="1">
      <c r="C835" s="139"/>
      <c r="F835" s="140"/>
      <c r="G835" s="26"/>
      <c r="H835" s="140"/>
      <c r="I835" s="140"/>
      <c r="J835" s="140"/>
      <c r="K835" s="140"/>
      <c r="L835" s="141"/>
      <c r="N835" s="142"/>
      <c r="O835" s="142"/>
      <c r="P835" s="140"/>
      <c r="Q835" s="142"/>
    </row>
    <row r="836" ht="15.75" customHeight="1">
      <c r="C836" s="139"/>
      <c r="F836" s="140"/>
      <c r="G836" s="26"/>
      <c r="H836" s="140"/>
      <c r="I836" s="140"/>
      <c r="J836" s="140"/>
      <c r="K836" s="140"/>
      <c r="L836" s="141"/>
      <c r="N836" s="142"/>
      <c r="O836" s="142"/>
      <c r="P836" s="140"/>
      <c r="Q836" s="142"/>
    </row>
    <row r="837" ht="15.75" customHeight="1">
      <c r="C837" s="139"/>
      <c r="F837" s="140"/>
      <c r="G837" s="26"/>
      <c r="H837" s="140"/>
      <c r="I837" s="140"/>
      <c r="J837" s="140"/>
      <c r="K837" s="140"/>
      <c r="L837" s="141"/>
      <c r="N837" s="142"/>
      <c r="O837" s="142"/>
      <c r="P837" s="140"/>
      <c r="Q837" s="142"/>
    </row>
    <row r="838" ht="15.75" customHeight="1">
      <c r="C838" s="139"/>
      <c r="F838" s="140"/>
      <c r="G838" s="26"/>
      <c r="H838" s="140"/>
      <c r="I838" s="140"/>
      <c r="J838" s="140"/>
      <c r="K838" s="140"/>
      <c r="L838" s="141"/>
      <c r="N838" s="142"/>
      <c r="O838" s="142"/>
      <c r="P838" s="140"/>
      <c r="Q838" s="142"/>
    </row>
    <row r="839" ht="15.75" customHeight="1">
      <c r="C839" s="139"/>
      <c r="F839" s="140"/>
      <c r="G839" s="26"/>
      <c r="H839" s="140"/>
      <c r="I839" s="140"/>
      <c r="J839" s="140"/>
      <c r="K839" s="140"/>
      <c r="L839" s="141"/>
      <c r="N839" s="142"/>
      <c r="O839" s="142"/>
      <c r="P839" s="140"/>
      <c r="Q839" s="142"/>
    </row>
    <row r="840" ht="15.75" customHeight="1">
      <c r="C840" s="139"/>
      <c r="F840" s="140"/>
      <c r="G840" s="26"/>
      <c r="H840" s="140"/>
      <c r="I840" s="140"/>
      <c r="J840" s="140"/>
      <c r="K840" s="140"/>
      <c r="L840" s="141"/>
      <c r="N840" s="142"/>
      <c r="O840" s="142"/>
      <c r="P840" s="140"/>
      <c r="Q840" s="142"/>
    </row>
    <row r="841" ht="15.75" customHeight="1">
      <c r="C841" s="139"/>
      <c r="F841" s="140"/>
      <c r="G841" s="26"/>
      <c r="H841" s="140"/>
      <c r="I841" s="140"/>
      <c r="J841" s="140"/>
      <c r="K841" s="140"/>
      <c r="L841" s="141"/>
      <c r="N841" s="142"/>
      <c r="O841" s="142"/>
      <c r="P841" s="140"/>
      <c r="Q841" s="142"/>
    </row>
    <row r="842" ht="15.75" customHeight="1">
      <c r="C842" s="139"/>
      <c r="F842" s="140"/>
      <c r="G842" s="26"/>
      <c r="H842" s="140"/>
      <c r="I842" s="140"/>
      <c r="J842" s="140"/>
      <c r="K842" s="140"/>
      <c r="L842" s="141"/>
      <c r="N842" s="142"/>
      <c r="O842" s="142"/>
      <c r="P842" s="140"/>
      <c r="Q842" s="142"/>
    </row>
    <row r="843" ht="15.75" customHeight="1">
      <c r="C843" s="139"/>
      <c r="F843" s="140"/>
      <c r="G843" s="26"/>
      <c r="H843" s="140"/>
      <c r="I843" s="140"/>
      <c r="J843" s="140"/>
      <c r="K843" s="140"/>
      <c r="L843" s="141"/>
      <c r="N843" s="142"/>
      <c r="O843" s="142"/>
      <c r="P843" s="140"/>
      <c r="Q843" s="142"/>
    </row>
    <row r="844" ht="15.75" customHeight="1">
      <c r="C844" s="139"/>
      <c r="F844" s="140"/>
      <c r="G844" s="26"/>
      <c r="H844" s="140"/>
      <c r="I844" s="140"/>
      <c r="J844" s="140"/>
      <c r="K844" s="140"/>
      <c r="L844" s="141"/>
      <c r="N844" s="142"/>
      <c r="O844" s="142"/>
      <c r="P844" s="140"/>
      <c r="Q844" s="142"/>
    </row>
    <row r="845" ht="15.75" customHeight="1">
      <c r="C845" s="139"/>
      <c r="F845" s="140"/>
      <c r="G845" s="26"/>
      <c r="H845" s="140"/>
      <c r="I845" s="140"/>
      <c r="J845" s="140"/>
      <c r="K845" s="140"/>
      <c r="L845" s="141"/>
      <c r="N845" s="142"/>
      <c r="O845" s="142"/>
      <c r="P845" s="140"/>
      <c r="Q845" s="142"/>
    </row>
    <row r="846" ht="15.75" customHeight="1">
      <c r="C846" s="139"/>
      <c r="F846" s="140"/>
      <c r="G846" s="26"/>
      <c r="H846" s="140"/>
      <c r="I846" s="140"/>
      <c r="J846" s="140"/>
      <c r="K846" s="140"/>
      <c r="L846" s="141"/>
      <c r="N846" s="142"/>
      <c r="O846" s="142"/>
      <c r="P846" s="140"/>
      <c r="Q846" s="142"/>
    </row>
    <row r="847" ht="15.75" customHeight="1">
      <c r="C847" s="139"/>
      <c r="F847" s="140"/>
      <c r="G847" s="26"/>
      <c r="H847" s="140"/>
      <c r="I847" s="140"/>
      <c r="J847" s="140"/>
      <c r="K847" s="140"/>
      <c r="L847" s="141"/>
      <c r="N847" s="142"/>
      <c r="O847" s="142"/>
      <c r="P847" s="140"/>
      <c r="Q847" s="142"/>
    </row>
    <row r="848" ht="15.75" customHeight="1">
      <c r="C848" s="139"/>
      <c r="F848" s="140"/>
      <c r="G848" s="26"/>
      <c r="H848" s="140"/>
      <c r="I848" s="140"/>
      <c r="J848" s="140"/>
      <c r="K848" s="140"/>
      <c r="L848" s="141"/>
      <c r="N848" s="142"/>
      <c r="O848" s="142"/>
      <c r="P848" s="140"/>
      <c r="Q848" s="142"/>
    </row>
    <row r="849" ht="15.75" customHeight="1">
      <c r="C849" s="139"/>
      <c r="F849" s="140"/>
      <c r="G849" s="26"/>
      <c r="H849" s="140"/>
      <c r="I849" s="140"/>
      <c r="J849" s="140"/>
      <c r="K849" s="140"/>
      <c r="L849" s="141"/>
      <c r="N849" s="142"/>
      <c r="O849" s="142"/>
      <c r="P849" s="140"/>
      <c r="Q849" s="142"/>
    </row>
    <row r="850" ht="15.75" customHeight="1">
      <c r="C850" s="139"/>
      <c r="F850" s="140"/>
      <c r="G850" s="26"/>
      <c r="H850" s="140"/>
      <c r="I850" s="140"/>
      <c r="J850" s="140"/>
      <c r="K850" s="140"/>
      <c r="L850" s="141"/>
      <c r="N850" s="142"/>
      <c r="O850" s="142"/>
      <c r="P850" s="140"/>
      <c r="Q850" s="142"/>
    </row>
    <row r="851" ht="15.75" customHeight="1">
      <c r="C851" s="139"/>
      <c r="F851" s="140"/>
      <c r="G851" s="26"/>
      <c r="H851" s="140"/>
      <c r="I851" s="140"/>
      <c r="J851" s="140"/>
      <c r="K851" s="140"/>
      <c r="L851" s="141"/>
      <c r="N851" s="142"/>
      <c r="O851" s="142"/>
      <c r="P851" s="140"/>
      <c r="Q851" s="142"/>
    </row>
    <row r="852" ht="15.75" customHeight="1">
      <c r="C852" s="139"/>
      <c r="F852" s="140"/>
      <c r="G852" s="26"/>
      <c r="H852" s="140"/>
      <c r="I852" s="140"/>
      <c r="J852" s="140"/>
      <c r="K852" s="140"/>
      <c r="L852" s="141"/>
      <c r="N852" s="142"/>
      <c r="O852" s="142"/>
      <c r="P852" s="140"/>
      <c r="Q852" s="142"/>
    </row>
    <row r="853" ht="15.75" customHeight="1">
      <c r="C853" s="139"/>
      <c r="F853" s="140"/>
      <c r="G853" s="26"/>
      <c r="H853" s="140"/>
      <c r="I853" s="140"/>
      <c r="J853" s="140"/>
      <c r="K853" s="140"/>
      <c r="L853" s="141"/>
      <c r="N853" s="142"/>
      <c r="O853" s="142"/>
      <c r="P853" s="140"/>
      <c r="Q853" s="142"/>
    </row>
    <row r="854" ht="15.75" customHeight="1">
      <c r="C854" s="139"/>
      <c r="F854" s="140"/>
      <c r="G854" s="26"/>
      <c r="H854" s="140"/>
      <c r="I854" s="140"/>
      <c r="J854" s="140"/>
      <c r="K854" s="140"/>
      <c r="L854" s="141"/>
      <c r="N854" s="142"/>
      <c r="O854" s="142"/>
      <c r="P854" s="140"/>
      <c r="Q854" s="142"/>
    </row>
    <row r="855" ht="15.75" customHeight="1">
      <c r="C855" s="139"/>
      <c r="F855" s="140"/>
      <c r="G855" s="26"/>
      <c r="H855" s="140"/>
      <c r="I855" s="140"/>
      <c r="J855" s="140"/>
      <c r="K855" s="140"/>
      <c r="L855" s="141"/>
      <c r="N855" s="142"/>
      <c r="O855" s="142"/>
      <c r="P855" s="140"/>
      <c r="Q855" s="142"/>
    </row>
    <row r="856" ht="15.75" customHeight="1">
      <c r="C856" s="139"/>
      <c r="F856" s="140"/>
      <c r="G856" s="26"/>
      <c r="H856" s="140"/>
      <c r="I856" s="140"/>
      <c r="J856" s="140"/>
      <c r="K856" s="140"/>
      <c r="L856" s="141"/>
      <c r="N856" s="142"/>
      <c r="O856" s="142"/>
      <c r="P856" s="140"/>
      <c r="Q856" s="142"/>
    </row>
    <row r="857" ht="15.75" customHeight="1">
      <c r="C857" s="139"/>
      <c r="F857" s="140"/>
      <c r="G857" s="26"/>
      <c r="H857" s="140"/>
      <c r="I857" s="140"/>
      <c r="J857" s="140"/>
      <c r="K857" s="140"/>
      <c r="L857" s="141"/>
      <c r="N857" s="142"/>
      <c r="O857" s="142"/>
      <c r="P857" s="140"/>
      <c r="Q857" s="142"/>
    </row>
    <row r="858" ht="15.75" customHeight="1">
      <c r="C858" s="139"/>
      <c r="F858" s="140"/>
      <c r="G858" s="26"/>
      <c r="H858" s="140"/>
      <c r="I858" s="140"/>
      <c r="J858" s="140"/>
      <c r="K858" s="140"/>
      <c r="L858" s="141"/>
      <c r="N858" s="142"/>
      <c r="O858" s="142"/>
      <c r="P858" s="140"/>
      <c r="Q858" s="142"/>
    </row>
    <row r="859" ht="15.75" customHeight="1">
      <c r="C859" s="139"/>
      <c r="F859" s="140"/>
      <c r="G859" s="26"/>
      <c r="H859" s="140"/>
      <c r="I859" s="140"/>
      <c r="J859" s="140"/>
      <c r="K859" s="140"/>
      <c r="L859" s="141"/>
      <c r="N859" s="142"/>
      <c r="O859" s="142"/>
      <c r="P859" s="140"/>
      <c r="Q859" s="142"/>
    </row>
    <row r="860" ht="15.75" customHeight="1">
      <c r="C860" s="139"/>
      <c r="F860" s="140"/>
      <c r="G860" s="26"/>
      <c r="H860" s="140"/>
      <c r="I860" s="140"/>
      <c r="J860" s="140"/>
      <c r="K860" s="140"/>
      <c r="L860" s="141"/>
      <c r="N860" s="142"/>
      <c r="O860" s="142"/>
      <c r="P860" s="140"/>
      <c r="Q860" s="142"/>
    </row>
    <row r="861" ht="15.75" customHeight="1">
      <c r="C861" s="139"/>
      <c r="F861" s="140"/>
      <c r="G861" s="26"/>
      <c r="H861" s="140"/>
      <c r="I861" s="140"/>
      <c r="J861" s="140"/>
      <c r="K861" s="140"/>
      <c r="L861" s="141"/>
      <c r="N861" s="142"/>
      <c r="O861" s="142"/>
      <c r="P861" s="140"/>
      <c r="Q861" s="142"/>
    </row>
    <row r="862" ht="15.75" customHeight="1">
      <c r="C862" s="139"/>
      <c r="F862" s="140"/>
      <c r="G862" s="26"/>
      <c r="H862" s="140"/>
      <c r="I862" s="140"/>
      <c r="J862" s="140"/>
      <c r="K862" s="140"/>
      <c r="L862" s="141"/>
      <c r="N862" s="142"/>
      <c r="O862" s="142"/>
      <c r="P862" s="140"/>
      <c r="Q862" s="142"/>
    </row>
    <row r="863" ht="15.75" customHeight="1">
      <c r="C863" s="139"/>
      <c r="F863" s="140"/>
      <c r="G863" s="26"/>
      <c r="H863" s="140"/>
      <c r="I863" s="140"/>
      <c r="J863" s="140"/>
      <c r="K863" s="140"/>
      <c r="L863" s="141"/>
      <c r="N863" s="142"/>
      <c r="O863" s="142"/>
      <c r="P863" s="140"/>
      <c r="Q863" s="142"/>
    </row>
    <row r="864" ht="15.75" customHeight="1">
      <c r="C864" s="139"/>
      <c r="F864" s="140"/>
      <c r="G864" s="26"/>
      <c r="H864" s="140"/>
      <c r="I864" s="140"/>
      <c r="J864" s="140"/>
      <c r="K864" s="140"/>
      <c r="L864" s="141"/>
      <c r="N864" s="142"/>
      <c r="O864" s="142"/>
      <c r="P864" s="140"/>
      <c r="Q864" s="142"/>
    </row>
    <row r="865" ht="15.75" customHeight="1">
      <c r="C865" s="139"/>
      <c r="F865" s="140"/>
      <c r="G865" s="26"/>
      <c r="H865" s="140"/>
      <c r="I865" s="140"/>
      <c r="J865" s="140"/>
      <c r="K865" s="140"/>
      <c r="L865" s="141"/>
      <c r="N865" s="142"/>
      <c r="O865" s="142"/>
      <c r="P865" s="140"/>
      <c r="Q865" s="142"/>
    </row>
    <row r="866" ht="15.75" customHeight="1">
      <c r="C866" s="139"/>
      <c r="F866" s="140"/>
      <c r="G866" s="26"/>
      <c r="H866" s="140"/>
      <c r="I866" s="140"/>
      <c r="J866" s="140"/>
      <c r="K866" s="140"/>
      <c r="L866" s="141"/>
      <c r="N866" s="142"/>
      <c r="O866" s="142"/>
      <c r="P866" s="140"/>
      <c r="Q866" s="142"/>
    </row>
    <row r="867" ht="15.75" customHeight="1">
      <c r="C867" s="139"/>
      <c r="F867" s="140"/>
      <c r="G867" s="26"/>
      <c r="H867" s="140"/>
      <c r="I867" s="140"/>
      <c r="J867" s="140"/>
      <c r="K867" s="140"/>
      <c r="L867" s="141"/>
      <c r="N867" s="142"/>
      <c r="O867" s="142"/>
      <c r="P867" s="140"/>
      <c r="Q867" s="142"/>
    </row>
    <row r="868" ht="15.75" customHeight="1">
      <c r="C868" s="139"/>
      <c r="F868" s="140"/>
      <c r="G868" s="26"/>
      <c r="H868" s="140"/>
      <c r="I868" s="140"/>
      <c r="J868" s="140"/>
      <c r="K868" s="140"/>
      <c r="L868" s="141"/>
      <c r="N868" s="142"/>
      <c r="O868" s="142"/>
      <c r="P868" s="140"/>
      <c r="Q868" s="142"/>
    </row>
    <row r="869" ht="15.75" customHeight="1">
      <c r="C869" s="139"/>
      <c r="F869" s="140"/>
      <c r="G869" s="26"/>
      <c r="H869" s="140"/>
      <c r="I869" s="140"/>
      <c r="J869" s="140"/>
      <c r="K869" s="140"/>
      <c r="L869" s="141"/>
      <c r="N869" s="142"/>
      <c r="O869" s="142"/>
      <c r="P869" s="140"/>
      <c r="Q869" s="142"/>
    </row>
    <row r="870" ht="15.75" customHeight="1">
      <c r="C870" s="139"/>
      <c r="F870" s="140"/>
      <c r="G870" s="26"/>
      <c r="H870" s="140"/>
      <c r="I870" s="140"/>
      <c r="J870" s="140"/>
      <c r="K870" s="140"/>
      <c r="L870" s="141"/>
      <c r="N870" s="142"/>
      <c r="O870" s="142"/>
      <c r="P870" s="140"/>
      <c r="Q870" s="142"/>
    </row>
    <row r="871" ht="15.75" customHeight="1">
      <c r="C871" s="139"/>
      <c r="F871" s="140"/>
      <c r="G871" s="26"/>
      <c r="H871" s="140"/>
      <c r="I871" s="140"/>
      <c r="J871" s="140"/>
      <c r="K871" s="140"/>
      <c r="L871" s="141"/>
      <c r="N871" s="142"/>
      <c r="O871" s="142"/>
      <c r="P871" s="140"/>
      <c r="Q871" s="142"/>
    </row>
    <row r="872" ht="15.75" customHeight="1">
      <c r="C872" s="139"/>
      <c r="F872" s="140"/>
      <c r="G872" s="26"/>
      <c r="H872" s="140"/>
      <c r="I872" s="140"/>
      <c r="J872" s="140"/>
      <c r="K872" s="140"/>
      <c r="L872" s="141"/>
      <c r="N872" s="142"/>
      <c r="O872" s="142"/>
      <c r="P872" s="140"/>
      <c r="Q872" s="142"/>
    </row>
    <row r="873" ht="15.75" customHeight="1">
      <c r="C873" s="139"/>
      <c r="F873" s="140"/>
      <c r="G873" s="26"/>
      <c r="H873" s="140"/>
      <c r="I873" s="140"/>
      <c r="J873" s="140"/>
      <c r="K873" s="140"/>
      <c r="L873" s="141"/>
      <c r="N873" s="142"/>
      <c r="O873" s="142"/>
      <c r="P873" s="140"/>
      <c r="Q873" s="142"/>
    </row>
    <row r="874" ht="15.75" customHeight="1">
      <c r="C874" s="139"/>
      <c r="F874" s="140"/>
      <c r="G874" s="26"/>
      <c r="H874" s="140"/>
      <c r="I874" s="140"/>
      <c r="J874" s="140"/>
      <c r="K874" s="140"/>
      <c r="L874" s="141"/>
      <c r="N874" s="142"/>
      <c r="O874" s="142"/>
      <c r="P874" s="140"/>
      <c r="Q874" s="142"/>
    </row>
    <row r="875" ht="15.75" customHeight="1">
      <c r="C875" s="139"/>
      <c r="F875" s="140"/>
      <c r="G875" s="26"/>
      <c r="H875" s="140"/>
      <c r="I875" s="140"/>
      <c r="J875" s="140"/>
      <c r="K875" s="140"/>
      <c r="L875" s="141"/>
      <c r="N875" s="142"/>
      <c r="O875" s="142"/>
      <c r="P875" s="140"/>
      <c r="Q875" s="142"/>
    </row>
    <row r="876" ht="15.75" customHeight="1">
      <c r="C876" s="139"/>
      <c r="F876" s="140"/>
      <c r="G876" s="26"/>
      <c r="H876" s="140"/>
      <c r="I876" s="140"/>
      <c r="J876" s="140"/>
      <c r="K876" s="140"/>
      <c r="L876" s="141"/>
      <c r="N876" s="142"/>
      <c r="O876" s="142"/>
      <c r="P876" s="140"/>
      <c r="Q876" s="142"/>
    </row>
    <row r="877" ht="15.75" customHeight="1">
      <c r="C877" s="139"/>
      <c r="F877" s="140"/>
      <c r="G877" s="26"/>
      <c r="H877" s="140"/>
      <c r="I877" s="140"/>
      <c r="J877" s="140"/>
      <c r="K877" s="140"/>
      <c r="L877" s="141"/>
      <c r="N877" s="142"/>
      <c r="O877" s="142"/>
      <c r="P877" s="140"/>
      <c r="Q877" s="142"/>
    </row>
    <row r="878" ht="15.75" customHeight="1">
      <c r="C878" s="139"/>
      <c r="F878" s="140"/>
      <c r="G878" s="26"/>
      <c r="H878" s="140"/>
      <c r="I878" s="140"/>
      <c r="J878" s="140"/>
      <c r="K878" s="140"/>
      <c r="L878" s="141"/>
      <c r="N878" s="142"/>
      <c r="O878" s="142"/>
      <c r="P878" s="140"/>
      <c r="Q878" s="142"/>
    </row>
    <row r="879" ht="15.75" customHeight="1">
      <c r="C879" s="139"/>
      <c r="F879" s="140"/>
      <c r="G879" s="26"/>
      <c r="H879" s="140"/>
      <c r="I879" s="140"/>
      <c r="J879" s="140"/>
      <c r="K879" s="140"/>
      <c r="L879" s="141"/>
      <c r="N879" s="142"/>
      <c r="O879" s="142"/>
      <c r="P879" s="140"/>
      <c r="Q879" s="142"/>
    </row>
    <row r="880" ht="15.75" customHeight="1">
      <c r="C880" s="139"/>
      <c r="F880" s="140"/>
      <c r="G880" s="26"/>
      <c r="H880" s="140"/>
      <c r="I880" s="140"/>
      <c r="J880" s="140"/>
      <c r="K880" s="140"/>
      <c r="L880" s="141"/>
      <c r="N880" s="142"/>
      <c r="O880" s="142"/>
      <c r="P880" s="140"/>
      <c r="Q880" s="142"/>
    </row>
    <row r="881" ht="15.75" customHeight="1">
      <c r="C881" s="139"/>
      <c r="F881" s="140"/>
      <c r="G881" s="26"/>
      <c r="H881" s="140"/>
      <c r="I881" s="140"/>
      <c r="J881" s="140"/>
      <c r="K881" s="140"/>
      <c r="L881" s="141"/>
      <c r="N881" s="142"/>
      <c r="O881" s="142"/>
      <c r="P881" s="140"/>
      <c r="Q881" s="142"/>
    </row>
    <row r="882" ht="15.75" customHeight="1">
      <c r="C882" s="139"/>
      <c r="F882" s="140"/>
      <c r="G882" s="26"/>
      <c r="H882" s="140"/>
      <c r="I882" s="140"/>
      <c r="J882" s="140"/>
      <c r="K882" s="140"/>
      <c r="L882" s="141"/>
      <c r="N882" s="142"/>
      <c r="O882" s="142"/>
      <c r="P882" s="140"/>
      <c r="Q882" s="142"/>
    </row>
    <row r="883" ht="15.75" customHeight="1">
      <c r="C883" s="139"/>
      <c r="F883" s="140"/>
      <c r="G883" s="26"/>
      <c r="H883" s="140"/>
      <c r="I883" s="140"/>
      <c r="J883" s="140"/>
      <c r="K883" s="140"/>
      <c r="L883" s="141"/>
      <c r="N883" s="142"/>
      <c r="O883" s="142"/>
      <c r="P883" s="140"/>
      <c r="Q883" s="142"/>
    </row>
    <row r="884" ht="15.75" customHeight="1">
      <c r="C884" s="139"/>
      <c r="F884" s="140"/>
      <c r="G884" s="26"/>
      <c r="H884" s="140"/>
      <c r="I884" s="140"/>
      <c r="J884" s="140"/>
      <c r="K884" s="140"/>
      <c r="L884" s="141"/>
      <c r="N884" s="142"/>
      <c r="O884" s="142"/>
      <c r="P884" s="140"/>
      <c r="Q884" s="142"/>
    </row>
    <row r="885" ht="15.75" customHeight="1">
      <c r="C885" s="139"/>
      <c r="F885" s="140"/>
      <c r="G885" s="26"/>
      <c r="H885" s="140"/>
      <c r="I885" s="140"/>
      <c r="J885" s="140"/>
      <c r="K885" s="140"/>
      <c r="L885" s="141"/>
      <c r="N885" s="142"/>
      <c r="O885" s="142"/>
      <c r="P885" s="140"/>
      <c r="Q885" s="142"/>
    </row>
    <row r="886" ht="15.75" customHeight="1">
      <c r="C886" s="139"/>
      <c r="F886" s="140"/>
      <c r="G886" s="26"/>
      <c r="H886" s="140"/>
      <c r="I886" s="140"/>
      <c r="J886" s="140"/>
      <c r="K886" s="140"/>
      <c r="L886" s="141"/>
      <c r="N886" s="142"/>
      <c r="O886" s="142"/>
      <c r="P886" s="140"/>
      <c r="Q886" s="142"/>
    </row>
    <row r="887" ht="15.75" customHeight="1">
      <c r="C887" s="139"/>
      <c r="F887" s="140"/>
      <c r="G887" s="26"/>
      <c r="H887" s="140"/>
      <c r="I887" s="140"/>
      <c r="J887" s="140"/>
      <c r="K887" s="140"/>
      <c r="L887" s="141"/>
      <c r="N887" s="142"/>
      <c r="O887" s="142"/>
      <c r="P887" s="140"/>
      <c r="Q887" s="142"/>
    </row>
    <row r="888" ht="15.75" customHeight="1">
      <c r="C888" s="139"/>
      <c r="F888" s="140"/>
      <c r="G888" s="26"/>
      <c r="H888" s="140"/>
      <c r="I888" s="140"/>
      <c r="J888" s="140"/>
      <c r="K888" s="140"/>
      <c r="L888" s="141"/>
      <c r="N888" s="142"/>
      <c r="O888" s="142"/>
      <c r="P888" s="140"/>
      <c r="Q888" s="142"/>
    </row>
    <row r="889" ht="15.75" customHeight="1">
      <c r="C889" s="139"/>
      <c r="F889" s="140"/>
      <c r="G889" s="26"/>
      <c r="H889" s="140"/>
      <c r="I889" s="140"/>
      <c r="J889" s="140"/>
      <c r="K889" s="140"/>
      <c r="L889" s="141"/>
      <c r="N889" s="142"/>
      <c r="O889" s="142"/>
      <c r="P889" s="140"/>
      <c r="Q889" s="142"/>
    </row>
    <row r="890" ht="15.75" customHeight="1">
      <c r="C890" s="139"/>
      <c r="F890" s="140"/>
      <c r="G890" s="26"/>
      <c r="H890" s="140"/>
      <c r="I890" s="140"/>
      <c r="J890" s="140"/>
      <c r="K890" s="140"/>
      <c r="L890" s="141"/>
      <c r="N890" s="142"/>
      <c r="O890" s="142"/>
      <c r="P890" s="140"/>
      <c r="Q890" s="142"/>
    </row>
    <row r="891" ht="15.75" customHeight="1">
      <c r="C891" s="139"/>
      <c r="F891" s="140"/>
      <c r="G891" s="26"/>
      <c r="H891" s="140"/>
      <c r="I891" s="140"/>
      <c r="J891" s="140"/>
      <c r="K891" s="140"/>
      <c r="L891" s="141"/>
      <c r="N891" s="142"/>
      <c r="O891" s="142"/>
      <c r="P891" s="140"/>
      <c r="Q891" s="142"/>
    </row>
    <row r="892" ht="15.75" customHeight="1">
      <c r="C892" s="139"/>
      <c r="F892" s="140"/>
      <c r="G892" s="26"/>
      <c r="H892" s="140"/>
      <c r="I892" s="140"/>
      <c r="J892" s="140"/>
      <c r="K892" s="140"/>
      <c r="L892" s="141"/>
      <c r="N892" s="142"/>
      <c r="O892" s="142"/>
      <c r="P892" s="140"/>
      <c r="Q892" s="142"/>
    </row>
    <row r="893" ht="15.75" customHeight="1">
      <c r="C893" s="139"/>
      <c r="F893" s="140"/>
      <c r="G893" s="26"/>
      <c r="H893" s="140"/>
      <c r="I893" s="140"/>
      <c r="J893" s="140"/>
      <c r="K893" s="140"/>
      <c r="L893" s="141"/>
      <c r="N893" s="142"/>
      <c r="O893" s="142"/>
      <c r="P893" s="140"/>
      <c r="Q893" s="142"/>
    </row>
    <row r="894" ht="15.75" customHeight="1">
      <c r="C894" s="139"/>
      <c r="F894" s="140"/>
      <c r="G894" s="26"/>
      <c r="H894" s="140"/>
      <c r="I894" s="140"/>
      <c r="J894" s="140"/>
      <c r="K894" s="140"/>
      <c r="L894" s="141"/>
      <c r="N894" s="142"/>
      <c r="O894" s="142"/>
      <c r="P894" s="140"/>
      <c r="Q894" s="142"/>
    </row>
    <row r="895" ht="15.75" customHeight="1">
      <c r="C895" s="139"/>
      <c r="F895" s="140"/>
      <c r="G895" s="26"/>
      <c r="H895" s="140"/>
      <c r="I895" s="140"/>
      <c r="J895" s="140"/>
      <c r="K895" s="140"/>
      <c r="L895" s="141"/>
      <c r="N895" s="142"/>
      <c r="O895" s="142"/>
      <c r="P895" s="140"/>
      <c r="Q895" s="142"/>
    </row>
    <row r="896" ht="15.75" customHeight="1">
      <c r="C896" s="139"/>
      <c r="F896" s="140"/>
      <c r="G896" s="26"/>
      <c r="H896" s="140"/>
      <c r="I896" s="140"/>
      <c r="J896" s="140"/>
      <c r="K896" s="140"/>
      <c r="L896" s="141"/>
      <c r="N896" s="142"/>
      <c r="O896" s="142"/>
      <c r="P896" s="140"/>
      <c r="Q896" s="142"/>
    </row>
    <row r="897" ht="15.75" customHeight="1">
      <c r="C897" s="139"/>
      <c r="F897" s="140"/>
      <c r="G897" s="26"/>
      <c r="H897" s="140"/>
      <c r="I897" s="140"/>
      <c r="J897" s="140"/>
      <c r="K897" s="140"/>
      <c r="L897" s="141"/>
      <c r="N897" s="142"/>
      <c r="O897" s="142"/>
      <c r="P897" s="140"/>
      <c r="Q897" s="142"/>
    </row>
    <row r="898" ht="15.75" customHeight="1">
      <c r="C898" s="139"/>
      <c r="F898" s="140"/>
      <c r="G898" s="26"/>
      <c r="H898" s="140"/>
      <c r="I898" s="140"/>
      <c r="J898" s="140"/>
      <c r="K898" s="140"/>
      <c r="L898" s="141"/>
      <c r="N898" s="142"/>
      <c r="O898" s="142"/>
      <c r="P898" s="140"/>
      <c r="Q898" s="142"/>
    </row>
    <row r="899" ht="15.75" customHeight="1">
      <c r="C899" s="139"/>
      <c r="F899" s="140"/>
      <c r="G899" s="26"/>
      <c r="H899" s="140"/>
      <c r="I899" s="140"/>
      <c r="J899" s="140"/>
      <c r="K899" s="140"/>
      <c r="L899" s="141"/>
      <c r="N899" s="142"/>
      <c r="O899" s="142"/>
      <c r="P899" s="140"/>
      <c r="Q899" s="142"/>
    </row>
    <row r="900" ht="15.75" customHeight="1">
      <c r="C900" s="139"/>
      <c r="F900" s="140"/>
      <c r="G900" s="26"/>
      <c r="H900" s="140"/>
      <c r="I900" s="140"/>
      <c r="J900" s="140"/>
      <c r="K900" s="140"/>
      <c r="L900" s="141"/>
      <c r="N900" s="142"/>
      <c r="O900" s="142"/>
      <c r="P900" s="140"/>
      <c r="Q900" s="142"/>
    </row>
    <row r="901" ht="15.75" customHeight="1">
      <c r="C901" s="139"/>
      <c r="F901" s="140"/>
      <c r="G901" s="26"/>
      <c r="H901" s="140"/>
      <c r="I901" s="140"/>
      <c r="J901" s="140"/>
      <c r="K901" s="140"/>
      <c r="L901" s="141"/>
      <c r="N901" s="142"/>
      <c r="O901" s="142"/>
      <c r="P901" s="140"/>
      <c r="Q901" s="142"/>
    </row>
    <row r="902" ht="15.75" customHeight="1">
      <c r="C902" s="139"/>
      <c r="F902" s="140"/>
      <c r="G902" s="26"/>
      <c r="H902" s="140"/>
      <c r="I902" s="140"/>
      <c r="J902" s="140"/>
      <c r="K902" s="140"/>
      <c r="L902" s="141"/>
      <c r="N902" s="142"/>
      <c r="O902" s="142"/>
      <c r="P902" s="140"/>
      <c r="Q902" s="142"/>
    </row>
    <row r="903" ht="15.75" customHeight="1">
      <c r="C903" s="139"/>
      <c r="F903" s="140"/>
      <c r="G903" s="26"/>
      <c r="H903" s="140"/>
      <c r="I903" s="140"/>
      <c r="J903" s="140"/>
      <c r="K903" s="140"/>
      <c r="L903" s="141"/>
      <c r="N903" s="142"/>
      <c r="O903" s="142"/>
      <c r="P903" s="140"/>
      <c r="Q903" s="142"/>
    </row>
    <row r="904" ht="15.75" customHeight="1">
      <c r="C904" s="139"/>
      <c r="F904" s="140"/>
      <c r="G904" s="26"/>
      <c r="H904" s="140"/>
      <c r="I904" s="140"/>
      <c r="J904" s="140"/>
      <c r="K904" s="140"/>
      <c r="L904" s="141"/>
      <c r="N904" s="142"/>
      <c r="O904" s="142"/>
      <c r="P904" s="140"/>
      <c r="Q904" s="142"/>
    </row>
    <row r="905" ht="15.75" customHeight="1">
      <c r="C905" s="139"/>
      <c r="F905" s="140"/>
      <c r="G905" s="26"/>
      <c r="H905" s="140"/>
      <c r="I905" s="140"/>
      <c r="J905" s="140"/>
      <c r="K905" s="140"/>
      <c r="L905" s="141"/>
      <c r="N905" s="142"/>
      <c r="O905" s="142"/>
      <c r="P905" s="140"/>
      <c r="Q905" s="142"/>
    </row>
    <row r="906" ht="15.75" customHeight="1">
      <c r="C906" s="139"/>
      <c r="F906" s="140"/>
      <c r="G906" s="26"/>
      <c r="H906" s="140"/>
      <c r="I906" s="140"/>
      <c r="J906" s="140"/>
      <c r="K906" s="140"/>
      <c r="L906" s="141"/>
      <c r="N906" s="142"/>
      <c r="O906" s="142"/>
      <c r="P906" s="140"/>
      <c r="Q906" s="142"/>
    </row>
    <row r="907" ht="15.75" customHeight="1">
      <c r="C907" s="139"/>
      <c r="F907" s="140"/>
      <c r="G907" s="26"/>
      <c r="H907" s="140"/>
      <c r="I907" s="140"/>
      <c r="J907" s="140"/>
      <c r="K907" s="140"/>
      <c r="L907" s="141"/>
      <c r="N907" s="142"/>
      <c r="O907" s="142"/>
      <c r="P907" s="140"/>
      <c r="Q907" s="142"/>
    </row>
    <row r="908" ht="15.75" customHeight="1">
      <c r="C908" s="139"/>
      <c r="F908" s="140"/>
      <c r="G908" s="26"/>
      <c r="H908" s="140"/>
      <c r="I908" s="140"/>
      <c r="J908" s="140"/>
      <c r="K908" s="140"/>
      <c r="L908" s="141"/>
      <c r="N908" s="142"/>
      <c r="O908" s="142"/>
      <c r="P908" s="140"/>
      <c r="Q908" s="142"/>
    </row>
    <row r="909" ht="15.75" customHeight="1">
      <c r="C909" s="139"/>
      <c r="F909" s="140"/>
      <c r="G909" s="26"/>
      <c r="H909" s="140"/>
      <c r="I909" s="140"/>
      <c r="J909" s="140"/>
      <c r="K909" s="140"/>
      <c r="L909" s="141"/>
      <c r="N909" s="142"/>
      <c r="O909" s="142"/>
      <c r="P909" s="140"/>
      <c r="Q909" s="142"/>
    </row>
    <row r="910" ht="15.75" customHeight="1">
      <c r="C910" s="139"/>
      <c r="F910" s="140"/>
      <c r="G910" s="26"/>
      <c r="H910" s="140"/>
      <c r="I910" s="140"/>
      <c r="J910" s="140"/>
      <c r="K910" s="140"/>
      <c r="L910" s="141"/>
      <c r="N910" s="142"/>
      <c r="O910" s="143" t="s">
        <v>2227</v>
      </c>
      <c r="P910" s="140"/>
      <c r="Q910" s="142"/>
    </row>
    <row r="911" ht="15.75" customHeight="1">
      <c r="C911" s="139"/>
      <c r="F911" s="140"/>
      <c r="G911" s="26"/>
      <c r="H911" s="140"/>
      <c r="I911" s="140"/>
      <c r="J911" s="140"/>
      <c r="K911" s="140"/>
      <c r="L911" s="141"/>
      <c r="N911" s="142"/>
      <c r="O911" s="142"/>
      <c r="P911" s="140"/>
      <c r="Q911" s="142"/>
    </row>
    <row r="912" ht="15.75" customHeight="1">
      <c r="C912" s="139"/>
      <c r="F912" s="140"/>
      <c r="H912" s="140"/>
      <c r="I912" s="140"/>
      <c r="J912" s="140"/>
      <c r="K912" s="140"/>
      <c r="L912" s="141"/>
      <c r="N912" s="142"/>
      <c r="O912" s="142"/>
      <c r="P912" s="140"/>
      <c r="Q912" s="142"/>
    </row>
    <row r="913" ht="15.75" customHeight="1">
      <c r="C913" s="139"/>
      <c r="F913" s="140"/>
      <c r="H913" s="140"/>
      <c r="I913" s="140"/>
      <c r="J913" s="140"/>
      <c r="K913" s="140"/>
      <c r="L913" s="141"/>
      <c r="N913" s="142"/>
      <c r="O913" s="142"/>
      <c r="P913" s="140"/>
      <c r="Q913" s="142"/>
    </row>
    <row r="914" ht="15.75" customHeight="1">
      <c r="C914" s="139"/>
      <c r="F914" s="140"/>
      <c r="H914" s="140"/>
      <c r="I914" s="140"/>
      <c r="J914" s="140"/>
      <c r="K914" s="140"/>
      <c r="L914" s="141"/>
      <c r="N914" s="142"/>
      <c r="O914" s="142"/>
      <c r="P914" s="140"/>
      <c r="Q914" s="142"/>
    </row>
    <row r="915" ht="15.75" customHeight="1">
      <c r="C915" s="139"/>
      <c r="F915" s="140"/>
      <c r="H915" s="140"/>
      <c r="I915" s="140"/>
      <c r="J915" s="140"/>
      <c r="K915" s="140"/>
      <c r="L915" s="141"/>
      <c r="N915" s="142"/>
      <c r="O915" s="142"/>
      <c r="P915" s="140"/>
      <c r="Q915" s="142"/>
    </row>
    <row r="916" ht="15.75" customHeight="1">
      <c r="C916" s="139"/>
      <c r="F916" s="140"/>
      <c r="G916" s="26"/>
      <c r="H916" s="140"/>
      <c r="I916" s="140"/>
      <c r="J916" s="140"/>
      <c r="K916" s="140"/>
      <c r="L916" s="141"/>
      <c r="N916" s="142"/>
      <c r="O916" s="142"/>
      <c r="P916" s="140"/>
      <c r="Q916" s="142"/>
    </row>
    <row r="917" ht="15.75" customHeight="1">
      <c r="C917" s="139"/>
      <c r="F917" s="140"/>
      <c r="G917" s="26"/>
      <c r="H917" s="140"/>
      <c r="I917" s="140"/>
      <c r="J917" s="140"/>
      <c r="K917" s="140"/>
      <c r="L917" s="141"/>
      <c r="N917" s="142"/>
      <c r="O917" s="142"/>
      <c r="P917" s="140"/>
      <c r="Q917" s="142"/>
    </row>
    <row r="918" ht="15.75" customHeight="1">
      <c r="C918" s="139"/>
      <c r="F918" s="140"/>
      <c r="G918" s="26"/>
      <c r="H918" s="140"/>
      <c r="I918" s="140"/>
      <c r="J918" s="140"/>
      <c r="K918" s="140"/>
      <c r="L918" s="141"/>
      <c r="N918" s="142"/>
      <c r="O918" s="142"/>
      <c r="P918" s="140"/>
      <c r="Q918" s="142"/>
    </row>
    <row r="919" ht="15.75" customHeight="1">
      <c r="C919" s="139"/>
      <c r="F919" s="140"/>
      <c r="G919" s="26"/>
      <c r="H919" s="140"/>
      <c r="I919" s="140"/>
      <c r="J919" s="140"/>
      <c r="K919" s="140"/>
      <c r="L919" s="141"/>
      <c r="N919" s="142"/>
      <c r="O919" s="142"/>
      <c r="P919" s="140"/>
      <c r="Q919" s="142"/>
    </row>
    <row r="920" ht="15.75" customHeight="1">
      <c r="C920" s="139"/>
      <c r="F920" s="140"/>
      <c r="G920" s="26"/>
      <c r="H920" s="140"/>
      <c r="I920" s="140"/>
      <c r="J920" s="140"/>
      <c r="K920" s="140"/>
      <c r="L920" s="141"/>
      <c r="N920" s="142"/>
      <c r="O920" s="142"/>
      <c r="P920" s="140"/>
      <c r="Q920" s="142"/>
    </row>
    <row r="921" ht="15.75" customHeight="1">
      <c r="C921" s="139"/>
      <c r="F921" s="140"/>
      <c r="G921" s="26"/>
      <c r="H921" s="140"/>
      <c r="I921" s="140"/>
      <c r="J921" s="140"/>
      <c r="K921" s="140"/>
      <c r="L921" s="141"/>
      <c r="N921" s="142"/>
      <c r="O921" s="142"/>
      <c r="P921" s="140"/>
      <c r="Q921" s="142"/>
    </row>
    <row r="922" ht="15.75" customHeight="1">
      <c r="C922" s="139"/>
      <c r="F922" s="140"/>
      <c r="G922" s="26"/>
      <c r="H922" s="140"/>
      <c r="I922" s="140"/>
      <c r="J922" s="140"/>
      <c r="K922" s="140"/>
      <c r="L922" s="141"/>
      <c r="N922" s="142"/>
      <c r="O922" s="142"/>
      <c r="P922" s="140"/>
      <c r="Q922" s="142"/>
    </row>
    <row r="923" ht="15.75" customHeight="1">
      <c r="C923" s="139"/>
      <c r="F923" s="140"/>
      <c r="G923" s="26"/>
      <c r="H923" s="140"/>
      <c r="I923" s="140"/>
      <c r="J923" s="140"/>
      <c r="K923" s="140"/>
      <c r="L923" s="141"/>
      <c r="N923" s="142"/>
      <c r="O923" s="142"/>
      <c r="P923" s="140"/>
      <c r="Q923" s="142"/>
    </row>
    <row r="924" ht="15.75" customHeight="1">
      <c r="C924" s="139"/>
      <c r="F924" s="140"/>
      <c r="G924" s="26"/>
      <c r="H924" s="140"/>
      <c r="I924" s="140"/>
      <c r="J924" s="140"/>
      <c r="K924" s="140"/>
      <c r="L924" s="141"/>
      <c r="N924" s="142"/>
      <c r="O924" s="142"/>
      <c r="P924" s="140"/>
      <c r="Q924" s="142"/>
    </row>
    <row r="925" ht="15.75" customHeight="1">
      <c r="C925" s="139"/>
      <c r="F925" s="140"/>
      <c r="G925" s="26"/>
      <c r="H925" s="140"/>
      <c r="I925" s="140"/>
      <c r="J925" s="140"/>
      <c r="K925" s="140"/>
      <c r="L925" s="141"/>
      <c r="N925" s="142"/>
      <c r="O925" s="142"/>
      <c r="P925" s="140"/>
      <c r="Q925" s="142"/>
    </row>
    <row r="926" ht="15.75" customHeight="1">
      <c r="C926" s="139"/>
      <c r="F926" s="140"/>
      <c r="G926" s="26"/>
      <c r="H926" s="140"/>
      <c r="I926" s="140"/>
      <c r="J926" s="140"/>
      <c r="K926" s="140"/>
      <c r="L926" s="141"/>
      <c r="N926" s="142"/>
      <c r="O926" s="142"/>
      <c r="P926" s="140"/>
      <c r="Q926" s="142"/>
    </row>
    <row r="927" ht="15.75" customHeight="1">
      <c r="C927" s="139"/>
      <c r="F927" s="140"/>
      <c r="G927" s="26"/>
      <c r="H927" s="140"/>
      <c r="I927" s="140"/>
      <c r="J927" s="140"/>
      <c r="K927" s="140"/>
      <c r="L927" s="141"/>
      <c r="N927" s="142"/>
      <c r="O927" s="142"/>
      <c r="P927" s="140"/>
      <c r="Q927" s="142"/>
    </row>
    <row r="928" ht="15.75" customHeight="1">
      <c r="C928" s="139"/>
      <c r="F928" s="140"/>
      <c r="G928" s="26"/>
      <c r="H928" s="140"/>
      <c r="I928" s="140"/>
      <c r="J928" s="140"/>
      <c r="K928" s="140"/>
      <c r="L928" s="141"/>
      <c r="N928" s="142"/>
      <c r="O928" s="142"/>
      <c r="P928" s="140"/>
      <c r="Q928" s="142"/>
    </row>
    <row r="929" ht="15.75" customHeight="1">
      <c r="C929" s="139"/>
      <c r="F929" s="140"/>
      <c r="G929" s="26"/>
      <c r="H929" s="140"/>
      <c r="I929" s="140"/>
      <c r="J929" s="140"/>
      <c r="K929" s="140"/>
      <c r="L929" s="141"/>
      <c r="N929" s="142"/>
      <c r="O929" s="142"/>
      <c r="P929" s="140"/>
      <c r="Q929" s="142"/>
    </row>
    <row r="930" ht="15.75" customHeight="1">
      <c r="C930" s="139"/>
      <c r="F930" s="140"/>
      <c r="G930" s="26"/>
      <c r="H930" s="140"/>
      <c r="I930" s="140"/>
      <c r="J930" s="140"/>
      <c r="K930" s="140"/>
      <c r="L930" s="141"/>
      <c r="N930" s="142"/>
      <c r="O930" s="142"/>
      <c r="P930" s="140"/>
      <c r="Q930" s="142"/>
    </row>
    <row r="931" ht="15.75" customHeight="1">
      <c r="C931" s="139"/>
      <c r="F931" s="140"/>
      <c r="G931" s="26"/>
      <c r="H931" s="140"/>
      <c r="I931" s="140"/>
      <c r="J931" s="140"/>
      <c r="K931" s="140"/>
      <c r="L931" s="141"/>
      <c r="N931" s="142"/>
      <c r="O931" s="142"/>
      <c r="P931" s="140"/>
      <c r="Q931" s="142"/>
    </row>
    <row r="932" ht="15.75" customHeight="1">
      <c r="C932" s="139"/>
      <c r="F932" s="140"/>
      <c r="G932" s="26"/>
      <c r="H932" s="140"/>
      <c r="I932" s="140"/>
      <c r="J932" s="140"/>
      <c r="K932" s="140"/>
      <c r="L932" s="141"/>
      <c r="N932" s="142"/>
      <c r="O932" s="142"/>
      <c r="P932" s="140"/>
      <c r="Q932" s="142"/>
    </row>
    <row r="933" ht="15.75" customHeight="1">
      <c r="C933" s="139"/>
      <c r="F933" s="140"/>
      <c r="G933" s="26"/>
      <c r="H933" s="140"/>
      <c r="I933" s="140"/>
      <c r="J933" s="140"/>
      <c r="K933" s="140"/>
      <c r="L933" s="141"/>
      <c r="N933" s="142"/>
      <c r="O933" s="142"/>
      <c r="P933" s="140"/>
      <c r="Q933" s="142"/>
    </row>
    <row r="934" ht="15.75" customHeight="1">
      <c r="C934" s="139"/>
      <c r="F934" s="140"/>
      <c r="G934" s="26"/>
      <c r="H934" s="140"/>
      <c r="I934" s="140"/>
      <c r="J934" s="140"/>
      <c r="K934" s="140"/>
      <c r="L934" s="141"/>
      <c r="N934" s="142"/>
      <c r="O934" s="142"/>
      <c r="P934" s="140"/>
      <c r="Q934" s="142"/>
    </row>
    <row r="935" ht="15.75" customHeight="1">
      <c r="C935" s="139"/>
      <c r="F935" s="140"/>
      <c r="G935" s="26"/>
      <c r="H935" s="140"/>
      <c r="I935" s="140"/>
      <c r="J935" s="140"/>
      <c r="K935" s="140"/>
      <c r="L935" s="141"/>
      <c r="N935" s="142"/>
      <c r="O935" s="142"/>
      <c r="P935" s="140"/>
      <c r="Q935" s="142"/>
    </row>
    <row r="936" ht="15.75" customHeight="1">
      <c r="C936" s="139"/>
      <c r="F936" s="140"/>
      <c r="G936" s="26"/>
      <c r="H936" s="140"/>
      <c r="I936" s="140"/>
      <c r="J936" s="140"/>
      <c r="K936" s="140"/>
      <c r="L936" s="141"/>
      <c r="N936" s="142"/>
      <c r="O936" s="142"/>
      <c r="P936" s="140"/>
      <c r="Q936" s="142"/>
    </row>
    <row r="937" ht="15.75" customHeight="1">
      <c r="C937" s="139"/>
      <c r="F937" s="140"/>
      <c r="G937" s="26"/>
      <c r="H937" s="140"/>
      <c r="I937" s="140"/>
      <c r="J937" s="140"/>
      <c r="K937" s="140"/>
      <c r="L937" s="141"/>
      <c r="N937" s="142"/>
      <c r="O937" s="142"/>
      <c r="P937" s="140"/>
      <c r="Q937" s="142"/>
    </row>
    <row r="938" ht="15.75" customHeight="1">
      <c r="C938" s="139"/>
      <c r="F938" s="140"/>
      <c r="G938" s="26"/>
      <c r="H938" s="140"/>
      <c r="I938" s="140"/>
      <c r="J938" s="140"/>
      <c r="K938" s="140"/>
      <c r="L938" s="141"/>
      <c r="N938" s="142"/>
      <c r="O938" s="142"/>
      <c r="P938" s="140"/>
      <c r="Q938" s="142"/>
    </row>
    <row r="939" ht="15.75" customHeight="1">
      <c r="C939" s="139"/>
      <c r="F939" s="140"/>
      <c r="G939" s="26"/>
      <c r="H939" s="140"/>
      <c r="I939" s="140"/>
      <c r="J939" s="140"/>
      <c r="K939" s="140"/>
      <c r="L939" s="141"/>
      <c r="N939" s="142"/>
      <c r="O939" s="142"/>
      <c r="P939" s="140"/>
      <c r="Q939" s="142"/>
    </row>
    <row r="940" ht="15.75" customHeight="1">
      <c r="C940" s="139"/>
      <c r="F940" s="140"/>
      <c r="G940" s="26"/>
      <c r="H940" s="140"/>
      <c r="I940" s="140"/>
      <c r="J940" s="140"/>
      <c r="K940" s="140"/>
      <c r="L940" s="141"/>
      <c r="N940" s="142"/>
      <c r="O940" s="142"/>
      <c r="P940" s="140"/>
      <c r="Q940" s="142"/>
    </row>
    <row r="941" ht="15.75" customHeight="1">
      <c r="C941" s="139"/>
      <c r="F941" s="140"/>
      <c r="G941" s="26"/>
      <c r="H941" s="140"/>
      <c r="I941" s="140"/>
      <c r="J941" s="140"/>
      <c r="K941" s="140"/>
      <c r="L941" s="141"/>
      <c r="N941" s="142"/>
      <c r="O941" s="142"/>
      <c r="P941" s="140"/>
      <c r="Q941" s="142"/>
    </row>
    <row r="942" ht="15.75" customHeight="1">
      <c r="C942" s="139"/>
      <c r="F942" s="140"/>
      <c r="G942" s="26"/>
      <c r="H942" s="140"/>
      <c r="I942" s="140"/>
      <c r="J942" s="140"/>
      <c r="K942" s="140"/>
      <c r="L942" s="141"/>
      <c r="N942" s="142"/>
      <c r="O942" s="142"/>
      <c r="P942" s="140"/>
      <c r="Q942" s="142"/>
    </row>
    <row r="943" ht="15.75" customHeight="1">
      <c r="C943" s="139"/>
      <c r="F943" s="140"/>
      <c r="G943" s="26"/>
      <c r="H943" s="140"/>
      <c r="I943" s="140"/>
      <c r="J943" s="140"/>
      <c r="K943" s="140"/>
      <c r="L943" s="141"/>
      <c r="N943" s="142"/>
      <c r="O943" s="142"/>
      <c r="P943" s="140"/>
      <c r="Q943" s="142"/>
    </row>
    <row r="944" ht="15.75" customHeight="1">
      <c r="C944" s="139"/>
      <c r="F944" s="140"/>
      <c r="G944" s="26"/>
      <c r="H944" s="140"/>
      <c r="I944" s="140"/>
      <c r="J944" s="140"/>
      <c r="K944" s="140"/>
      <c r="L944" s="141"/>
      <c r="N944" s="142"/>
      <c r="O944" s="142"/>
      <c r="P944" s="140"/>
      <c r="Q944" s="142"/>
    </row>
    <row r="945" ht="15.75" customHeight="1">
      <c r="C945" s="139"/>
      <c r="F945" s="140"/>
      <c r="G945" s="26"/>
      <c r="H945" s="140"/>
      <c r="I945" s="140"/>
      <c r="J945" s="140"/>
      <c r="K945" s="140"/>
      <c r="L945" s="141"/>
      <c r="N945" s="142"/>
      <c r="O945" s="142"/>
      <c r="P945" s="140"/>
      <c r="Q945" s="142"/>
    </row>
    <row r="946" ht="15.75" customHeight="1">
      <c r="C946" s="139"/>
      <c r="F946" s="140"/>
      <c r="G946" s="26"/>
      <c r="H946" s="140"/>
      <c r="I946" s="140"/>
      <c r="J946" s="140"/>
      <c r="K946" s="140"/>
      <c r="L946" s="141"/>
      <c r="N946" s="142"/>
      <c r="O946" s="142"/>
      <c r="P946" s="140"/>
      <c r="Q946" s="142"/>
    </row>
    <row r="947" ht="15.75" customHeight="1">
      <c r="C947" s="139"/>
      <c r="F947" s="140"/>
      <c r="G947" s="26"/>
      <c r="H947" s="140"/>
      <c r="I947" s="140"/>
      <c r="J947" s="140"/>
      <c r="K947" s="140"/>
      <c r="L947" s="141"/>
      <c r="N947" s="142"/>
      <c r="O947" s="142"/>
      <c r="P947" s="140"/>
      <c r="Q947" s="142"/>
    </row>
    <row r="948" ht="15.75" customHeight="1">
      <c r="C948" s="139"/>
      <c r="F948" s="140"/>
      <c r="G948" s="26"/>
      <c r="H948" s="140"/>
      <c r="I948" s="140"/>
      <c r="J948" s="140"/>
      <c r="K948" s="140"/>
      <c r="L948" s="141"/>
      <c r="N948" s="142"/>
      <c r="O948" s="142"/>
      <c r="P948" s="140"/>
      <c r="Q948" s="142"/>
    </row>
    <row r="949" ht="15.75" customHeight="1">
      <c r="C949" s="139"/>
      <c r="F949" s="140"/>
      <c r="G949" s="26"/>
      <c r="H949" s="140"/>
      <c r="I949" s="140"/>
      <c r="J949" s="140"/>
      <c r="K949" s="140"/>
      <c r="L949" s="141"/>
      <c r="N949" s="142"/>
      <c r="O949" s="142"/>
      <c r="P949" s="140"/>
      <c r="Q949" s="142"/>
    </row>
    <row r="950" ht="15.75" customHeight="1">
      <c r="C950" s="139"/>
      <c r="F950" s="140"/>
      <c r="G950" s="26"/>
      <c r="H950" s="140"/>
      <c r="I950" s="140"/>
      <c r="J950" s="140"/>
      <c r="K950" s="140"/>
      <c r="L950" s="141"/>
      <c r="N950" s="142"/>
      <c r="O950" s="142"/>
      <c r="P950" s="140"/>
      <c r="Q950" s="142"/>
    </row>
    <row r="951" ht="15.75" customHeight="1">
      <c r="C951" s="139"/>
      <c r="F951" s="140"/>
      <c r="G951" s="26"/>
      <c r="H951" s="140"/>
      <c r="I951" s="140"/>
      <c r="J951" s="140"/>
      <c r="K951" s="140"/>
      <c r="L951" s="141"/>
      <c r="N951" s="142"/>
      <c r="O951" s="142"/>
      <c r="P951" s="140"/>
      <c r="Q951" s="142"/>
    </row>
    <row r="952" ht="15.75" customHeight="1">
      <c r="C952" s="139"/>
      <c r="F952" s="140"/>
      <c r="G952" s="26"/>
      <c r="H952" s="140"/>
      <c r="I952" s="140"/>
      <c r="J952" s="140"/>
      <c r="K952" s="140"/>
      <c r="L952" s="141"/>
      <c r="N952" s="142"/>
      <c r="O952" s="142"/>
      <c r="P952" s="140"/>
      <c r="Q952" s="142"/>
    </row>
    <row r="953" ht="15.75" customHeight="1">
      <c r="C953" s="139"/>
      <c r="F953" s="140"/>
      <c r="G953" s="26"/>
      <c r="H953" s="140"/>
      <c r="I953" s="140"/>
      <c r="J953" s="140"/>
      <c r="K953" s="140"/>
      <c r="L953" s="141"/>
      <c r="N953" s="142"/>
      <c r="O953" s="142"/>
      <c r="P953" s="140"/>
      <c r="Q953" s="142"/>
    </row>
    <row r="954" ht="15.75" customHeight="1">
      <c r="C954" s="139"/>
      <c r="F954" s="140"/>
      <c r="G954" s="26"/>
      <c r="H954" s="140"/>
      <c r="I954" s="140"/>
      <c r="J954" s="140"/>
      <c r="K954" s="140"/>
      <c r="L954" s="141"/>
      <c r="N954" s="142"/>
      <c r="O954" s="142"/>
      <c r="P954" s="140"/>
      <c r="Q954" s="142"/>
    </row>
    <row r="955" ht="15.75" customHeight="1">
      <c r="C955" s="139"/>
      <c r="F955" s="140"/>
      <c r="G955" s="26"/>
      <c r="H955" s="140"/>
      <c r="I955" s="140"/>
      <c r="J955" s="140"/>
      <c r="K955" s="140"/>
      <c r="L955" s="141"/>
      <c r="N955" s="142"/>
      <c r="O955" s="142"/>
      <c r="P955" s="140"/>
      <c r="Q955" s="142"/>
    </row>
    <row r="956" ht="15.75" customHeight="1">
      <c r="C956" s="139"/>
      <c r="F956" s="140"/>
      <c r="G956" s="26"/>
      <c r="H956" s="140"/>
      <c r="I956" s="140"/>
      <c r="J956" s="140"/>
      <c r="K956" s="140"/>
      <c r="L956" s="141"/>
      <c r="N956" s="142"/>
      <c r="O956" s="142"/>
      <c r="P956" s="140"/>
      <c r="Q956" s="142"/>
    </row>
    <row r="957" ht="15.75" customHeight="1">
      <c r="C957" s="139"/>
      <c r="F957" s="140"/>
      <c r="G957" s="26"/>
      <c r="H957" s="140"/>
      <c r="I957" s="140"/>
      <c r="J957" s="140"/>
      <c r="K957" s="140"/>
      <c r="L957" s="141"/>
      <c r="N957" s="142"/>
      <c r="O957" s="142"/>
      <c r="P957" s="140"/>
      <c r="Q957" s="142"/>
    </row>
    <row r="958" ht="15.75" customHeight="1">
      <c r="C958" s="139"/>
      <c r="F958" s="140"/>
      <c r="G958" s="26"/>
      <c r="H958" s="140"/>
      <c r="I958" s="140"/>
      <c r="J958" s="140"/>
      <c r="K958" s="140"/>
      <c r="L958" s="141"/>
      <c r="N958" s="142"/>
      <c r="O958" s="142"/>
      <c r="P958" s="140"/>
      <c r="Q958" s="142"/>
    </row>
    <row r="959" ht="15.75" customHeight="1">
      <c r="C959" s="139"/>
      <c r="F959" s="140"/>
      <c r="G959" s="26"/>
      <c r="H959" s="140"/>
      <c r="I959" s="140"/>
      <c r="J959" s="140"/>
      <c r="K959" s="140"/>
      <c r="L959" s="141"/>
      <c r="N959" s="142"/>
      <c r="O959" s="142"/>
      <c r="P959" s="140"/>
      <c r="Q959" s="142"/>
    </row>
    <row r="960" ht="15.75" customHeight="1">
      <c r="C960" s="139"/>
      <c r="F960" s="140"/>
      <c r="G960" s="26"/>
      <c r="H960" s="140"/>
      <c r="I960" s="140"/>
      <c r="J960" s="140"/>
      <c r="K960" s="140"/>
      <c r="L960" s="141"/>
      <c r="N960" s="142"/>
      <c r="O960" s="142"/>
      <c r="P960" s="140"/>
      <c r="Q960" s="142"/>
    </row>
    <row r="961" ht="15.75" customHeight="1">
      <c r="C961" s="139"/>
      <c r="F961" s="140"/>
      <c r="G961" s="26"/>
      <c r="H961" s="140"/>
      <c r="I961" s="140"/>
      <c r="J961" s="140"/>
      <c r="K961" s="140"/>
      <c r="L961" s="141"/>
      <c r="N961" s="142"/>
      <c r="O961" s="142"/>
      <c r="P961" s="140"/>
      <c r="Q961" s="142"/>
    </row>
    <row r="962" ht="15.75" customHeight="1">
      <c r="C962" s="139"/>
      <c r="F962" s="140"/>
      <c r="G962" s="26"/>
      <c r="H962" s="140"/>
      <c r="I962" s="140"/>
      <c r="J962" s="140"/>
      <c r="K962" s="140"/>
      <c r="L962" s="141"/>
      <c r="N962" s="142"/>
      <c r="O962" s="142"/>
      <c r="P962" s="140"/>
      <c r="Q962" s="142"/>
    </row>
  </sheetData>
  <autoFilter ref="$A$1:$T$746"/>
  <customSheetViews>
    <customSheetView guid="{08CBD0B8-C811-4C10-9807-5A3254B7D6A6}" filter="1" showAutoFilter="1">
      <autoFilter ref="$B$1:$T$897">
        <filterColumn colId="0">
          <filters>
            <filter val="Juan Cruz Seta"/>
            <filter val="Hector Mercedes"/>
            <filter val="Juan Pablo Romano"/>
            <filter val="Fernando Torija"/>
            <filter val="Juanma Fernandez"/>
            <filter val="Raz"/>
            <filter val="Daro Gaig"/>
            <filter val="Nicolas Tarantini"/>
            <filter val="Lucas Strachensko"/>
            <filter val="NERF"/>
            <filter val="Adri Boost"/>
            <filter val="Guido tripodi"/>
            <filter val="Danno"/>
            <filter val="Federico Crespo"/>
            <filter val="Demian"/>
            <filter val="Juan Rasta"/>
            <filter val="Noolas Tarantini"/>
            <filter val="Foca"/>
            <filter val="Tano"/>
            <filter val="Luis 240 G42"/>
            <filter val="Tahio"/>
            <filter val="Aixa"/>
            <filter val="Brian Olmedo"/>
            <filter val="Thomas Shaw"/>
            <filter val="Nacho Itu"/>
            <filter val="POSITIVO"/>
            <filter val="LUIS 240 G42"/>
            <filter val="Ramiro Cordoba"/>
            <filter val="Victor WRX"/>
            <filter val="Borzi"/>
            <filter val="Jovito Instagram"/>
            <filter val="alfredo si"/>
            <filter val="Nico Rey"/>
            <filter val="Andres Monteiro"/>
            <filter val="Pablo Alvarez"/>
            <filter val="Diego Martinez"/>
            <filter val="Nicolas Rozansky"/>
            <filter val="Juan Rosso"/>
            <filter val="Rodrigo"/>
            <filter val="Nico Puerto Chico"/>
            <filter val="Alejandro  Trabajando Duro"/>
            <filter val="Matias Virarelli"/>
            <filter val="Seba Eterovic"/>
            <filter val="Alejandro V6"/>
            <filter val="Thomas"/>
            <filter val="Nico m3"/>
            <filter val="Jose Opel"/>
            <filter val="sergio"/>
            <filter val="Mili mouso"/>
            <filter val="Nerf"/>
            <filter val="Javi Danno"/>
            <filter val="Rodri Freijedo"/>
            <filter val="Norberto Geiler"/>
            <filter val="Juan M BMW"/>
            <filter val="LuiS 240 G42"/>
            <filter val="Matias de Migale"/>
            <filter val="Popi"/>
            <filter val="Maximiliano"/>
            <filter val="Patrick Jones"/>
            <filter val="Juan Papa"/>
            <filter val="Nataly Gomez"/>
            <filter val="Anibal Bento"/>
            <filter val="Rey"/>
            <filter val="Emiliano RIghetti"/>
            <filter val="Drops Detail Jonathan"/>
            <filter val="Freddy"/>
            <filter val="Fede Helguera"/>
            <filter val="FerZilla"/>
            <filter val="Patricio"/>
            <filter val="Pablo Demian"/>
            <filter val="Nico Touareg"/>
            <filter val="Ramiro Tanque"/>
            <filter val="Leandro Tribe IG"/>
            <filter val="Franco Sciarrillo"/>
            <filter val="Cuñado Juanma"/>
            <filter val="M2 Blanco Rapper"/>
            <filter val="Javier Genesis"/>
            <filter val="Flavio Vega"/>
            <filter val="Nico rey"/>
            <filter val="Abel"/>
            <filter val="Ezequiel Risoleo"/>
            <filter val="Hernan Franchina"/>
            <filter val="Lionel S"/>
            <filter val="Pablo Valdez"/>
            <filter val="Yani"/>
            <filter val="Jose Legari"/>
            <filter val="Fabricio Molinari"/>
            <filter val="Javier Capizzano"/>
            <filter val="Migale"/>
            <filter val="Leandro Contigiani"/>
            <filter val="Pablo Cala"/>
            <filter val="Nacho Depa"/>
            <filter val="Felix Scheuter"/>
            <filter val="Gonza Castellvi"/>
            <filter val="240I Bavarian Motorsport"/>
            <filter val="Mario Bruno"/>
            <filter val="Facu Godoy"/>
            <filter val="Axel Margossian"/>
            <filter val="Karina Mora"/>
            <filter val="Agustin Cicarelli"/>
            <filter val="Luciano Civic SI"/>
            <filter val="yani"/>
            <filter val="Anibal"/>
            <filter val="Lucas 135 n55"/>
          </filters>
        </filterColumn>
        <filterColumn colId="11">
          <filters blank="1">
            <filter val="DONE"/>
            <filter val="TO DO"/>
            <filter val="RECEIVED BAIRES"/>
          </filters>
        </filterColumn>
        <filterColumn colId="16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125250963"/>
        </ext>
      </extLst>
    </customSheetView>
    <customSheetView guid="{24E321AA-1E5F-43CA-807B-597EAF67B9C7}" filter="1" showAutoFilter="1">
      <autoFilter ref="$A$1:$T$893">
        <filterColumn colId="1">
          <filters>
            <filter val="Emiliano Alcaide"/>
            <filter val="Rodrigo X1"/>
            <filter val="Adri Boost"/>
            <filter val="Guido tripodi"/>
            <filter val="Federico Crespo"/>
            <filter val="LUIS 240 G42"/>
            <filter val="Aixa Franke"/>
            <filter val="Nico Rey"/>
            <filter val="Andres Monteiro"/>
            <filter val="Javier Pergamino"/>
            <filter val="Andres M340i"/>
            <filter val="Nerf"/>
            <filter val="Gworks"/>
            <filter val="Guido Rx7"/>
            <filter val="LuiS 240 G42"/>
            <filter val="Dardo Aye"/>
            <filter val="Emiliano RIghetti"/>
            <filter val="Javi Pergamino"/>
            <filter val="Abel"/>
            <filter val="Ezequiel Risoleo"/>
            <filter val="Yani"/>
            <filter val="Juan M"/>
            <filter val="Agustin Cicarelli"/>
          </filters>
        </filterColumn>
      </autoFilter>
      <extLst>
        <ext uri="GoogleSheetsCustomDataVersion1">
          <go:sheetsCustomData xmlns:go="http://customooxmlschemas.google.com/" filterViewId="1298163100"/>
        </ext>
      </extLst>
    </customSheetView>
    <customSheetView guid="{8604E571-012C-4E2B-B1BB-F7499F341B37}" filter="1" showAutoFilter="1">
      <autoFilter ref="$B$1:$T$893">
        <filterColumn colId="7">
          <filters blank="1">
            <filter val="$ 410.00"/>
            <filter val="$ 158.00"/>
            <filter val="$ 594.00"/>
            <filter val="$ 1.00"/>
            <filter val="$ 318.00"/>
            <filter val="$ 513.00"/>
            <filter val="$ 3,179.00"/>
            <filter val="$ 2,858.00"/>
            <filter val="$ 1,539.00"/>
            <filter val="$ 181.00"/>
            <filter val="$ 307.00"/>
            <filter val="$ 525.00"/>
            <filter val="$ 34.00"/>
            <filter val="$ 467.00"/>
            <filter val="$ 1,309.00"/>
            <filter val="$ 434.00"/>
            <filter val="$ 45.00"/>
            <filter val="$ 159.00"/>
            <filter val="$ 182.00"/>
            <filter val="$ 858.00"/>
            <filter val="$ 915.00"/>
            <filter val="$ 4,382.00"/>
            <filter val="$ 1,346.00"/>
            <filter val="$ 94.00"/>
            <filter val="$ 56.00"/>
            <filter val="$ 469.00"/>
            <filter val="$ 3,066.00"/>
            <filter val="$ 354.00"/>
            <filter val="$ 457.00"/>
            <filter val="$ 283.00"/>
            <filter val="$ 60.00"/>
            <filter val="$ 419.00"/>
            <filter val="$ 535.00"/>
            <filter val="$ 810.00"/>
            <filter val="$ 214.00"/>
            <filter val="$ 1,341.97"/>
            <filter val="$ 269.44"/>
            <filter val="$ 130.99"/>
            <filter val="$ 159.43"/>
            <filter val="$ 161.00"/>
            <filter val="$ 331.00"/>
            <filter val="$ 55.00"/>
            <filter val="$ 271.00"/>
            <filter val="$ 755.00"/>
            <filter val="$ 716.00"/>
            <filter val="$ 218.00"/>
            <filter val="$ 95.00"/>
            <filter val="$ 602.00"/>
            <filter val="$ 1,675.00"/>
            <filter val="$ 1,514.00"/>
            <filter val="$ 1,640.00"/>
            <filter val="$ 3,937.00"/>
            <filter val="$ 126.00"/>
            <filter val="$ 460.00"/>
            <filter val="$ 19.00"/>
            <filter val="$ 179.00"/>
            <filter val="$ 54.00"/>
            <filter val="$ 448.00"/>
            <filter val="$ 1,286.00"/>
            <filter val="$ 482.00"/>
            <filter val="$ 190.00"/>
            <filter val="$ 728.00"/>
            <filter val="$ 31.00"/>
            <filter val="$ 575.00"/>
            <filter val="$ 1,547.00"/>
            <filter val="$ 145.00"/>
            <filter val="$ 1,523.50"/>
            <filter val="$ 62.00"/>
            <filter val="$ 103.00"/>
            <filter val="$ 286.00"/>
            <filter val="$ 1,057.00"/>
            <filter val="$ 1,836.00"/>
            <filter val="$ 263.00"/>
            <filter val="$ 180.00"/>
            <filter val="$ 295.00"/>
            <filter val="$ 566.00"/>
            <filter val="$ 323.00"/>
            <filter val="$ 53.00"/>
            <filter val="$ 1,126.00"/>
            <filter val="$ 2,103.00"/>
            <filter val="$ 85.00"/>
            <filter val="$ 217.00"/>
            <filter val="$ 322.00"/>
            <filter val="$ 191.00"/>
            <filter val="$ 378.00"/>
            <filter val="$ 390.00"/>
            <filter val="$ 251.00"/>
            <filter val="$ 29.00"/>
            <filter val="$ 730.00"/>
            <filter val="$ 97.00"/>
            <filter val="$ 1,579.00"/>
            <filter val="$ 449.00"/>
            <filter val="$ 5,900.00"/>
            <filter val="$ 5,455.00"/>
            <filter val="$ 485.00"/>
            <filter val="$ 187.00"/>
            <filter val="$ 462.00"/>
            <filter val="$ 28.15"/>
            <filter val="$ 52.00"/>
            <filter val="$ 209.00"/>
            <filter val="$ 128.39"/>
            <filter val="$ 989.00"/>
            <filter val="$ 404.00"/>
            <filter val="$ 1,477.00"/>
            <filter val="$ 1,454.00"/>
            <filter val="$ 518.00"/>
            <filter val="$ 371.00"/>
            <filter val="$ 199.00"/>
            <filter val="$ 290.00"/>
            <filter val="$ 439.00"/>
            <filter val="$ 1,613.00"/>
            <filter val="$ 114.81"/>
            <filter val="$ 360.00"/>
            <filter val="$ 827.00"/>
            <filter val="$ 40.00"/>
            <filter val="$ 142.00"/>
            <filter val="$ 2,142.29"/>
            <filter val="$ 977.00"/>
            <filter val="$ 39.00"/>
            <filter val="$ 394.00"/>
            <filter val="$ 2,086.00"/>
            <filter val="$ 28.00"/>
            <filter val="$ 2,624.00"/>
            <filter val="$ 452.00"/>
            <filter val="$ 678.00"/>
            <filter val="$ 414.00"/>
            <filter val="$ 116.00"/>
            <filter val="$ 8,974.00"/>
            <filter val="$ 475.00"/>
            <filter val="$ 88.00"/>
            <filter val="$ 4,880.00"/>
            <filter val="$ 220.00"/>
            <filter val="$ 266.00"/>
            <filter val="$ 541.00"/>
            <filter val="$ 208.00"/>
            <filter val="$ 369.00"/>
            <filter val="$ 303.00"/>
            <filter val="$ 464.00"/>
            <filter val="$ 727.00"/>
            <filter val="$ 1,489.00"/>
            <filter val="$ 1,571.00"/>
            <filter val="$ 265.00"/>
            <filter val="$ 77.00"/>
            <filter val="$ 402.00"/>
            <filter val="$ 656.00"/>
            <filter val="$ 155.00"/>
            <filter val="$ 899.00"/>
            <filter val="$ 1,008.00"/>
            <filter val="$ 934.00"/>
            <filter val="$ 504.00"/>
            <filter val="$ 4,987.00"/>
            <filter val="$ 90.00"/>
            <filter val="$ 1,038.00"/>
            <filter val="$ 196.00"/>
            <filter val="$ 1,307.00"/>
            <filter val="$ 121.00"/>
            <filter val="$ 293.00"/>
            <filter val="$ 169.92"/>
            <filter val="$ 338.00"/>
            <filter val="$ 89.00"/>
            <filter val="$ 1,692.00"/>
            <filter val="$ 235.00"/>
            <filter val="$ 109.00"/>
            <filter val="$ 162.00"/>
            <filter val="$ 1,479.00"/>
            <filter val="$ 200.00"/>
            <filter val="$ 454.00"/>
            <filter val="$ 1,112.00"/>
            <filter val="$ 3,702.00"/>
            <filter val="$ 808.00"/>
            <filter val="$ 213.00"/>
            <filter val="$ 108.00"/>
            <filter val="$ 14.00"/>
            <filter val="$ 281.00"/>
            <filter val="$ 1,281.00"/>
            <filter val="$ 476.00"/>
            <filter val="$ 327.34"/>
            <filter val="$ 2,515.00"/>
            <filter val="$ 1,332.00"/>
            <filter val="$ 36.00"/>
            <filter val="$ 131.00"/>
            <filter val="$ 211.00"/>
            <filter val="$ 1,261.00"/>
            <filter val="$ 1,541.00"/>
            <filter val="$ 16,676.00"/>
            <filter val="$ 2,444.00"/>
            <filter val="$ 91.00"/>
            <filter val="$ 280.00"/>
            <filter val="$ 361.00"/>
            <filter val="$ 340.00"/>
            <filter val="$ 944.00"/>
            <filter val="$ 1,470.00"/>
            <filter val="$ 117.33"/>
            <filter val="$ 152.00"/>
            <filter val="$ 515.00"/>
            <filter val="$ 291.00"/>
            <filter val="$ 1,600.00"/>
            <filter val="$ 201.00"/>
            <filter val="$ 35.00"/>
            <filter val="$ 2,897.00"/>
            <filter val="$ 197.00"/>
            <filter val="$ 1,308.00"/>
            <filter val="$ 537.00"/>
            <filter val="$ 5,438.00"/>
          </filters>
        </filterColumn>
        <filterColumn colId="16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1494845567"/>
        </ext>
      </extLst>
    </customSheetView>
    <customSheetView guid="{4EF261A7-24B1-422C-9866-DD979F56E684}" filter="1" showAutoFilter="1">
      <autoFilter ref="$A$1:$T$896">
        <filterColumn colId="0">
          <filters>
            <filter val="SI"/>
          </filters>
        </filterColumn>
        <filterColumn colId="17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241549991"/>
        </ext>
      </extLst>
    </customSheetView>
    <customSheetView guid="{C635B5A1-6948-403A-9900-EA8CA6F5A6D3}" filter="1" showAutoFilter="1">
      <autoFilter ref="$A$1:$AG$893">
        <filterColumn colId="13">
          <filters blank="1">
            <filter val="NO"/>
          </filters>
        </filterColumn>
        <filterColumn colId="12">
          <filters>
            <filter val="DONE"/>
            <filter val="RECEIVED BAIRES"/>
          </filters>
        </filterColumn>
        <filterColumn colId="17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360895011"/>
        </ext>
      </extLst>
    </customSheetView>
    <customSheetView guid="{872FEEC4-E8BA-4992-8F98-2924DA0793B9}" filter="1" showAutoFilter="1">
      <autoFilter ref="$A$1:$T$893">
        <filterColumn colId="13">
          <filters blank="1">
            <filter val="NO"/>
          </filters>
        </filterColumn>
        <filterColumn colId="17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519332180"/>
        </ext>
      </extLst>
    </customSheetView>
    <customSheetView guid="{DF6C0D78-0D0F-48EA-8FB4-B8D2036D662C}" filter="1" showAutoFilter="1">
      <autoFilter ref="$A$1:$T$893">
        <filterColumn colId="1">
          <filters blank="1">
            <filter val="Juan Cruz Seta"/>
            <filter val="Hector Mercedes"/>
            <filter val="Matias Fititero"/>
            <filter val="Emiliano Alcaide"/>
            <filter val="Juan Pablo Romano"/>
            <filter val="Fernando Torija"/>
            <filter val="Juanma Fernandez"/>
            <filter val="Raz"/>
            <filter val="Daro Gaig"/>
            <filter val="Rodrigo X1"/>
            <filter val="Nicolas Tarantini"/>
            <filter val="Lucas Strachensko"/>
            <filter val="Rodrigo X2"/>
            <filter val="Fran Monea"/>
            <filter val="Adri Boost"/>
            <filter val="Guido tripodi"/>
            <filter val="Danno"/>
            <filter val="Hernan Gerbino"/>
            <filter val="Federico Crespo"/>
            <filter val="Chun Puerto Chico"/>
            <filter val="Demian"/>
            <filter val="Mauro Lerda"/>
            <filter val="Juan Rasta"/>
            <filter val="Noolas Tarantini"/>
            <filter val="Foca"/>
            <filter val="Alan Bruno"/>
            <filter val="Tano"/>
            <filter val="Luis 240 G42"/>
            <filter val="Tahio"/>
            <filter val="Agustin Pons"/>
            <filter val="Aixa"/>
            <filter val="Brian Olmedo"/>
            <filter val="Thomas Shaw"/>
            <filter val="Javo Win"/>
            <filter val="Nacho Itu"/>
            <filter val="POSITIVO"/>
            <filter val="LUIS 240 G42"/>
            <filter val="Ramiro Cordoba"/>
            <filter val="Victor WRX"/>
            <filter val="Pablo Gatti"/>
            <filter val="Borzi"/>
            <filter val="Jovito Instagram"/>
            <filter val="alfredo si"/>
            <filter val="Aixa Franke"/>
            <filter val="Nico Rey"/>
            <filter val="Andres Monteiro"/>
            <filter val="Martin Piermattei"/>
            <filter val="Pablo Alvarez"/>
            <filter val="Diego Martinez"/>
            <filter val="Manuel Vazquez"/>
            <filter val="Nicolas Rozansky"/>
            <filter val="Juan Rosso"/>
            <filter val="Rodrigo"/>
            <filter val="Nico Puerto Chico"/>
            <filter val="Alejandro  Trabajando Duro"/>
            <filter val="Matias Virarelli"/>
            <filter val="Seba Eterovic"/>
            <filter val="Nacho Depaoli"/>
            <filter val="Emiliano Righetti"/>
            <filter val="Alejandro V6"/>
            <filter val="Thomas"/>
            <filter val="Javier Oller"/>
            <filter val="Javier Pergamino"/>
            <filter val="Nico m3"/>
            <filter val="Jose Opel"/>
            <filter val="sergio"/>
            <filter val="Andres M340i"/>
            <filter val="Mili mouso"/>
            <filter val="Medu"/>
            <filter val="Nerf"/>
            <filter val="Gworks"/>
            <filter val="Guido Tripodi"/>
            <filter val="Javi Danno"/>
            <filter val="Guido Rx7"/>
            <filter val="Raspagliesi"/>
            <filter val="Rodri Freijedo"/>
            <filter val="Norberto Geiler"/>
            <filter val="Veleta"/>
            <filter val="Juan M BMW"/>
            <filter val="LuiS 240 G42"/>
            <filter val="Matias de Migale"/>
            <filter val="Dardo Aye"/>
            <filter val="Popi"/>
            <filter val="Alan Olmedo"/>
            <filter val="Emiliano Rial"/>
            <filter val="Maximiliano"/>
            <filter val="Patrick Jones"/>
            <filter val="Juan Papa"/>
            <filter val="Nataly Gomez"/>
            <filter val="Santiago Ventana"/>
            <filter val="Alan Klement"/>
            <filter val="Anibal Bento"/>
            <filter val="Rey"/>
            <filter val="Emiliano RIghetti"/>
            <filter val="Drops Detail Jonathan"/>
            <filter val="Juanma"/>
            <filter val="Freddy"/>
            <filter val="Alejo Martinez"/>
            <filter val="Fede Helguera"/>
            <filter val="FerZilla"/>
            <filter val="Patricio"/>
            <filter val="Pablo Demian"/>
            <filter val="Nico Touareg"/>
            <filter val="Ramiro Tanque"/>
            <filter val="Leandro Tribe IG"/>
            <filter val="Franco Sciarrillo"/>
            <filter val="Cuñado Juanma"/>
            <filter val="Franco GWorks"/>
            <filter val="Tata"/>
            <filter val="Adrian Stabile"/>
            <filter val="M2 Blanco Rapper"/>
            <filter val="Javier Genesis"/>
            <filter val="abel"/>
            <filter val="Coco Padilla"/>
            <filter val="Luis 240i"/>
            <filter val="Flavio Vega"/>
            <filter val="Franco Migale"/>
            <filter val="Nico rey"/>
            <filter val="Fede GYM"/>
            <filter val="Javi Pergamino"/>
            <filter val="Abel"/>
            <filter val="Ezequiel Risoleo"/>
            <filter val="Hernan Franchina"/>
            <filter val="Lionel S"/>
            <filter val="Adrian CB750"/>
            <filter val="Pablo Valdez"/>
            <filter val="Adri Motoquero"/>
            <filter val="Nico Rosanzky"/>
            <filter val="TRIBE"/>
            <filter val="Yani"/>
            <filter val="Jose Legari"/>
            <filter val="Fabricio Molinari"/>
            <filter val="Javier Capizzano"/>
            <filter val="Migale"/>
            <filter val="Leandro Contigiani"/>
            <filter val="Juli Lerda"/>
            <filter val="Pablo Cala"/>
            <filter val="Tomas Graben"/>
            <filter val="Juan M"/>
            <filter val="Nacho Depa"/>
            <filter val="Felix Scheuter"/>
            <filter val="Nelson Instaler"/>
            <filter val="Ramiro Barrea"/>
            <filter val="Leandro 135i"/>
            <filter val="Gonza Castellvi"/>
            <filter val="Diego M3 e46 rojo"/>
            <filter val="240I Bavarian Motorsport"/>
            <filter val="Nacho Fantuz"/>
            <filter val="Mario Bruno"/>
            <filter val="Facu Godoy"/>
            <filter val="Adri boost"/>
            <filter val="Axel Margossian"/>
            <filter val="Karina Mora"/>
            <filter val="Agustin Cicarelli"/>
            <filter val="Luciano Civic SI"/>
            <filter val="yani"/>
            <filter val="Anibal"/>
            <filter val="Nacho Meana"/>
            <filter val="Lucas 135 n55"/>
          </filters>
        </filterColumn>
        <filterColumn colId="12">
          <filters>
            <filter val="DONE"/>
            <filter val="RECEIVED BAIRES"/>
          </filters>
        </filterColumn>
        <filterColumn colId="13">
          <filters blank="1">
            <filter val="SI"/>
          </filters>
        </filterColumn>
        <filterColumn colId="17">
          <filters blank="1">
            <filter val="NO"/>
          </filters>
        </filterColumn>
      </autoFilter>
      <extLst>
        <ext uri="GoogleSheetsCustomDataVersion1">
          <go:sheetsCustomData xmlns:go="http://customooxmlschemas.google.com/" filterViewId="590479917"/>
        </ext>
      </extLst>
    </customSheetView>
  </customSheetViews>
  <dataValidations>
    <dataValidation type="list" allowBlank="1" showErrorMessage="1" sqref="O2:O791 Q2:Q791">
      <formula1>"NADIE,FEDE,NAHUE"</formula1>
    </dataValidation>
    <dataValidation type="list" allowBlank="1" showErrorMessage="1" sqref="A2:A791 N2:N791 R2:R791">
      <formula1>"SI,NO"</formula1>
    </dataValidation>
    <dataValidation type="list" allowBlank="1" showErrorMessage="1" sqref="M2:M791">
      <formula1>"TO DO,IN PROGRESS,RECEIVED MIAMI,RECEIVED BAIRES,DONE"</formula1>
    </dataValidation>
  </dataValidations>
  <hyperlinks>
    <hyperlink r:id="rId2" ref="E2"/>
    <hyperlink r:id="rId3" ref="E3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5"/>
    <hyperlink r:id="rId12" ref="E17"/>
    <hyperlink r:id="rId13" ref="E18"/>
    <hyperlink r:id="rId14" ref="S18"/>
    <hyperlink r:id="rId15" ref="E19"/>
    <hyperlink r:id="rId16" ref="E20"/>
    <hyperlink r:id="rId17" ref="E21"/>
    <hyperlink r:id="rId18" ref="E22"/>
    <hyperlink r:id="rId19" ref="S22"/>
    <hyperlink r:id="rId20" ref="E23"/>
    <hyperlink r:id="rId21" ref="S23"/>
    <hyperlink r:id="rId22" location="/" ref="E24"/>
    <hyperlink r:id="rId23" ref="S25"/>
    <hyperlink r:id="rId24" ref="E26"/>
    <hyperlink r:id="rId25" ref="E27"/>
    <hyperlink r:id="rId26" ref="E28"/>
    <hyperlink r:id="rId27" location="/" ref="E29"/>
    <hyperlink r:id="rId28" ref="E30"/>
    <hyperlink r:id="rId29" ref="E31"/>
    <hyperlink r:id="rId30" ref="E32"/>
    <hyperlink r:id="rId31" ref="E33"/>
    <hyperlink r:id="rId32" ref="E34"/>
    <hyperlink r:id="rId33" location="gid=0" ref="F34"/>
    <hyperlink r:id="rId34" ref="E35"/>
    <hyperlink r:id="rId35" location="gid=0" ref="F35"/>
    <hyperlink r:id="rId36" ref="S36"/>
    <hyperlink r:id="rId37" ref="E37"/>
    <hyperlink r:id="rId38" ref="S37"/>
    <hyperlink r:id="rId39" ref="E38"/>
    <hyperlink r:id="rId40" ref="E39"/>
    <hyperlink r:id="rId41" ref="E40"/>
    <hyperlink r:id="rId42" ref="E43"/>
    <hyperlink r:id="rId43" ref="E44"/>
    <hyperlink r:id="rId44" ref="E45"/>
    <hyperlink r:id="rId45" location="/" ref="E46"/>
    <hyperlink r:id="rId46" ref="E47"/>
    <hyperlink r:id="rId47" ref="E48"/>
    <hyperlink r:id="rId48" ref="E49"/>
    <hyperlink r:id="rId49" ref="E50"/>
    <hyperlink r:id="rId50" ref="E53"/>
    <hyperlink r:id="rId51" ref="S53"/>
    <hyperlink r:id="rId52" location="/" ref="E54"/>
    <hyperlink r:id="rId53" ref="E56"/>
    <hyperlink r:id="rId54" ref="E58"/>
    <hyperlink r:id="rId55" ref="E59"/>
    <hyperlink r:id="rId56" ref="E61"/>
    <hyperlink r:id="rId57" ref="E62"/>
    <hyperlink r:id="rId58" ref="E66"/>
    <hyperlink r:id="rId59" location="/" ref="E67"/>
    <hyperlink r:id="rId60" location="/order/0/7851886" ref="E68"/>
    <hyperlink r:id="rId61" ref="E69"/>
    <hyperlink r:id="rId62" ref="E71"/>
    <hyperlink r:id="rId63" location="/" ref="E72"/>
    <hyperlink r:id="rId64" location="/" ref="E73"/>
    <hyperlink r:id="rId65" ref="E74"/>
    <hyperlink r:id="rId66" location="/" ref="E75"/>
    <hyperlink r:id="rId67" location="/" ref="E76"/>
    <hyperlink r:id="rId68" location="/" ref="E77"/>
    <hyperlink r:id="rId69" location="/" ref="E78"/>
    <hyperlink r:id="rId70" ref="E79"/>
    <hyperlink r:id="rId71" location="/" ref="E80"/>
    <hyperlink r:id="rId72" location="/" ref="E81"/>
    <hyperlink r:id="rId73" ref="E82"/>
    <hyperlink r:id="rId74" location="/" ref="E83"/>
    <hyperlink r:id="rId75" location="/" ref="E84"/>
    <hyperlink r:id="rId76" location="/" ref="E85"/>
    <hyperlink r:id="rId77" ref="E86"/>
    <hyperlink r:id="rId78" ref="E87"/>
    <hyperlink r:id="rId79" ref="S87"/>
    <hyperlink r:id="rId80" ref="E88"/>
    <hyperlink r:id="rId81" ref="E89"/>
    <hyperlink r:id="rId82" ref="S89"/>
    <hyperlink r:id="rId83" location="/" ref="E90"/>
    <hyperlink r:id="rId84" location="/" ref="E91"/>
    <hyperlink r:id="rId85" ref="E92"/>
    <hyperlink r:id="rId86" ref="E93"/>
    <hyperlink r:id="rId87" location="/" ref="E94"/>
    <hyperlink r:id="rId88" location="/" ref="E95"/>
    <hyperlink r:id="rId89" location="/" ref="E96"/>
    <hyperlink r:id="rId90" ref="E97"/>
    <hyperlink r:id="rId91" ref="E100"/>
    <hyperlink r:id="rId92" ref="S100"/>
    <hyperlink r:id="rId93" ref="E101"/>
    <hyperlink r:id="rId94" ref="S101"/>
    <hyperlink r:id="rId95" ref="E102"/>
    <hyperlink r:id="rId96" ref="E103"/>
    <hyperlink r:id="rId97" location="/" ref="E104"/>
    <hyperlink r:id="rId98" ref="E105"/>
    <hyperlink r:id="rId99" ref="E106"/>
    <hyperlink r:id="rId100" ref="S106"/>
    <hyperlink r:id="rId101" location="/ordershistory/view/3269501" ref="E107"/>
    <hyperlink r:id="rId102" ref="E108"/>
    <hyperlink r:id="rId103" ref="E109"/>
    <hyperlink r:id="rId104" ref="E110"/>
    <hyperlink r:id="rId105" ref="E111"/>
    <hyperlink r:id="rId106" ref="E114"/>
    <hyperlink r:id="rId107" ref="E115"/>
    <hyperlink r:id="rId108" ref="E116"/>
    <hyperlink r:id="rId109" ref="E117"/>
    <hyperlink r:id="rId110" ref="E118"/>
    <hyperlink r:id="rId111" ref="E119"/>
    <hyperlink r:id="rId112" ref="E120"/>
    <hyperlink r:id="rId113" ref="E121"/>
    <hyperlink r:id="rId114" ref="E122"/>
    <hyperlink r:id="rId115" ref="E123"/>
    <hyperlink r:id="rId116" ref="E126"/>
    <hyperlink r:id="rId117" ref="E127"/>
    <hyperlink r:id="rId118" ref="E128"/>
    <hyperlink r:id="rId119" ref="E129"/>
    <hyperlink r:id="rId120" ref="E130"/>
    <hyperlink r:id="rId121" ref="E131"/>
    <hyperlink r:id="rId122" location="/" ref="E132"/>
    <hyperlink r:id="rId123" location="/" ref="E133"/>
    <hyperlink r:id="rId124" ref="E134"/>
    <hyperlink r:id="rId125" ref="E135"/>
    <hyperlink r:id="rId126" ref="E136"/>
    <hyperlink r:id="rId127" ref="E137"/>
    <hyperlink r:id="rId128" ref="E138"/>
    <hyperlink r:id="rId129" ref="S139"/>
    <hyperlink r:id="rId130" ref="E140"/>
    <hyperlink r:id="rId131" ref="E141"/>
    <hyperlink r:id="rId132" ref="E142"/>
    <hyperlink r:id="rId133" ref="E143"/>
    <hyperlink r:id="rId134" ref="S143"/>
    <hyperlink r:id="rId135" ref="E146"/>
    <hyperlink r:id="rId136" location="/" ref="E148"/>
    <hyperlink r:id="rId137" location="nums=LX428112793IL" ref="S148"/>
    <hyperlink r:id="rId138" ref="E149"/>
    <hyperlink r:id="rId139" ref="S149"/>
    <hyperlink r:id="rId140" ref="E150"/>
    <hyperlink r:id="rId141" ref="E151"/>
    <hyperlink r:id="rId142" location="/" ref="E154"/>
    <hyperlink r:id="rId143" location="/" ref="E155"/>
    <hyperlink r:id="rId144" location="/" ref="E156"/>
    <hyperlink r:id="rId145" ref="E158"/>
    <hyperlink r:id="rId146" ref="E159"/>
    <hyperlink r:id="rId147" ref="E160"/>
    <hyperlink r:id="rId148" ref="E161"/>
    <hyperlink r:id="rId149" ref="E162"/>
    <hyperlink r:id="rId150" location="/" ref="E163"/>
    <hyperlink r:id="rId151" location="/" ref="E164"/>
    <hyperlink r:id="rId152" ref="E165"/>
    <hyperlink r:id="rId153" ref="E166"/>
    <hyperlink r:id="rId154" ref="E167"/>
    <hyperlink r:id="rId155" ref="E168"/>
    <hyperlink r:id="rId156" location="/" ref="E169"/>
    <hyperlink r:id="rId157" location="/" ref="E170"/>
    <hyperlink r:id="rId158" ref="E171"/>
    <hyperlink r:id="rId159" ref="E172"/>
    <hyperlink r:id="rId160" ref="E173"/>
    <hyperlink r:id="rId161" ref="S173"/>
    <hyperlink r:id="rId162" ref="E174"/>
    <hyperlink r:id="rId163" ref="E175"/>
    <hyperlink r:id="rId164" ref="E176"/>
    <hyperlink r:id="rId165" ref="E177"/>
    <hyperlink r:id="rId166" ref="E178"/>
    <hyperlink r:id="rId167" ref="E179"/>
    <hyperlink r:id="rId168" ref="E180"/>
    <hyperlink r:id="rId169" ref="E181"/>
    <hyperlink r:id="rId170" ref="S181"/>
    <hyperlink r:id="rId171" ref="E182"/>
    <hyperlink r:id="rId172" ref="E183"/>
    <hyperlink r:id="rId173" ref="S183"/>
    <hyperlink r:id="rId174" ref="E184"/>
    <hyperlink r:id="rId175" ref="S184"/>
    <hyperlink r:id="rId176" ref="E186"/>
    <hyperlink r:id="rId177" ref="E187"/>
    <hyperlink r:id="rId178" ref="E188"/>
    <hyperlink r:id="rId179" ref="E189"/>
    <hyperlink r:id="rId180" location="/" ref="E190"/>
    <hyperlink r:id="rId181" location="/" ref="E191"/>
    <hyperlink r:id="rId182" ref="E192"/>
    <hyperlink r:id="rId183" ref="E193"/>
    <hyperlink r:id="rId184" ref="E194"/>
    <hyperlink r:id="rId185" ref="E195"/>
    <hyperlink r:id="rId186" ref="E196"/>
    <hyperlink r:id="rId187" location="/" ref="E197"/>
    <hyperlink r:id="rId188" ref="S197"/>
    <hyperlink r:id="rId189" ref="E198"/>
    <hyperlink r:id="rId190" ref="S198"/>
    <hyperlink r:id="rId191" ref="E199"/>
    <hyperlink r:id="rId192" ref="E200"/>
    <hyperlink r:id="rId193" ref="E201"/>
    <hyperlink r:id="rId194" ref="E202"/>
    <hyperlink r:id="rId195" ref="E203"/>
    <hyperlink r:id="rId196" location="/" ref="E204"/>
    <hyperlink r:id="rId197" location="/" ref="E205"/>
    <hyperlink r:id="rId198" ref="E206"/>
    <hyperlink r:id="rId199" ref="E207"/>
    <hyperlink r:id="rId200" ref="S207"/>
    <hyperlink r:id="rId201" ref="E208"/>
    <hyperlink r:id="rId202" location="/" ref="E209"/>
    <hyperlink r:id="rId203" location="/" ref="E210"/>
    <hyperlink r:id="rId204" ref="E211"/>
    <hyperlink r:id="rId205" location="/" ref="E212"/>
    <hyperlink r:id="rId206" location="/" ref="E213"/>
    <hyperlink r:id="rId207" ref="E214"/>
    <hyperlink r:id="rId208" ref="E215"/>
    <hyperlink r:id="rId209" location="newBuyerShipment_1-heading" ref="E216"/>
    <hyperlink r:id="rId210" ref="E217"/>
    <hyperlink r:id="rId211" ref="E220"/>
    <hyperlink r:id="rId212" location="/" ref="E221"/>
    <hyperlink r:id="rId213" ref="E222"/>
    <hyperlink r:id="rId214" location="/" ref="E223"/>
    <hyperlink r:id="rId215" ref="E224"/>
    <hyperlink r:id="rId216" ref="E225"/>
    <hyperlink r:id="rId217" location="/" ref="E226"/>
    <hyperlink r:id="rId218" ref="E227"/>
    <hyperlink r:id="rId219" ref="E228"/>
    <hyperlink r:id="rId220" ref="E229"/>
    <hyperlink r:id="rId221" location="/" ref="E230"/>
    <hyperlink r:id="rId222" location="/" ref="E231"/>
    <hyperlink r:id="rId223" location="/" ref="E232"/>
    <hyperlink r:id="rId224" ref="E233"/>
    <hyperlink r:id="rId225" ref="E234"/>
    <hyperlink r:id="rId226" ref="E235"/>
    <hyperlink r:id="rId227" ref="E236"/>
    <hyperlink r:id="rId228" ref="E239"/>
    <hyperlink r:id="rId229" location="/" ref="E240"/>
    <hyperlink r:id="rId230" ref="E241"/>
    <hyperlink r:id="rId231" ref="E242"/>
    <hyperlink r:id="rId232" ref="E243"/>
    <hyperlink r:id="rId233" ref="E244"/>
    <hyperlink r:id="rId234" location="/" ref="E245"/>
    <hyperlink r:id="rId235" location="/" ref="E246"/>
    <hyperlink r:id="rId236" location="/" ref="E248"/>
    <hyperlink r:id="rId237" location="/" ref="E249"/>
    <hyperlink r:id="rId238" ref="E250"/>
    <hyperlink r:id="rId239" location="/" ref="E251"/>
    <hyperlink r:id="rId240" location="/" ref="E252"/>
    <hyperlink r:id="rId241" ref="E253"/>
    <hyperlink r:id="rId242" ref="E255"/>
    <hyperlink r:id="rId243" location="/" ref="E256"/>
    <hyperlink r:id="rId244" ref="E257"/>
    <hyperlink r:id="rId245" location="/" ref="E260"/>
    <hyperlink r:id="rId246" ref="E262"/>
    <hyperlink r:id="rId247" ref="E264"/>
    <hyperlink r:id="rId248" ref="E265"/>
    <hyperlink r:id="rId249" ref="E269"/>
    <hyperlink r:id="rId250" ref="E270"/>
    <hyperlink r:id="rId251" location="/" ref="E271"/>
    <hyperlink r:id="rId252" ref="E272"/>
    <hyperlink r:id="rId253" ref="E275"/>
    <hyperlink r:id="rId254" ref="E276"/>
    <hyperlink r:id="rId255" ref="S276"/>
    <hyperlink r:id="rId256" location="/" ref="E277"/>
    <hyperlink r:id="rId257" location="/" ref="E278"/>
    <hyperlink r:id="rId258" location="/" ref="E279"/>
    <hyperlink r:id="rId259" ref="E283"/>
    <hyperlink r:id="rId260" ref="E284"/>
    <hyperlink r:id="rId261" ref="E285"/>
    <hyperlink r:id="rId262" ref="F285"/>
    <hyperlink r:id="rId263" ref="E286"/>
    <hyperlink r:id="rId264" location="/" ref="E287"/>
    <hyperlink r:id="rId265" location="/" ref="E288"/>
    <hyperlink r:id="rId266" ref="S290"/>
    <hyperlink r:id="rId267" location="/" ref="E291"/>
    <hyperlink r:id="rId268" location="/" ref="E292"/>
    <hyperlink r:id="rId269" location="/" ref="E293"/>
    <hyperlink r:id="rId270" location="/" ref="E294"/>
    <hyperlink r:id="rId271" ref="E296"/>
    <hyperlink r:id="rId272" location="/" ref="E297"/>
    <hyperlink r:id="rId273" ref="E298"/>
    <hyperlink r:id="rId274" location="/" ref="E299"/>
    <hyperlink r:id="rId275" location="/" ref="E300"/>
    <hyperlink r:id="rId276" ref="E301"/>
    <hyperlink r:id="rId277" ref="S301"/>
    <hyperlink r:id="rId278" ref="E302"/>
    <hyperlink r:id="rId279" ref="S302"/>
    <hyperlink r:id="rId280" location="/" ref="E303"/>
    <hyperlink r:id="rId281" location="/" ref="E304"/>
    <hyperlink r:id="rId282" ref="E305"/>
    <hyperlink r:id="rId283" ref="E306"/>
    <hyperlink r:id="rId284" ref="S306"/>
    <hyperlink r:id="rId285" location="/" ref="E307"/>
    <hyperlink r:id="rId286" ref="E308"/>
    <hyperlink r:id="rId287" ref="E310"/>
    <hyperlink r:id="rId288" location="/" ref="E311"/>
    <hyperlink r:id="rId289" location="/" ref="E312"/>
    <hyperlink r:id="rId290" ref="E313"/>
    <hyperlink r:id="rId291" ref="S313"/>
    <hyperlink r:id="rId292" ref="E314"/>
    <hyperlink r:id="rId293" ref="S314"/>
    <hyperlink r:id="rId294" ref="E315"/>
    <hyperlink r:id="rId295" ref="S315"/>
    <hyperlink r:id="rId296" ref="E316"/>
    <hyperlink r:id="rId297" location="/" ref="E317"/>
    <hyperlink r:id="rId298" ref="E318"/>
    <hyperlink r:id="rId299" location="/" ref="E319"/>
    <hyperlink r:id="rId300" ref="E320"/>
    <hyperlink r:id="rId301" ref="E322"/>
    <hyperlink r:id="rId302" ref="E323"/>
    <hyperlink r:id="rId303" ref="E324"/>
    <hyperlink r:id="rId304" ref="E325"/>
    <hyperlink r:id="rId305" location="/" ref="E326"/>
    <hyperlink r:id="rId306" ref="E327"/>
    <hyperlink r:id="rId307" ref="E328"/>
    <hyperlink r:id="rId308" ref="S328"/>
    <hyperlink r:id="rId309" ref="E329"/>
    <hyperlink r:id="rId310" ref="E330"/>
    <hyperlink r:id="rId311" location="/" ref="E331"/>
    <hyperlink r:id="rId312" ref="E332"/>
    <hyperlink r:id="rId313" ref="E333"/>
    <hyperlink r:id="rId314" location="/" ref="E334"/>
    <hyperlink r:id="rId315" location="/" ref="E335"/>
    <hyperlink r:id="rId316" location="/" ref="E336"/>
    <hyperlink r:id="rId317" location="/" ref="E337"/>
    <hyperlink r:id="rId318" location="/" ref="E338"/>
    <hyperlink r:id="rId319" location="/" ref="E339"/>
    <hyperlink r:id="rId320" location="/" ref="E340"/>
    <hyperlink r:id="rId321" ref="E342"/>
    <hyperlink r:id="rId322" location="/" ref="E343"/>
    <hyperlink r:id="rId323" location="/" ref="E345"/>
    <hyperlink r:id="rId324" location="/" ref="E347"/>
    <hyperlink r:id="rId325" ref="E348"/>
    <hyperlink r:id="rId326" ref="E349"/>
    <hyperlink r:id="rId327" location="/" ref="E350"/>
    <hyperlink r:id="rId328" ref="E351"/>
    <hyperlink r:id="rId329" ref="E352"/>
    <hyperlink r:id="rId330" ref="E353"/>
    <hyperlink r:id="rId331" location="/" ref="E354"/>
    <hyperlink r:id="rId332" ref="E355"/>
    <hyperlink r:id="rId333" ref="E356"/>
    <hyperlink r:id="rId334" location="/" ref="E357"/>
    <hyperlink r:id="rId335" ref="E358"/>
    <hyperlink r:id="rId336" ref="E363"/>
    <hyperlink r:id="rId337" ref="S363"/>
    <hyperlink r:id="rId338" ref="E364"/>
    <hyperlink r:id="rId339" ref="E365"/>
    <hyperlink r:id="rId340" ref="E366"/>
    <hyperlink r:id="rId341" ref="E367"/>
    <hyperlink r:id="rId342" ref="E368"/>
    <hyperlink r:id="rId343" ref="S368"/>
    <hyperlink r:id="rId344" ref="E369"/>
    <hyperlink r:id="rId345" location="/" ref="E370"/>
    <hyperlink r:id="rId346" location="/" ref="E371"/>
    <hyperlink r:id="rId347" location="/" ref="E372"/>
    <hyperlink r:id="rId348" ref="E373"/>
    <hyperlink r:id="rId349" location="/" ref="E375"/>
    <hyperlink r:id="rId350" location="/" ref="E376"/>
    <hyperlink r:id="rId351" location="/" ref="E377"/>
    <hyperlink r:id="rId352" location="/" ref="E378"/>
    <hyperlink r:id="rId353" ref="E379"/>
    <hyperlink r:id="rId354" location="/" ref="E381"/>
    <hyperlink r:id="rId355" ref="E382"/>
    <hyperlink r:id="rId356" ref="S382"/>
    <hyperlink r:id="rId357" ref="E383"/>
    <hyperlink r:id="rId358" location="gid=0" ref="C384"/>
    <hyperlink r:id="rId359" ref="E384"/>
    <hyperlink r:id="rId360" ref="E386"/>
    <hyperlink r:id="rId361" ref="S389"/>
    <hyperlink r:id="rId362" ref="E390"/>
    <hyperlink r:id="rId363" ref="E391"/>
    <hyperlink r:id="rId364" ref="E395"/>
    <hyperlink r:id="rId365" location="/" ref="E398"/>
    <hyperlink r:id="rId366" location="/" ref="E399"/>
    <hyperlink r:id="rId367" ref="E401"/>
    <hyperlink r:id="rId368" ref="E406"/>
    <hyperlink r:id="rId369" location="nums=1Z4400564296233645,YT2420421901002198" ref="S406"/>
    <hyperlink r:id="rId370" ref="E407"/>
    <hyperlink r:id="rId371" ref="E408"/>
    <hyperlink r:id="rId372" ref="E410"/>
    <hyperlink r:id="rId373" ref="E411"/>
    <hyperlink r:id="rId374" ref="E412"/>
    <hyperlink r:id="rId375" ref="E413"/>
    <hyperlink r:id="rId376" location="/" ref="E414"/>
    <hyperlink r:id="rId377" location="/" ref="E415"/>
    <hyperlink r:id="rId378" location="/" ref="E416"/>
    <hyperlink r:id="rId379" ref="S416"/>
    <hyperlink r:id="rId380" location="/" ref="E417"/>
    <hyperlink r:id="rId381" location="/" ref="E418"/>
    <hyperlink r:id="rId382" ref="E419"/>
    <hyperlink r:id="rId383" location="gid=0" ref="C420"/>
    <hyperlink r:id="rId384" location="gid=0" ref="E420"/>
    <hyperlink r:id="rId385" ref="S420"/>
    <hyperlink r:id="rId386" location="/" ref="E421"/>
    <hyperlink r:id="rId387" ref="E422"/>
    <hyperlink r:id="rId388" location="/" ref="E423"/>
    <hyperlink r:id="rId389" location="/" ref="E424"/>
    <hyperlink r:id="rId390" location="/" ref="E425"/>
    <hyperlink r:id="rId391" location="gid=0" ref="C427"/>
    <hyperlink r:id="rId392" ref="E428"/>
    <hyperlink r:id="rId393" ref="S430"/>
    <hyperlink r:id="rId394" ref="E432"/>
    <hyperlink r:id="rId395" location="/" ref="E433"/>
    <hyperlink r:id="rId396" ref="E435"/>
    <hyperlink r:id="rId397" ref="S435"/>
    <hyperlink r:id="rId398" ref="E436"/>
    <hyperlink r:id="rId399" location="/" ref="E437"/>
    <hyperlink r:id="rId400" ref="E438"/>
    <hyperlink r:id="rId401" location="/" ref="E447"/>
    <hyperlink r:id="rId402" ref="E448"/>
    <hyperlink r:id="rId403" ref="E449"/>
    <hyperlink r:id="rId404" ref="E450"/>
    <hyperlink r:id="rId405" ref="E451"/>
    <hyperlink r:id="rId406" location="/" ref="E453"/>
    <hyperlink r:id="rId407" ref="E454"/>
    <hyperlink r:id="rId408" ref="E455"/>
    <hyperlink r:id="rId409" ref="E456"/>
    <hyperlink r:id="rId410" location="/" ref="E457"/>
    <hyperlink r:id="rId411" location="/" ref="E458"/>
    <hyperlink r:id="rId412" ref="S458"/>
    <hyperlink r:id="rId413" ref="E459"/>
    <hyperlink r:id="rId414" location="/" ref="E460"/>
    <hyperlink r:id="rId415" ref="E461"/>
    <hyperlink r:id="rId416" location="nums=YT2429021901002820" ref="S461"/>
    <hyperlink r:id="rId417" location="/" ref="E462"/>
    <hyperlink r:id="rId418" ref="E463"/>
    <hyperlink r:id="rId419" location="/" ref="E464"/>
    <hyperlink r:id="rId420" ref="E465"/>
    <hyperlink r:id="rId421" location="/" ref="E466"/>
    <hyperlink r:id="rId422" location="purchases/view/salesorder/3938410" ref="E467"/>
    <hyperlink r:id="rId423" ref="E469"/>
    <hyperlink r:id="rId424" ref="S469"/>
    <hyperlink r:id="rId425" ref="E470"/>
    <hyperlink r:id="rId426" ref="E471"/>
    <hyperlink r:id="rId427" location="/" ref="E472"/>
    <hyperlink r:id="rId428" location="/" ref="E473"/>
    <hyperlink r:id="rId429" ref="E474"/>
    <hyperlink r:id="rId430" ref="E475"/>
    <hyperlink r:id="rId431" location="/" ref="E476"/>
    <hyperlink r:id="rId432" ref="E477"/>
    <hyperlink r:id="rId433" location="/" ref="E479"/>
    <hyperlink r:id="rId434" ref="E480"/>
    <hyperlink r:id="rId435" ref="E481"/>
    <hyperlink r:id="rId436" location="/" ref="E482"/>
    <hyperlink r:id="rId437" location="/" ref="E483"/>
    <hyperlink r:id="rId438" ref="E484"/>
    <hyperlink r:id="rId439" location="/" ref="E485"/>
    <hyperlink r:id="rId440" ref="S485"/>
    <hyperlink r:id="rId441" location="/" ref="E486"/>
    <hyperlink r:id="rId442" ref="E487"/>
    <hyperlink r:id="rId443" location="/" ref="E489"/>
    <hyperlink r:id="rId444" location="/" ref="E490"/>
    <hyperlink r:id="rId445" ref="S490"/>
    <hyperlink r:id="rId446" location="/" ref="E491"/>
    <hyperlink r:id="rId447" location="/" ref="E492"/>
    <hyperlink r:id="rId448" location="/" ref="E493"/>
    <hyperlink r:id="rId449" ref="E494"/>
    <hyperlink r:id="rId450" ref="E495"/>
    <hyperlink r:id="rId451" location="/" ref="E496"/>
    <hyperlink r:id="rId452" location="/" ref="E497"/>
    <hyperlink r:id="rId453" location="/" ref="E498"/>
    <hyperlink r:id="rId454" location="/" ref="E499"/>
    <hyperlink r:id="rId455" ref="E500"/>
    <hyperlink r:id="rId456" location="/" ref="E501"/>
    <hyperlink r:id="rId457" ref="E503"/>
    <hyperlink r:id="rId458" ref="E504"/>
    <hyperlink r:id="rId459" location="/" ref="E505"/>
    <hyperlink r:id="rId460" location="/" ref="E506"/>
    <hyperlink r:id="rId461" ref="E508"/>
    <hyperlink r:id="rId462" ref="E509"/>
    <hyperlink r:id="rId463" ref="E510"/>
    <hyperlink r:id="rId464" ref="E512"/>
    <hyperlink r:id="rId465" location="/" ref="E513"/>
    <hyperlink r:id="rId466" location="/" ref="E515"/>
    <hyperlink r:id="rId467" ref="E516"/>
    <hyperlink r:id="rId468" ref="E519"/>
    <hyperlink r:id="rId469" ref="E520"/>
    <hyperlink r:id="rId470" ref="E521"/>
    <hyperlink r:id="rId471" ref="E523"/>
    <hyperlink r:id="rId472" ref="E524"/>
    <hyperlink r:id="rId473" ref="E525"/>
    <hyperlink r:id="rId474" location="gid=0" ref="C526"/>
    <hyperlink r:id="rId475" ref="E526"/>
    <hyperlink r:id="rId476" ref="E527"/>
    <hyperlink r:id="rId477" location="/" ref="E528"/>
    <hyperlink r:id="rId478" location="/" ref="E529"/>
    <hyperlink r:id="rId479" location="gid=0" ref="E530"/>
    <hyperlink r:id="rId480" location="/" ref="E531"/>
    <hyperlink r:id="rId481" location="/" ref="E532"/>
    <hyperlink r:id="rId482" location="/" ref="E533"/>
    <hyperlink r:id="rId483" location="/" ref="E534"/>
    <hyperlink r:id="rId484" ref="E535"/>
    <hyperlink r:id="rId485" ref="E536"/>
    <hyperlink r:id="rId486" ref="E537"/>
    <hyperlink r:id="rId487" ref="E538"/>
    <hyperlink r:id="rId488" ref="S540"/>
    <hyperlink r:id="rId489" ref="E541"/>
    <hyperlink r:id="rId490" ref="E542"/>
    <hyperlink r:id="rId491" location="/" ref="E543"/>
    <hyperlink r:id="rId492" location="/" ref="E544"/>
    <hyperlink r:id="rId493" location="/" ref="E545"/>
    <hyperlink r:id="rId494" location="/" ref="E546"/>
    <hyperlink r:id="rId495" ref="E547"/>
    <hyperlink r:id="rId496" ref="E548"/>
    <hyperlink r:id="rId497" ref="E549"/>
    <hyperlink r:id="rId498" location="/" ref="E550"/>
    <hyperlink r:id="rId499" location="/" ref="E551"/>
    <hyperlink r:id="rId500" location="/" ref="E552"/>
    <hyperlink r:id="rId501" ref="E553"/>
    <hyperlink r:id="rId502" location="/" ref="E555"/>
    <hyperlink r:id="rId503" ref="S555"/>
    <hyperlink r:id="rId504" ref="E557"/>
    <hyperlink r:id="rId505" ref="E558"/>
    <hyperlink r:id="rId506" ref="E559"/>
    <hyperlink r:id="rId507" location="/" ref="E560"/>
    <hyperlink r:id="rId508" location="/" ref="E561"/>
    <hyperlink r:id="rId509" location="/" ref="E562"/>
    <hyperlink r:id="rId510" location="/" ref="E563"/>
    <hyperlink r:id="rId511" ref="E568"/>
    <hyperlink r:id="rId512" ref="E569"/>
    <hyperlink r:id="rId513" ref="E570"/>
    <hyperlink r:id="rId514" ref="E571"/>
    <hyperlink r:id="rId515" ref="E572"/>
    <hyperlink r:id="rId516" ref="E573"/>
    <hyperlink r:id="rId517" location="/" ref="E574"/>
    <hyperlink r:id="rId518" ref="E575"/>
    <hyperlink r:id="rId519" ref="E576"/>
    <hyperlink r:id="rId520" location="/" ref="E577"/>
    <hyperlink r:id="rId521" ref="E578"/>
    <hyperlink r:id="rId522" ref="E579"/>
    <hyperlink r:id="rId523" location="/" ref="E580"/>
    <hyperlink r:id="rId524" ref="E581"/>
    <hyperlink r:id="rId525" location="/" ref="E582"/>
    <hyperlink r:id="rId526" ref="E583"/>
    <hyperlink r:id="rId527" ref="E584"/>
    <hyperlink r:id="rId528" ref="E585"/>
    <hyperlink r:id="rId529" location="/result/0/4PX3001942691735CN" ref="S585"/>
    <hyperlink r:id="rId530" location="/" ref="E586"/>
    <hyperlink r:id="rId531" ref="E587"/>
    <hyperlink r:id="rId532" location="/" ref="E588"/>
    <hyperlink r:id="rId533" location="/" ref="E589"/>
    <hyperlink r:id="rId534" ref="E591"/>
    <hyperlink r:id="rId535" location="/" ref="E592"/>
    <hyperlink r:id="rId536" ref="E593"/>
    <hyperlink r:id="rId537" ref="E594"/>
    <hyperlink r:id="rId538" ref="E595"/>
    <hyperlink r:id="rId539" ref="E596"/>
    <hyperlink r:id="rId540" ref="S596"/>
    <hyperlink r:id="rId541" ref="E597"/>
    <hyperlink r:id="rId542" ref="E598"/>
    <hyperlink r:id="rId543" ref="E599"/>
    <hyperlink r:id="rId544" ref="E600"/>
    <hyperlink r:id="rId545" ref="E601"/>
    <hyperlink r:id="rId546" ref="E603"/>
    <hyperlink r:id="rId547" ref="E606"/>
    <hyperlink r:id="rId548" ref="E607"/>
    <hyperlink r:id="rId549" ref="E608"/>
    <hyperlink r:id="rId550" location="/" ref="E610"/>
    <hyperlink r:id="rId551" location="/" ref="E611"/>
    <hyperlink r:id="rId552" location="/" ref="E612"/>
    <hyperlink r:id="rId553" location="/" ref="E613"/>
    <hyperlink r:id="rId554" location="gid=0" ref="E614"/>
    <hyperlink r:id="rId555" location="gid=0" ref="E615"/>
    <hyperlink r:id="rId556" location="gid=0" ref="E616"/>
    <hyperlink r:id="rId557" ref="E617"/>
    <hyperlink r:id="rId558" ref="E619"/>
    <hyperlink r:id="rId559" ref="E620"/>
    <hyperlink r:id="rId560" ref="E621"/>
    <hyperlink r:id="rId561" ref="E622"/>
    <hyperlink r:id="rId562" ref="E625"/>
    <hyperlink r:id="rId563" location="gid=0" ref="C626"/>
    <hyperlink r:id="rId564" location="gid=0" ref="E626"/>
    <hyperlink r:id="rId565" location="gid=0" ref="C627"/>
    <hyperlink r:id="rId566" location="gid=0" ref="E627"/>
    <hyperlink r:id="rId567" location="/" ref="E628"/>
    <hyperlink r:id="rId568" location="/" ref="E629"/>
    <hyperlink r:id="rId569" ref="E630"/>
    <hyperlink r:id="rId570" location="/" ref="E631"/>
    <hyperlink r:id="rId571" location="/" ref="E632"/>
    <hyperlink r:id="rId572" location="/" ref="E633"/>
    <hyperlink r:id="rId573" ref="E634"/>
    <hyperlink r:id="rId574" ref="E635"/>
    <hyperlink r:id="rId575" ref="E638"/>
    <hyperlink r:id="rId576" ref="E640"/>
    <hyperlink r:id="rId577" location="/" ref="E642"/>
    <hyperlink r:id="rId578" ref="E643"/>
    <hyperlink r:id="rId579" ref="E644"/>
    <hyperlink r:id="rId580" ref="C645"/>
    <hyperlink r:id="rId581" ref="E645"/>
    <hyperlink r:id="rId582" ref="E646"/>
    <hyperlink r:id="rId583" ref="E647"/>
    <hyperlink r:id="rId584" ref="E648"/>
    <hyperlink r:id="rId585" ref="E649"/>
    <hyperlink r:id="rId586" ref="C650"/>
    <hyperlink r:id="rId587" ref="E650"/>
    <hyperlink r:id="rId588" location="gid=0" ref="C651"/>
    <hyperlink r:id="rId589" location="gid=0" ref="E651"/>
    <hyperlink r:id="rId590" ref="E653"/>
    <hyperlink r:id="rId591" ref="E654"/>
    <hyperlink r:id="rId592" ref="E655"/>
    <hyperlink r:id="rId593" ref="E656"/>
    <hyperlink r:id="rId594" ref="E657"/>
    <hyperlink r:id="rId595" location="/" ref="E658"/>
    <hyperlink r:id="rId596" ref="E659"/>
    <hyperlink r:id="rId597" ref="E667"/>
    <hyperlink r:id="rId598" ref="E668"/>
    <hyperlink r:id="rId599" ref="E669"/>
    <hyperlink r:id="rId600" ref="E670"/>
    <hyperlink r:id="rId601" ref="E671"/>
    <hyperlink r:id="rId602" ref="E673"/>
    <hyperlink r:id="rId603" ref="E674"/>
    <hyperlink r:id="rId604" ref="E675"/>
    <hyperlink r:id="rId605" ref="E676"/>
    <hyperlink r:id="rId606" ref="E677"/>
    <hyperlink r:id="rId607" ref="E678"/>
    <hyperlink r:id="rId608" ref="E680"/>
    <hyperlink r:id="rId609" location="gid=0" ref="C681"/>
    <hyperlink r:id="rId610" location="gid=0" ref="E681"/>
    <hyperlink r:id="rId611" ref="E683"/>
    <hyperlink r:id="rId612" ref="E684"/>
    <hyperlink r:id="rId613" ref="E688"/>
    <hyperlink r:id="rId614" location="/" ref="E689"/>
    <hyperlink r:id="rId615" location="/" ref="E690"/>
    <hyperlink r:id="rId616" ref="E691"/>
    <hyperlink r:id="rId617" ref="E692"/>
    <hyperlink r:id="rId618" ref="E693"/>
    <hyperlink r:id="rId619" location="/" ref="E694"/>
    <hyperlink r:id="rId620" location="/" ref="E696"/>
    <hyperlink r:id="rId621" location="/" ref="E700"/>
    <hyperlink r:id="rId622" location="gid=0" ref="C703"/>
    <hyperlink r:id="rId623" location="gid=0" ref="E703"/>
    <hyperlink r:id="rId624" location="gid=0" ref="C709"/>
    <hyperlink r:id="rId625" location="gid=0" ref="E709"/>
    <hyperlink r:id="rId626" ref="C710"/>
    <hyperlink r:id="rId627" ref="E710"/>
    <hyperlink r:id="rId628" ref="E711"/>
    <hyperlink r:id="rId629" ref="E712"/>
    <hyperlink r:id="rId630" ref="E714"/>
    <hyperlink r:id="rId631" ref="E715"/>
    <hyperlink r:id="rId632" location="gid=0" ref="C716"/>
    <hyperlink r:id="rId633" location="gid=0" ref="E716"/>
    <hyperlink r:id="rId634" location="/" ref="E717"/>
    <hyperlink r:id="rId635" ref="E718"/>
    <hyperlink r:id="rId636" ref="E719"/>
    <hyperlink r:id="rId637" location="/" ref="E720"/>
    <hyperlink r:id="rId638" ref="E721"/>
    <hyperlink r:id="rId639" ref="E724"/>
    <hyperlink r:id="rId640" ref="E725"/>
    <hyperlink r:id="rId641" ref="E726"/>
    <hyperlink r:id="rId642" ref="E727"/>
    <hyperlink r:id="rId643" ref="S727"/>
    <hyperlink r:id="rId644" ref="E728"/>
    <hyperlink r:id="rId645" ref="E729"/>
    <hyperlink r:id="rId646" ref="E730"/>
    <hyperlink r:id="rId647" location="gid=0" ref="C731"/>
    <hyperlink r:id="rId648" ref="E732"/>
    <hyperlink r:id="rId649" ref="E733"/>
    <hyperlink r:id="rId650" ref="E735"/>
    <hyperlink r:id="rId651" ref="E736"/>
    <hyperlink r:id="rId652" ref="T736"/>
    <hyperlink r:id="rId653" ref="E738"/>
    <hyperlink r:id="rId654" ref="E739"/>
    <hyperlink r:id="rId655" ref="E740"/>
    <hyperlink r:id="rId656" ref="E741"/>
    <hyperlink r:id="rId657" ref="E746"/>
    <hyperlink r:id="rId658" ref="E747"/>
    <hyperlink r:id="rId659" location="nums=YT2603400705652088" ref="S747"/>
    <hyperlink r:id="rId660" ref="E748"/>
    <hyperlink r:id="rId661" location="nums=4PX3002479891261CN" ref="S748"/>
    <hyperlink r:id="rId662" location="/" ref="E749"/>
    <hyperlink r:id="rId663" ref="S749"/>
    <hyperlink r:id="rId664" ref="E757"/>
    <hyperlink r:id="rId665" ref="E758"/>
    <hyperlink r:id="rId666" location="gid=0" ref="C760"/>
    <hyperlink r:id="rId667" location="gid=0" ref="C761"/>
    <hyperlink r:id="rId668" location="/" ref="E763"/>
    <hyperlink r:id="rId669" ref="E764"/>
  </hyperlinks>
  <printOptions/>
  <pageMargins bottom="0.75" footer="0.0" header="0.0" left="0.7" right="0.7" top="0.75"/>
  <pageSetup orientation="landscape"/>
  <drawing r:id="rId670"/>
  <legacyDrawing r:id="rId6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11.29"/>
    <col customWidth="1" min="3" max="3" width="34.86"/>
    <col customWidth="1" min="4" max="4" width="15.71"/>
    <col customWidth="1" min="5" max="5" width="18.29"/>
    <col customWidth="1" min="6" max="6" width="17.29"/>
    <col customWidth="1" min="7" max="7" width="16.14"/>
    <col customWidth="1" min="8" max="8" width="27.71"/>
    <col customWidth="1" min="9" max="9" width="13.71"/>
    <col customWidth="1" min="10" max="10" width="15.57"/>
    <col customWidth="1" min="11" max="11" width="17.57"/>
    <col customWidth="1" min="12" max="12" width="14.43"/>
    <col customWidth="1" min="13" max="13" width="20.29"/>
    <col customWidth="1" min="14" max="14" width="17.14"/>
    <col customWidth="1" min="15" max="15" width="61.29"/>
    <col customWidth="1" min="16" max="16" width="48.71"/>
  </cols>
  <sheetData>
    <row r="1">
      <c r="A1" s="144"/>
      <c r="B1" s="145"/>
      <c r="C1" s="145"/>
      <c r="D1" s="145"/>
      <c r="E1" s="145"/>
      <c r="F1" s="145"/>
      <c r="G1" s="145"/>
      <c r="H1" s="145"/>
      <c r="I1" s="146" t="s">
        <v>2228</v>
      </c>
      <c r="J1" s="147"/>
      <c r="K1" s="147"/>
      <c r="L1" s="147"/>
      <c r="M1" s="147"/>
      <c r="N1" s="148"/>
      <c r="O1" s="145"/>
      <c r="P1" s="145"/>
    </row>
    <row r="2">
      <c r="A2" s="149" t="s">
        <v>2229</v>
      </c>
      <c r="B2" s="150" t="s">
        <v>2230</v>
      </c>
      <c r="C2" s="150" t="s">
        <v>2231</v>
      </c>
      <c r="D2" s="150" t="s">
        <v>2</v>
      </c>
      <c r="E2" s="150" t="s">
        <v>2232</v>
      </c>
      <c r="F2" s="150" t="s">
        <v>3</v>
      </c>
      <c r="G2" s="150" t="s">
        <v>2233</v>
      </c>
      <c r="H2" s="150" t="s">
        <v>2234</v>
      </c>
      <c r="I2" s="151" t="s">
        <v>15</v>
      </c>
      <c r="J2" s="151" t="s">
        <v>2235</v>
      </c>
      <c r="K2" s="151" t="s">
        <v>2236</v>
      </c>
      <c r="L2" s="151" t="s">
        <v>2237</v>
      </c>
      <c r="M2" s="151" t="s">
        <v>2238</v>
      </c>
      <c r="N2" s="151" t="s">
        <v>2239</v>
      </c>
      <c r="O2" s="150" t="s">
        <v>2240</v>
      </c>
      <c r="P2" s="150" t="s">
        <v>2241</v>
      </c>
    </row>
    <row r="3">
      <c r="A3" s="152">
        <v>625.0</v>
      </c>
      <c r="B3" s="153">
        <v>45949.0</v>
      </c>
      <c r="C3" s="154" t="s">
        <v>2242</v>
      </c>
      <c r="D3" s="154" t="s">
        <v>2243</v>
      </c>
      <c r="E3" s="154" t="s">
        <v>1883</v>
      </c>
      <c r="F3" s="154">
        <v>4.0</v>
      </c>
      <c r="G3" s="155">
        <v>0.0</v>
      </c>
      <c r="H3" s="156">
        <f>176.1448+(4.5*50)</f>
        <v>401.1448</v>
      </c>
      <c r="I3" s="157">
        <v>0.69515</v>
      </c>
      <c r="J3" s="158">
        <f t="shared" ref="J3:J33" si="1">H3+(H3*I3)</f>
        <v>680.0006077</v>
      </c>
      <c r="K3" s="157">
        <v>0.5</v>
      </c>
      <c r="L3" s="158">
        <f t="shared" ref="L3:L33" si="2">H3+(H3*K3)</f>
        <v>601.7172</v>
      </c>
      <c r="M3" s="157">
        <v>0.55</v>
      </c>
      <c r="N3" s="158">
        <f t="shared" ref="N3:N33" si="3">H3+(H3*M3)</f>
        <v>621.77444</v>
      </c>
      <c r="O3" s="154" t="str">
        <f>CONCATENATE('SEGUIMIENTO COMPRAS TRIBE'!B665, ", ",'SEGUIMIENTO COMPRAS TRIBE'!B695,", ",'SEGUIMIENTO COMPRAS TRIBE'!B701,", ",'SEGUIMIENTO COMPRAS TRIBE'!B707)</f>
        <v>Emiliano Righetti, Emiliano Righetti, Emiliano Righetti, Emiliano Righetti</v>
      </c>
      <c r="P3" s="154" t="str">
        <f t="shared" ref="P3:P8" si="4">CONCATENATE(C3," ",D3," ",E3)</f>
        <v>CTS DOWNPIPE B58</v>
      </c>
    </row>
    <row r="4">
      <c r="A4" s="152" t="s">
        <v>2244</v>
      </c>
      <c r="B4" s="153">
        <v>45949.0</v>
      </c>
      <c r="C4" s="154" t="s">
        <v>2242</v>
      </c>
      <c r="D4" s="154" t="s">
        <v>2243</v>
      </c>
      <c r="E4" s="41" t="s">
        <v>1880</v>
      </c>
      <c r="F4" s="41">
        <v>4.0</v>
      </c>
      <c r="G4" s="159">
        <v>1.0</v>
      </c>
      <c r="H4" s="52">
        <f>518.96+(5.25*50)</f>
        <v>781.46</v>
      </c>
      <c r="I4" s="157">
        <v>0.69515</v>
      </c>
      <c r="J4" s="158">
        <f t="shared" si="1"/>
        <v>1324.691919</v>
      </c>
      <c r="K4" s="157">
        <v>0.35</v>
      </c>
      <c r="L4" s="158">
        <f t="shared" si="2"/>
        <v>1054.971</v>
      </c>
      <c r="M4" s="157">
        <v>0.55</v>
      </c>
      <c r="N4" s="158">
        <f t="shared" si="3"/>
        <v>1211.263</v>
      </c>
      <c r="O4" s="154" t="str">
        <f>CONCATENATE('SEGUIMIENTO COMPRAS TRIBE'!B662, ", ", 'SEGUIMIENTO COMPRAS TRIBE'!B663)</f>
        <v>Santiago Ventana, Emiliano Alcaide</v>
      </c>
      <c r="P4" s="154" t="str">
        <f t="shared" si="4"/>
        <v>CTS DOWNPIPE S58</v>
      </c>
    </row>
    <row r="5">
      <c r="A5" s="160">
        <v>624.0</v>
      </c>
      <c r="B5" s="54">
        <v>45949.0</v>
      </c>
      <c r="C5" s="41" t="s">
        <v>2245</v>
      </c>
      <c r="D5" s="41" t="s">
        <v>220</v>
      </c>
      <c r="E5" s="41" t="s">
        <v>2246</v>
      </c>
      <c r="F5" s="41">
        <v>1.0</v>
      </c>
      <c r="G5" s="159">
        <v>0.0</v>
      </c>
      <c r="H5" s="44">
        <v>1223.07</v>
      </c>
      <c r="I5" s="157">
        <v>0.4</v>
      </c>
      <c r="J5" s="158">
        <f t="shared" si="1"/>
        <v>1712.298</v>
      </c>
      <c r="K5" s="157">
        <v>0.2</v>
      </c>
      <c r="L5" s="158">
        <f t="shared" si="2"/>
        <v>1467.684</v>
      </c>
      <c r="M5" s="157">
        <v>0.25</v>
      </c>
      <c r="N5" s="158">
        <f t="shared" si="3"/>
        <v>1528.8375</v>
      </c>
      <c r="O5" s="41" t="str">
        <f>CONCATENATE('SEGUIMIENTO COMPRAS TRIBE'!B708, ", ")</f>
        <v>Emiliano Righetti, </v>
      </c>
      <c r="P5" s="154" t="str">
        <f t="shared" si="4"/>
        <v>Infinity Design INTAKE B58 G42</v>
      </c>
    </row>
    <row r="6">
      <c r="A6" s="160">
        <v>623.0</v>
      </c>
      <c r="B6" s="54">
        <v>45950.0</v>
      </c>
      <c r="C6" s="41" t="s">
        <v>2247</v>
      </c>
      <c r="D6" s="41" t="s">
        <v>1984</v>
      </c>
      <c r="E6" s="41" t="s">
        <v>2248</v>
      </c>
      <c r="F6" s="41">
        <v>10.0</v>
      </c>
      <c r="G6" s="159">
        <v>6.0</v>
      </c>
      <c r="H6" s="44">
        <v>98.2</v>
      </c>
      <c r="I6" s="161">
        <v>0.525</v>
      </c>
      <c r="J6" s="158">
        <f t="shared" si="1"/>
        <v>149.755</v>
      </c>
      <c r="K6" s="161">
        <v>0.325</v>
      </c>
      <c r="L6" s="158">
        <f t="shared" si="2"/>
        <v>130.115</v>
      </c>
      <c r="M6" s="161">
        <v>0.425</v>
      </c>
      <c r="N6" s="158">
        <f t="shared" si="3"/>
        <v>139.935</v>
      </c>
      <c r="O6" s="41" t="str">
        <f>CONCATENATE('SEGUIMIENTO COMPRAS TRIBE'!B661, ", ",'SEGUIMIENTO COMPRAS TRIBE'!B664 , ", ", 'SEGUIMIENTO COMPRAS TRIBE'!B679,", ",'SEGUIMIENTO COMPRAS TRIBE'!B682)</f>
        <v>Mauro Lerda, Santiago Ventana, Emiliano Righetti, Javier Pergamino</v>
      </c>
      <c r="P6" s="154" t="str">
        <f t="shared" si="4"/>
        <v>NGK Bujias B58/S58</v>
      </c>
    </row>
    <row r="7">
      <c r="A7" s="160">
        <v>676.0</v>
      </c>
      <c r="B7" s="54">
        <v>45973.0</v>
      </c>
      <c r="C7" s="41" t="s">
        <v>2245</v>
      </c>
      <c r="D7" s="41" t="s">
        <v>220</v>
      </c>
      <c r="E7" s="41" t="s">
        <v>1880</v>
      </c>
      <c r="F7" s="159">
        <v>2.0</v>
      </c>
      <c r="G7" s="159">
        <v>1.0</v>
      </c>
      <c r="H7" s="44">
        <v>2225.0</v>
      </c>
      <c r="I7" s="162">
        <v>0.4</v>
      </c>
      <c r="J7" s="163">
        <f t="shared" si="1"/>
        <v>3115</v>
      </c>
      <c r="K7" s="162">
        <v>0.2</v>
      </c>
      <c r="L7" s="163">
        <f t="shared" si="2"/>
        <v>2670</v>
      </c>
      <c r="M7" s="162">
        <v>0.25</v>
      </c>
      <c r="N7" s="163">
        <f t="shared" si="3"/>
        <v>2781.25</v>
      </c>
      <c r="O7" s="41" t="str">
        <f>CONCATENATE('SEGUIMIENTO COMPRAS TRIBE'!B687, ", ")</f>
        <v>Santiago Ventana, </v>
      </c>
      <c r="P7" s="154" t="str">
        <f t="shared" si="4"/>
        <v>Infinity Design INTAKE S58</v>
      </c>
    </row>
    <row r="8">
      <c r="A8" s="160">
        <v>696.0</v>
      </c>
      <c r="B8" s="54">
        <v>46001.0</v>
      </c>
      <c r="C8" s="41" t="s">
        <v>2249</v>
      </c>
      <c r="D8" s="41" t="s">
        <v>2250</v>
      </c>
      <c r="E8" s="41" t="s">
        <v>2251</v>
      </c>
      <c r="F8" s="159">
        <v>5.0</v>
      </c>
      <c r="G8" s="159">
        <v>4.0</v>
      </c>
      <c r="H8" s="44">
        <v>80.4</v>
      </c>
      <c r="I8" s="161">
        <v>0.5</v>
      </c>
      <c r="J8" s="158">
        <f t="shared" si="1"/>
        <v>120.6</v>
      </c>
      <c r="K8" s="161">
        <v>0.25</v>
      </c>
      <c r="L8" s="158">
        <f t="shared" si="2"/>
        <v>100.5</v>
      </c>
      <c r="M8" s="161">
        <v>0.37</v>
      </c>
      <c r="N8" s="158">
        <f t="shared" si="3"/>
        <v>110.148</v>
      </c>
      <c r="O8" s="41" t="str">
        <f>CONCATENATE('SEGUIMIENTO COMPRAS TRIBE'!B765, ", ")</f>
        <v>Emiliano Alcaide, </v>
      </c>
      <c r="P8" s="154" t="str">
        <f t="shared" si="4"/>
        <v>Generica Rejillas M2 G87</v>
      </c>
    </row>
    <row r="9">
      <c r="A9" s="160">
        <v>713.0</v>
      </c>
      <c r="B9" s="54">
        <v>46001.0</v>
      </c>
      <c r="C9" s="41" t="s">
        <v>2245</v>
      </c>
      <c r="D9" s="41" t="s">
        <v>220</v>
      </c>
      <c r="E9" s="41" t="s">
        <v>2246</v>
      </c>
      <c r="F9" s="159">
        <v>3.0</v>
      </c>
      <c r="G9" s="159">
        <v>3.0</v>
      </c>
      <c r="H9" s="44">
        <v>1158.0</v>
      </c>
      <c r="I9" s="161">
        <v>0.479</v>
      </c>
      <c r="J9" s="158">
        <f t="shared" si="1"/>
        <v>1712.682</v>
      </c>
      <c r="K9" s="161">
        <v>0.265</v>
      </c>
      <c r="L9" s="158">
        <f t="shared" si="2"/>
        <v>1464.87</v>
      </c>
      <c r="M9" s="161">
        <v>0.32</v>
      </c>
      <c r="N9" s="158">
        <f t="shared" si="3"/>
        <v>1528.56</v>
      </c>
      <c r="O9" s="83"/>
      <c r="P9" s="83"/>
    </row>
    <row r="10">
      <c r="A10" s="160">
        <v>719.0</v>
      </c>
      <c r="B10" s="54">
        <v>46001.0</v>
      </c>
      <c r="C10" s="154" t="s">
        <v>2242</v>
      </c>
      <c r="D10" s="41" t="s">
        <v>2243</v>
      </c>
      <c r="E10" s="154" t="s">
        <v>1883</v>
      </c>
      <c r="F10" s="159">
        <v>9.0</v>
      </c>
      <c r="G10" s="159">
        <v>8.0</v>
      </c>
      <c r="H10" s="44">
        <v>398.0</v>
      </c>
      <c r="I10" s="161">
        <v>0.6952</v>
      </c>
      <c r="J10" s="158">
        <f t="shared" si="1"/>
        <v>674.6896</v>
      </c>
      <c r="K10" s="161">
        <v>0.5</v>
      </c>
      <c r="L10" s="158">
        <f t="shared" si="2"/>
        <v>597</v>
      </c>
      <c r="M10" s="161">
        <v>0.55</v>
      </c>
      <c r="N10" s="158">
        <f t="shared" si="3"/>
        <v>616.9</v>
      </c>
      <c r="O10" s="83" t="str">
        <f>CONCATENATE('SEGUIMIENTO COMPRAS TRIBE'!B767, ", ")</f>
        <v>Emiliano Righetti, </v>
      </c>
      <c r="P10" s="154" t="str">
        <f>CONCATENATE(C10," ",D10," ",E10)</f>
        <v>CTS DOWNPIPE B58</v>
      </c>
    </row>
    <row r="11">
      <c r="A11" s="164"/>
      <c r="B11" s="45"/>
      <c r="C11" s="83"/>
      <c r="D11" s="83"/>
      <c r="E11" s="83"/>
      <c r="F11" s="165"/>
      <c r="G11" s="165"/>
      <c r="H11" s="52"/>
      <c r="I11" s="161">
        <v>0.0</v>
      </c>
      <c r="J11" s="158">
        <f t="shared" si="1"/>
        <v>0</v>
      </c>
      <c r="K11" s="161">
        <v>0.0</v>
      </c>
      <c r="L11" s="158">
        <f t="shared" si="2"/>
        <v>0</v>
      </c>
      <c r="M11" s="161">
        <v>0.0</v>
      </c>
      <c r="N11" s="158">
        <f t="shared" si="3"/>
        <v>0</v>
      </c>
      <c r="O11" s="83"/>
      <c r="P11" s="83"/>
    </row>
    <row r="12">
      <c r="A12" s="164"/>
      <c r="B12" s="45"/>
      <c r="C12" s="83"/>
      <c r="D12" s="83"/>
      <c r="E12" s="83"/>
      <c r="F12" s="165"/>
      <c r="G12" s="165"/>
      <c r="H12" s="52"/>
      <c r="I12" s="161">
        <v>0.0</v>
      </c>
      <c r="J12" s="158">
        <f t="shared" si="1"/>
        <v>0</v>
      </c>
      <c r="K12" s="161">
        <v>0.0</v>
      </c>
      <c r="L12" s="158">
        <f t="shared" si="2"/>
        <v>0</v>
      </c>
      <c r="M12" s="161">
        <v>0.0</v>
      </c>
      <c r="N12" s="158">
        <f t="shared" si="3"/>
        <v>0</v>
      </c>
      <c r="O12" s="83"/>
      <c r="P12" s="83"/>
    </row>
    <row r="13">
      <c r="A13" s="164"/>
      <c r="B13" s="45"/>
      <c r="C13" s="83"/>
      <c r="D13" s="83"/>
      <c r="E13" s="83"/>
      <c r="F13" s="165"/>
      <c r="G13" s="165"/>
      <c r="H13" s="52"/>
      <c r="I13" s="161">
        <v>0.0</v>
      </c>
      <c r="J13" s="158">
        <f t="shared" si="1"/>
        <v>0</v>
      </c>
      <c r="K13" s="161">
        <v>0.0</v>
      </c>
      <c r="L13" s="158">
        <f t="shared" si="2"/>
        <v>0</v>
      </c>
      <c r="M13" s="161">
        <v>0.0</v>
      </c>
      <c r="N13" s="158">
        <f t="shared" si="3"/>
        <v>0</v>
      </c>
      <c r="O13" s="83"/>
      <c r="P13" s="83"/>
    </row>
    <row r="14">
      <c r="A14" s="164"/>
      <c r="B14" s="45"/>
      <c r="C14" s="83"/>
      <c r="D14" s="83"/>
      <c r="E14" s="83"/>
      <c r="F14" s="165"/>
      <c r="G14" s="165"/>
      <c r="H14" s="52"/>
      <c r="I14" s="161">
        <v>0.0</v>
      </c>
      <c r="J14" s="158">
        <f t="shared" si="1"/>
        <v>0</v>
      </c>
      <c r="K14" s="161">
        <v>0.0</v>
      </c>
      <c r="L14" s="158">
        <f t="shared" si="2"/>
        <v>0</v>
      </c>
      <c r="M14" s="161">
        <v>0.0</v>
      </c>
      <c r="N14" s="158">
        <f t="shared" si="3"/>
        <v>0</v>
      </c>
      <c r="O14" s="83"/>
      <c r="P14" s="83"/>
      <c r="Q14" s="166"/>
      <c r="R14" s="167"/>
    </row>
    <row r="15">
      <c r="A15" s="164"/>
      <c r="B15" s="45"/>
      <c r="C15" s="168" t="s">
        <v>2252</v>
      </c>
      <c r="D15" s="169">
        <f>5217.98-3150</f>
        <v>2067.98</v>
      </c>
      <c r="E15" s="83"/>
      <c r="F15" s="165"/>
      <c r="G15" s="165"/>
      <c r="H15" s="52"/>
      <c r="I15" s="161">
        <v>0.0</v>
      </c>
      <c r="J15" s="158">
        <f t="shared" si="1"/>
        <v>0</v>
      </c>
      <c r="K15" s="161">
        <v>0.0</v>
      </c>
      <c r="L15" s="158">
        <f t="shared" si="2"/>
        <v>0</v>
      </c>
      <c r="M15" s="161">
        <v>0.0</v>
      </c>
      <c r="N15" s="158">
        <f t="shared" si="3"/>
        <v>0</v>
      </c>
      <c r="O15" s="83"/>
      <c r="P15" s="83"/>
    </row>
    <row r="16">
      <c r="A16" s="164"/>
      <c r="B16" s="45"/>
      <c r="C16" s="83"/>
      <c r="D16" s="83"/>
      <c r="E16" s="83"/>
      <c r="F16" s="165"/>
      <c r="G16" s="165"/>
      <c r="H16" s="52"/>
      <c r="I16" s="161">
        <v>0.0</v>
      </c>
      <c r="J16" s="158">
        <f t="shared" si="1"/>
        <v>0</v>
      </c>
      <c r="K16" s="161">
        <v>0.0</v>
      </c>
      <c r="L16" s="158">
        <f t="shared" si="2"/>
        <v>0</v>
      </c>
      <c r="M16" s="161">
        <v>0.0</v>
      </c>
      <c r="N16" s="158">
        <f t="shared" si="3"/>
        <v>0</v>
      </c>
      <c r="O16" s="83"/>
      <c r="P16" s="83"/>
    </row>
    <row r="17">
      <c r="A17" s="164"/>
      <c r="B17" s="45"/>
      <c r="C17" s="83"/>
      <c r="D17" s="83"/>
      <c r="E17" s="83"/>
      <c r="F17" s="165"/>
      <c r="G17" s="165"/>
      <c r="H17" s="52"/>
      <c r="I17" s="161">
        <v>0.0</v>
      </c>
      <c r="J17" s="158">
        <f t="shared" si="1"/>
        <v>0</v>
      </c>
      <c r="K17" s="161">
        <v>0.0</v>
      </c>
      <c r="L17" s="158">
        <f t="shared" si="2"/>
        <v>0</v>
      </c>
      <c r="M17" s="161">
        <v>0.0</v>
      </c>
      <c r="N17" s="158">
        <f t="shared" si="3"/>
        <v>0</v>
      </c>
      <c r="O17" s="83"/>
      <c r="P17" s="83"/>
    </row>
    <row r="18">
      <c r="A18" s="164"/>
      <c r="B18" s="45"/>
      <c r="C18" s="83"/>
      <c r="D18" s="83"/>
      <c r="E18" s="83"/>
      <c r="F18" s="165"/>
      <c r="G18" s="165"/>
      <c r="H18" s="52"/>
      <c r="I18" s="161">
        <v>0.0</v>
      </c>
      <c r="J18" s="158">
        <f t="shared" si="1"/>
        <v>0</v>
      </c>
      <c r="K18" s="161">
        <v>0.0</v>
      </c>
      <c r="L18" s="158">
        <f t="shared" si="2"/>
        <v>0</v>
      </c>
      <c r="M18" s="161">
        <v>0.0</v>
      </c>
      <c r="N18" s="158">
        <f t="shared" si="3"/>
        <v>0</v>
      </c>
      <c r="O18" s="83"/>
      <c r="P18" s="83"/>
    </row>
    <row r="19">
      <c r="A19" s="164"/>
      <c r="B19" s="45"/>
      <c r="C19" s="83"/>
      <c r="D19" s="83"/>
      <c r="E19" s="83"/>
      <c r="F19" s="165"/>
      <c r="G19" s="165"/>
      <c r="H19" s="52"/>
      <c r="I19" s="161">
        <v>0.0</v>
      </c>
      <c r="J19" s="158">
        <f t="shared" si="1"/>
        <v>0</v>
      </c>
      <c r="K19" s="161">
        <v>0.0</v>
      </c>
      <c r="L19" s="158">
        <f t="shared" si="2"/>
        <v>0</v>
      </c>
      <c r="M19" s="161">
        <v>0.0</v>
      </c>
      <c r="N19" s="158">
        <f t="shared" si="3"/>
        <v>0</v>
      </c>
      <c r="O19" s="83"/>
      <c r="P19" s="83"/>
    </row>
    <row r="20">
      <c r="A20" s="164"/>
      <c r="B20" s="45"/>
      <c r="C20" s="83"/>
      <c r="D20" s="83"/>
      <c r="E20" s="83"/>
      <c r="F20" s="165"/>
      <c r="G20" s="165"/>
      <c r="H20" s="52"/>
      <c r="I20" s="161">
        <v>0.0</v>
      </c>
      <c r="J20" s="158">
        <f t="shared" si="1"/>
        <v>0</v>
      </c>
      <c r="K20" s="161">
        <v>0.0</v>
      </c>
      <c r="L20" s="158">
        <f t="shared" si="2"/>
        <v>0</v>
      </c>
      <c r="M20" s="161">
        <v>0.0</v>
      </c>
      <c r="N20" s="158">
        <f t="shared" si="3"/>
        <v>0</v>
      </c>
      <c r="O20" s="83"/>
      <c r="P20" s="83"/>
    </row>
    <row r="21">
      <c r="A21" s="164"/>
      <c r="B21" s="45"/>
      <c r="C21" s="83"/>
      <c r="D21" s="83"/>
      <c r="E21" s="83"/>
      <c r="F21" s="165"/>
      <c r="G21" s="165"/>
      <c r="H21" s="52"/>
      <c r="I21" s="161">
        <v>0.0</v>
      </c>
      <c r="J21" s="158">
        <f t="shared" si="1"/>
        <v>0</v>
      </c>
      <c r="K21" s="161">
        <v>0.0</v>
      </c>
      <c r="L21" s="158">
        <f t="shared" si="2"/>
        <v>0</v>
      </c>
      <c r="M21" s="161">
        <v>0.0</v>
      </c>
      <c r="N21" s="158">
        <f t="shared" si="3"/>
        <v>0</v>
      </c>
      <c r="O21" s="83"/>
      <c r="P21" s="83"/>
    </row>
    <row r="22">
      <c r="A22" s="164"/>
      <c r="B22" s="45"/>
      <c r="C22" s="83"/>
      <c r="D22" s="83"/>
      <c r="E22" s="83"/>
      <c r="F22" s="165"/>
      <c r="G22" s="165"/>
      <c r="H22" s="52"/>
      <c r="I22" s="161">
        <v>0.0</v>
      </c>
      <c r="J22" s="158">
        <f t="shared" si="1"/>
        <v>0</v>
      </c>
      <c r="K22" s="161">
        <v>0.0</v>
      </c>
      <c r="L22" s="158">
        <f t="shared" si="2"/>
        <v>0</v>
      </c>
      <c r="M22" s="161">
        <v>0.0</v>
      </c>
      <c r="N22" s="158">
        <f t="shared" si="3"/>
        <v>0</v>
      </c>
      <c r="O22" s="83"/>
      <c r="P22" s="83"/>
    </row>
    <row r="23">
      <c r="A23" s="164"/>
      <c r="B23" s="45"/>
      <c r="C23" s="83"/>
      <c r="D23" s="83"/>
      <c r="E23" s="83"/>
      <c r="F23" s="165"/>
      <c r="G23" s="165"/>
      <c r="H23" s="52"/>
      <c r="I23" s="161">
        <v>0.0</v>
      </c>
      <c r="J23" s="158">
        <f t="shared" si="1"/>
        <v>0</v>
      </c>
      <c r="K23" s="161">
        <v>0.0</v>
      </c>
      <c r="L23" s="158">
        <f t="shared" si="2"/>
        <v>0</v>
      </c>
      <c r="M23" s="161">
        <v>0.0</v>
      </c>
      <c r="N23" s="158">
        <f t="shared" si="3"/>
        <v>0</v>
      </c>
      <c r="O23" s="83"/>
      <c r="P23" s="83"/>
    </row>
    <row r="24">
      <c r="A24" s="164"/>
      <c r="B24" s="45"/>
      <c r="C24" s="83"/>
      <c r="D24" s="83"/>
      <c r="E24" s="83"/>
      <c r="F24" s="165"/>
      <c r="G24" s="165"/>
      <c r="H24" s="52"/>
      <c r="I24" s="161">
        <v>0.0</v>
      </c>
      <c r="J24" s="158">
        <f t="shared" si="1"/>
        <v>0</v>
      </c>
      <c r="K24" s="161">
        <v>0.0</v>
      </c>
      <c r="L24" s="158">
        <f t="shared" si="2"/>
        <v>0</v>
      </c>
      <c r="M24" s="161">
        <v>0.0</v>
      </c>
      <c r="N24" s="158">
        <f t="shared" si="3"/>
        <v>0</v>
      </c>
      <c r="O24" s="83"/>
      <c r="P24" s="83"/>
    </row>
    <row r="25">
      <c r="A25" s="164"/>
      <c r="B25" s="45"/>
      <c r="C25" s="83"/>
      <c r="D25" s="83"/>
      <c r="E25" s="83"/>
      <c r="F25" s="165"/>
      <c r="G25" s="165"/>
      <c r="H25" s="52"/>
      <c r="I25" s="161">
        <v>0.0</v>
      </c>
      <c r="J25" s="158">
        <f t="shared" si="1"/>
        <v>0</v>
      </c>
      <c r="K25" s="161">
        <v>0.0</v>
      </c>
      <c r="L25" s="158">
        <f t="shared" si="2"/>
        <v>0</v>
      </c>
      <c r="M25" s="161">
        <v>0.0</v>
      </c>
      <c r="N25" s="158">
        <f t="shared" si="3"/>
        <v>0</v>
      </c>
      <c r="O25" s="83"/>
      <c r="P25" s="83"/>
    </row>
    <row r="26">
      <c r="A26" s="164"/>
      <c r="B26" s="45"/>
      <c r="C26" s="83"/>
      <c r="D26" s="83"/>
      <c r="E26" s="83"/>
      <c r="F26" s="165"/>
      <c r="G26" s="165"/>
      <c r="H26" s="52"/>
      <c r="I26" s="161">
        <v>0.0</v>
      </c>
      <c r="J26" s="158">
        <f t="shared" si="1"/>
        <v>0</v>
      </c>
      <c r="K26" s="161">
        <v>0.0</v>
      </c>
      <c r="L26" s="158">
        <f t="shared" si="2"/>
        <v>0</v>
      </c>
      <c r="M26" s="161">
        <v>0.0</v>
      </c>
      <c r="N26" s="158">
        <f t="shared" si="3"/>
        <v>0</v>
      </c>
      <c r="O26" s="83"/>
      <c r="P26" s="83"/>
    </row>
    <row r="27">
      <c r="A27" s="164"/>
      <c r="B27" s="45"/>
      <c r="C27" s="83"/>
      <c r="D27" s="83"/>
      <c r="E27" s="83"/>
      <c r="F27" s="165"/>
      <c r="G27" s="165"/>
      <c r="H27" s="52"/>
      <c r="I27" s="161">
        <v>0.0</v>
      </c>
      <c r="J27" s="158">
        <f t="shared" si="1"/>
        <v>0</v>
      </c>
      <c r="K27" s="161">
        <v>0.0</v>
      </c>
      <c r="L27" s="158">
        <f t="shared" si="2"/>
        <v>0</v>
      </c>
      <c r="M27" s="161">
        <v>0.0</v>
      </c>
      <c r="N27" s="158">
        <f t="shared" si="3"/>
        <v>0</v>
      </c>
      <c r="O27" s="83"/>
      <c r="P27" s="83"/>
    </row>
    <row r="28">
      <c r="A28" s="164"/>
      <c r="B28" s="45"/>
      <c r="C28" s="83"/>
      <c r="D28" s="83"/>
      <c r="E28" s="83"/>
      <c r="F28" s="165"/>
      <c r="G28" s="165"/>
      <c r="H28" s="52"/>
      <c r="I28" s="161">
        <v>0.0</v>
      </c>
      <c r="J28" s="158">
        <f t="shared" si="1"/>
        <v>0</v>
      </c>
      <c r="K28" s="161">
        <v>0.0</v>
      </c>
      <c r="L28" s="158">
        <f t="shared" si="2"/>
        <v>0</v>
      </c>
      <c r="M28" s="161">
        <v>0.0</v>
      </c>
      <c r="N28" s="158">
        <f t="shared" si="3"/>
        <v>0</v>
      </c>
      <c r="O28" s="83"/>
      <c r="P28" s="83"/>
    </row>
    <row r="29">
      <c r="A29" s="164"/>
      <c r="B29" s="45"/>
      <c r="C29" s="83"/>
      <c r="D29" s="83"/>
      <c r="E29" s="83"/>
      <c r="F29" s="165"/>
      <c r="G29" s="165"/>
      <c r="H29" s="52"/>
      <c r="I29" s="161">
        <v>0.0</v>
      </c>
      <c r="J29" s="158">
        <f t="shared" si="1"/>
        <v>0</v>
      </c>
      <c r="K29" s="161">
        <v>0.0</v>
      </c>
      <c r="L29" s="158">
        <f t="shared" si="2"/>
        <v>0</v>
      </c>
      <c r="M29" s="161">
        <v>0.0</v>
      </c>
      <c r="N29" s="158">
        <f t="shared" si="3"/>
        <v>0</v>
      </c>
      <c r="O29" s="83"/>
      <c r="P29" s="83"/>
    </row>
    <row r="30">
      <c r="A30" s="164"/>
      <c r="B30" s="45"/>
      <c r="C30" s="83"/>
      <c r="D30" s="83"/>
      <c r="E30" s="83"/>
      <c r="F30" s="165"/>
      <c r="G30" s="165"/>
      <c r="H30" s="52"/>
      <c r="I30" s="161">
        <v>0.0</v>
      </c>
      <c r="J30" s="158">
        <f t="shared" si="1"/>
        <v>0</v>
      </c>
      <c r="K30" s="161">
        <v>0.0</v>
      </c>
      <c r="L30" s="158">
        <f t="shared" si="2"/>
        <v>0</v>
      </c>
      <c r="M30" s="161">
        <v>0.0</v>
      </c>
      <c r="N30" s="158">
        <f t="shared" si="3"/>
        <v>0</v>
      </c>
      <c r="O30" s="83"/>
      <c r="P30" s="83"/>
    </row>
    <row r="31">
      <c r="A31" s="164"/>
      <c r="B31" s="45"/>
      <c r="C31" s="83"/>
      <c r="D31" s="83"/>
      <c r="E31" s="83"/>
      <c r="F31" s="165"/>
      <c r="G31" s="165"/>
      <c r="H31" s="52"/>
      <c r="I31" s="161">
        <v>0.0</v>
      </c>
      <c r="J31" s="158">
        <f t="shared" si="1"/>
        <v>0</v>
      </c>
      <c r="K31" s="161">
        <v>0.0</v>
      </c>
      <c r="L31" s="158">
        <f t="shared" si="2"/>
        <v>0</v>
      </c>
      <c r="M31" s="161">
        <v>0.0</v>
      </c>
      <c r="N31" s="158">
        <f t="shared" si="3"/>
        <v>0</v>
      </c>
      <c r="O31" s="83"/>
      <c r="P31" s="83"/>
    </row>
    <row r="32">
      <c r="A32" s="164"/>
      <c r="B32" s="45"/>
      <c r="C32" s="83"/>
      <c r="D32" s="83"/>
      <c r="E32" s="83"/>
      <c r="F32" s="165"/>
      <c r="G32" s="165"/>
      <c r="H32" s="52"/>
      <c r="I32" s="161">
        <v>0.0</v>
      </c>
      <c r="J32" s="158">
        <f t="shared" si="1"/>
        <v>0</v>
      </c>
      <c r="K32" s="161">
        <v>0.0</v>
      </c>
      <c r="L32" s="158">
        <f t="shared" si="2"/>
        <v>0</v>
      </c>
      <c r="M32" s="161">
        <v>0.0</v>
      </c>
      <c r="N32" s="158">
        <f t="shared" si="3"/>
        <v>0</v>
      </c>
      <c r="O32" s="83"/>
      <c r="P32" s="83"/>
    </row>
    <row r="33">
      <c r="A33" s="164"/>
      <c r="B33" s="45"/>
      <c r="C33" s="83"/>
      <c r="D33" s="83"/>
      <c r="E33" s="83"/>
      <c r="F33" s="165"/>
      <c r="G33" s="165"/>
      <c r="H33" s="52"/>
      <c r="I33" s="161">
        <v>0.0</v>
      </c>
      <c r="J33" s="158">
        <f t="shared" si="1"/>
        <v>0</v>
      </c>
      <c r="K33" s="161">
        <v>0.0</v>
      </c>
      <c r="L33" s="158">
        <f t="shared" si="2"/>
        <v>0</v>
      </c>
      <c r="M33" s="161">
        <v>0.0</v>
      </c>
      <c r="N33" s="158">
        <f t="shared" si="3"/>
        <v>0</v>
      </c>
      <c r="O33" s="83"/>
      <c r="P33" s="83"/>
    </row>
    <row r="34">
      <c r="A34" s="164"/>
      <c r="B34" s="45"/>
      <c r="C34" s="83"/>
      <c r="D34" s="83"/>
      <c r="E34" s="83"/>
      <c r="F34" s="165"/>
      <c r="G34" s="165"/>
      <c r="H34" s="52"/>
      <c r="I34" s="170"/>
      <c r="J34" s="171"/>
      <c r="K34" s="170"/>
      <c r="L34" s="171"/>
      <c r="M34" s="170"/>
      <c r="N34" s="171"/>
      <c r="O34" s="83"/>
      <c r="P34" s="83"/>
    </row>
    <row r="35">
      <c r="A35" s="164"/>
      <c r="B35" s="45"/>
      <c r="C35" s="83"/>
      <c r="D35" s="83"/>
      <c r="E35" s="83"/>
      <c r="F35" s="165"/>
      <c r="G35" s="165"/>
      <c r="H35" s="52"/>
      <c r="I35" s="170"/>
      <c r="J35" s="171"/>
      <c r="K35" s="170"/>
      <c r="L35" s="171"/>
      <c r="M35" s="170"/>
      <c r="N35" s="171"/>
      <c r="O35" s="83"/>
      <c r="P35" s="83"/>
    </row>
    <row r="36">
      <c r="A36" s="164"/>
      <c r="B36" s="45"/>
      <c r="C36" s="83"/>
      <c r="D36" s="83"/>
      <c r="E36" s="83"/>
      <c r="F36" s="165"/>
      <c r="G36" s="165"/>
      <c r="H36" s="52"/>
      <c r="I36" s="170"/>
      <c r="J36" s="171"/>
      <c r="K36" s="170"/>
      <c r="L36" s="171"/>
      <c r="M36" s="170"/>
      <c r="N36" s="171"/>
      <c r="O36" s="83"/>
      <c r="P36" s="83"/>
    </row>
    <row r="37">
      <c r="A37" s="164"/>
      <c r="B37" s="45"/>
      <c r="C37" s="83"/>
      <c r="D37" s="83"/>
      <c r="E37" s="83"/>
      <c r="F37" s="165"/>
      <c r="G37" s="165"/>
      <c r="H37" s="52"/>
      <c r="I37" s="170"/>
      <c r="J37" s="171"/>
      <c r="K37" s="170"/>
      <c r="L37" s="171"/>
      <c r="M37" s="170"/>
      <c r="N37" s="171"/>
      <c r="O37" s="83"/>
      <c r="P37" s="83"/>
    </row>
    <row r="38">
      <c r="A38" s="164"/>
      <c r="B38" s="45"/>
      <c r="C38" s="83"/>
      <c r="D38" s="83"/>
      <c r="E38" s="83"/>
      <c r="F38" s="165"/>
      <c r="G38" s="165"/>
      <c r="H38" s="52"/>
      <c r="I38" s="170"/>
      <c r="J38" s="171"/>
      <c r="K38" s="170"/>
      <c r="L38" s="171"/>
      <c r="M38" s="170"/>
      <c r="N38" s="171"/>
      <c r="O38" s="83"/>
      <c r="P38" s="83"/>
    </row>
    <row r="39">
      <c r="A39" s="164"/>
      <c r="B39" s="45"/>
      <c r="C39" s="83"/>
      <c r="D39" s="83"/>
      <c r="E39" s="83"/>
      <c r="F39" s="165"/>
      <c r="G39" s="165"/>
      <c r="H39" s="52"/>
      <c r="I39" s="170"/>
      <c r="J39" s="171"/>
      <c r="K39" s="170"/>
      <c r="L39" s="171"/>
      <c r="M39" s="170"/>
      <c r="N39" s="171"/>
      <c r="O39" s="83"/>
      <c r="P39" s="83"/>
    </row>
    <row r="40">
      <c r="A40" s="164"/>
      <c r="B40" s="45"/>
      <c r="C40" s="83"/>
      <c r="D40" s="83"/>
      <c r="E40" s="83"/>
      <c r="F40" s="165"/>
      <c r="G40" s="165"/>
      <c r="H40" s="52"/>
      <c r="I40" s="170"/>
      <c r="J40" s="171"/>
      <c r="K40" s="170"/>
      <c r="L40" s="171"/>
      <c r="M40" s="170"/>
      <c r="N40" s="171"/>
      <c r="O40" s="83"/>
      <c r="P40" s="83"/>
    </row>
    <row r="41">
      <c r="A41" s="164"/>
      <c r="B41" s="45"/>
      <c r="C41" s="83"/>
      <c r="D41" s="83"/>
      <c r="E41" s="83"/>
      <c r="F41" s="165"/>
      <c r="G41" s="165"/>
      <c r="H41" s="52"/>
      <c r="I41" s="170"/>
      <c r="J41" s="171"/>
      <c r="K41" s="170"/>
      <c r="L41" s="171"/>
      <c r="M41" s="170"/>
      <c r="N41" s="171"/>
      <c r="O41" s="83"/>
      <c r="P41" s="83"/>
    </row>
    <row r="42">
      <c r="A42" s="164"/>
      <c r="B42" s="45"/>
      <c r="C42" s="83"/>
      <c r="D42" s="83"/>
      <c r="E42" s="83"/>
      <c r="F42" s="165"/>
      <c r="G42" s="165"/>
      <c r="H42" s="52"/>
      <c r="I42" s="170"/>
      <c r="J42" s="171"/>
      <c r="K42" s="170"/>
      <c r="L42" s="171"/>
      <c r="M42" s="170"/>
      <c r="N42" s="171"/>
      <c r="O42" s="83"/>
      <c r="P42" s="83"/>
    </row>
    <row r="43">
      <c r="A43" s="164"/>
      <c r="B43" s="45"/>
      <c r="C43" s="83"/>
      <c r="D43" s="83"/>
      <c r="E43" s="83"/>
      <c r="F43" s="165"/>
      <c r="G43" s="165"/>
      <c r="H43" s="52"/>
      <c r="I43" s="170"/>
      <c r="J43" s="171"/>
      <c r="K43" s="170"/>
      <c r="L43" s="171"/>
      <c r="M43" s="170"/>
      <c r="N43" s="171"/>
      <c r="O43" s="83"/>
      <c r="P43" s="83"/>
    </row>
    <row r="44">
      <c r="A44" s="164"/>
      <c r="B44" s="45"/>
      <c r="C44" s="83"/>
      <c r="D44" s="83"/>
      <c r="E44" s="83"/>
      <c r="F44" s="165"/>
      <c r="G44" s="165"/>
      <c r="H44" s="52"/>
      <c r="I44" s="170"/>
      <c r="J44" s="171"/>
      <c r="K44" s="170"/>
      <c r="L44" s="171"/>
      <c r="M44" s="170"/>
      <c r="N44" s="171"/>
      <c r="O44" s="83"/>
      <c r="P44" s="83"/>
    </row>
    <row r="45">
      <c r="A45" s="164"/>
      <c r="B45" s="45"/>
      <c r="C45" s="83"/>
      <c r="D45" s="83"/>
      <c r="E45" s="83"/>
      <c r="F45" s="165"/>
      <c r="G45" s="165"/>
      <c r="H45" s="52"/>
      <c r="I45" s="170"/>
      <c r="J45" s="171"/>
      <c r="K45" s="170"/>
      <c r="L45" s="171"/>
      <c r="M45" s="170"/>
      <c r="N45" s="171"/>
      <c r="O45" s="83"/>
      <c r="P45" s="83"/>
    </row>
    <row r="46">
      <c r="A46" s="164"/>
      <c r="B46" s="45"/>
      <c r="C46" s="83"/>
      <c r="D46" s="83"/>
      <c r="E46" s="83"/>
      <c r="F46" s="165"/>
      <c r="G46" s="165"/>
      <c r="H46" s="52"/>
      <c r="I46" s="170"/>
      <c r="J46" s="171"/>
      <c r="K46" s="170"/>
      <c r="L46" s="171"/>
      <c r="M46" s="170"/>
      <c r="N46" s="171"/>
      <c r="O46" s="83"/>
      <c r="P46" s="83"/>
    </row>
    <row r="47">
      <c r="A47" s="164"/>
      <c r="B47" s="45"/>
      <c r="C47" s="83"/>
      <c r="D47" s="83"/>
      <c r="E47" s="83"/>
      <c r="F47" s="165"/>
      <c r="G47" s="165"/>
      <c r="H47" s="52"/>
      <c r="I47" s="170"/>
      <c r="J47" s="171"/>
      <c r="K47" s="170"/>
      <c r="L47" s="171"/>
      <c r="M47" s="170"/>
      <c r="N47" s="171"/>
      <c r="O47" s="83"/>
      <c r="P47" s="83"/>
    </row>
    <row r="48">
      <c r="A48" s="164"/>
      <c r="B48" s="45"/>
      <c r="C48" s="83"/>
      <c r="D48" s="83"/>
      <c r="E48" s="83"/>
      <c r="F48" s="165"/>
      <c r="G48" s="165"/>
      <c r="H48" s="52"/>
      <c r="I48" s="170"/>
      <c r="J48" s="171"/>
      <c r="K48" s="170"/>
      <c r="L48" s="171"/>
      <c r="M48" s="170"/>
      <c r="N48" s="171"/>
      <c r="O48" s="83"/>
      <c r="P48" s="83"/>
    </row>
    <row r="49">
      <c r="A49" s="164"/>
      <c r="B49" s="45"/>
      <c r="C49" s="83"/>
      <c r="D49" s="83"/>
      <c r="E49" s="83"/>
      <c r="F49" s="165"/>
      <c r="G49" s="165"/>
      <c r="H49" s="52"/>
      <c r="I49" s="170"/>
      <c r="J49" s="171"/>
      <c r="K49" s="170"/>
      <c r="L49" s="171"/>
      <c r="M49" s="170"/>
      <c r="N49" s="171"/>
      <c r="O49" s="83"/>
      <c r="P49" s="83"/>
    </row>
    <row r="50">
      <c r="A50" s="164"/>
      <c r="B50" s="45"/>
      <c r="C50" s="83"/>
      <c r="D50" s="83"/>
      <c r="E50" s="83"/>
      <c r="F50" s="165"/>
      <c r="G50" s="165"/>
      <c r="H50" s="52"/>
      <c r="I50" s="170"/>
      <c r="J50" s="171"/>
      <c r="K50" s="170"/>
      <c r="L50" s="171"/>
      <c r="M50" s="170"/>
      <c r="N50" s="171"/>
      <c r="O50" s="83"/>
      <c r="P50" s="83"/>
    </row>
    <row r="51">
      <c r="A51" s="164"/>
      <c r="B51" s="45"/>
      <c r="C51" s="83"/>
      <c r="D51" s="83"/>
      <c r="E51" s="83"/>
      <c r="F51" s="165"/>
      <c r="G51" s="165"/>
      <c r="H51" s="52"/>
      <c r="I51" s="170"/>
      <c r="J51" s="171"/>
      <c r="K51" s="170"/>
      <c r="L51" s="171"/>
      <c r="M51" s="170"/>
      <c r="N51" s="171"/>
      <c r="O51" s="83"/>
      <c r="P51" s="83"/>
    </row>
    <row r="52">
      <c r="A52" s="164"/>
      <c r="B52" s="45"/>
      <c r="C52" s="83"/>
      <c r="D52" s="83"/>
      <c r="E52" s="83"/>
      <c r="F52" s="165"/>
      <c r="G52" s="165"/>
      <c r="H52" s="52"/>
      <c r="I52" s="170"/>
      <c r="J52" s="171"/>
      <c r="K52" s="170"/>
      <c r="L52" s="171"/>
      <c r="M52" s="170"/>
      <c r="N52" s="171"/>
      <c r="O52" s="83"/>
      <c r="P52" s="83"/>
    </row>
    <row r="53">
      <c r="A53" s="164"/>
      <c r="B53" s="45"/>
      <c r="C53" s="83"/>
      <c r="D53" s="83"/>
      <c r="E53" s="83"/>
      <c r="F53" s="165"/>
      <c r="G53" s="165"/>
      <c r="H53" s="52"/>
      <c r="I53" s="170"/>
      <c r="J53" s="171"/>
      <c r="K53" s="170"/>
      <c r="L53" s="171"/>
      <c r="M53" s="170"/>
      <c r="N53" s="171"/>
      <c r="O53" s="83"/>
      <c r="P53" s="83"/>
    </row>
    <row r="54">
      <c r="A54" s="164"/>
      <c r="B54" s="45"/>
      <c r="C54" s="83"/>
      <c r="D54" s="83"/>
      <c r="E54" s="83"/>
      <c r="F54" s="165"/>
      <c r="G54" s="165"/>
      <c r="H54" s="52"/>
      <c r="I54" s="170"/>
      <c r="J54" s="171"/>
      <c r="K54" s="170"/>
      <c r="L54" s="171"/>
      <c r="M54" s="170"/>
      <c r="N54" s="171"/>
      <c r="O54" s="83"/>
      <c r="P54" s="83"/>
    </row>
    <row r="55">
      <c r="A55" s="164"/>
      <c r="B55" s="45"/>
      <c r="C55" s="83"/>
      <c r="D55" s="83"/>
      <c r="E55" s="83"/>
      <c r="F55" s="165"/>
      <c r="G55" s="165"/>
      <c r="H55" s="52"/>
      <c r="I55" s="170"/>
      <c r="J55" s="171"/>
      <c r="K55" s="170"/>
      <c r="L55" s="171"/>
      <c r="M55" s="170"/>
      <c r="N55" s="171"/>
      <c r="O55" s="83"/>
      <c r="P55" s="83"/>
    </row>
    <row r="56">
      <c r="A56" s="164"/>
      <c r="B56" s="45"/>
      <c r="C56" s="83"/>
      <c r="D56" s="83"/>
      <c r="E56" s="83"/>
      <c r="F56" s="165"/>
      <c r="G56" s="165"/>
      <c r="H56" s="52"/>
      <c r="I56" s="170"/>
      <c r="J56" s="171"/>
      <c r="K56" s="170"/>
      <c r="L56" s="171"/>
      <c r="M56" s="170"/>
      <c r="N56" s="171"/>
      <c r="O56" s="83"/>
      <c r="P56" s="83"/>
    </row>
    <row r="57">
      <c r="A57" s="164"/>
      <c r="B57" s="45"/>
      <c r="C57" s="83"/>
      <c r="D57" s="83"/>
      <c r="E57" s="83"/>
      <c r="F57" s="165"/>
      <c r="G57" s="165"/>
      <c r="H57" s="52"/>
      <c r="I57" s="170"/>
      <c r="J57" s="171"/>
      <c r="K57" s="170"/>
      <c r="L57" s="171"/>
      <c r="M57" s="170"/>
      <c r="N57" s="171"/>
      <c r="O57" s="83"/>
      <c r="P57" s="83"/>
    </row>
    <row r="58">
      <c r="A58" s="164"/>
      <c r="B58" s="45"/>
      <c r="C58" s="83"/>
      <c r="D58" s="83"/>
      <c r="E58" s="83"/>
      <c r="F58" s="165"/>
      <c r="G58" s="165"/>
      <c r="H58" s="52"/>
      <c r="I58" s="170"/>
      <c r="J58" s="171"/>
      <c r="K58" s="170"/>
      <c r="L58" s="171"/>
      <c r="M58" s="170"/>
      <c r="N58" s="171"/>
      <c r="O58" s="83"/>
      <c r="P58" s="83"/>
    </row>
    <row r="59">
      <c r="A59" s="164"/>
      <c r="B59" s="45"/>
      <c r="C59" s="83"/>
      <c r="D59" s="83"/>
      <c r="E59" s="83"/>
      <c r="F59" s="165"/>
      <c r="G59" s="165"/>
      <c r="H59" s="52"/>
      <c r="I59" s="170"/>
      <c r="J59" s="171"/>
      <c r="K59" s="170"/>
      <c r="L59" s="171"/>
      <c r="M59" s="170"/>
      <c r="N59" s="171"/>
      <c r="O59" s="83"/>
      <c r="P59" s="83"/>
    </row>
    <row r="60">
      <c r="A60" s="164"/>
      <c r="B60" s="45"/>
      <c r="C60" s="83"/>
      <c r="D60" s="83"/>
      <c r="E60" s="83"/>
      <c r="F60" s="165"/>
      <c r="G60" s="165"/>
      <c r="H60" s="52"/>
      <c r="I60" s="170"/>
      <c r="J60" s="171"/>
      <c r="K60" s="170"/>
      <c r="L60" s="171"/>
      <c r="M60" s="170"/>
      <c r="N60" s="171"/>
      <c r="O60" s="83"/>
      <c r="P60" s="83"/>
    </row>
    <row r="61">
      <c r="A61" s="164"/>
      <c r="B61" s="45"/>
      <c r="C61" s="83"/>
      <c r="D61" s="83"/>
      <c r="E61" s="83"/>
      <c r="F61" s="165"/>
      <c r="G61" s="165"/>
      <c r="H61" s="52"/>
      <c r="I61" s="170"/>
      <c r="J61" s="171"/>
      <c r="K61" s="170"/>
      <c r="L61" s="171"/>
      <c r="M61" s="170"/>
      <c r="N61" s="171"/>
      <c r="O61" s="83"/>
      <c r="P61" s="83"/>
    </row>
    <row r="62">
      <c r="A62" s="164"/>
      <c r="B62" s="45"/>
      <c r="C62" s="83"/>
      <c r="D62" s="83"/>
      <c r="E62" s="83"/>
      <c r="F62" s="165"/>
      <c r="G62" s="165"/>
      <c r="H62" s="52"/>
      <c r="I62" s="170"/>
      <c r="J62" s="171"/>
      <c r="K62" s="170"/>
      <c r="L62" s="171"/>
      <c r="M62" s="170"/>
      <c r="N62" s="171"/>
      <c r="O62" s="83"/>
      <c r="P62" s="83"/>
    </row>
    <row r="63">
      <c r="A63" s="164"/>
      <c r="B63" s="45"/>
      <c r="C63" s="83"/>
      <c r="D63" s="83"/>
      <c r="E63" s="83"/>
      <c r="F63" s="165"/>
      <c r="G63" s="165"/>
      <c r="H63" s="52"/>
      <c r="I63" s="170"/>
      <c r="J63" s="171"/>
      <c r="K63" s="170"/>
      <c r="L63" s="171"/>
      <c r="M63" s="170"/>
      <c r="N63" s="171"/>
      <c r="O63" s="83"/>
      <c r="P63" s="83"/>
    </row>
    <row r="64">
      <c r="A64" s="164"/>
      <c r="B64" s="45"/>
      <c r="C64" s="83"/>
      <c r="D64" s="83"/>
      <c r="E64" s="83"/>
      <c r="F64" s="165"/>
      <c r="G64" s="165"/>
      <c r="H64" s="52"/>
      <c r="I64" s="170"/>
      <c r="J64" s="171"/>
      <c r="K64" s="170"/>
      <c r="L64" s="171"/>
      <c r="M64" s="170"/>
      <c r="N64" s="171"/>
      <c r="O64" s="83"/>
      <c r="P64" s="83"/>
    </row>
    <row r="65">
      <c r="A65" s="164"/>
      <c r="B65" s="45"/>
      <c r="C65" s="83"/>
      <c r="D65" s="83"/>
      <c r="E65" s="83"/>
      <c r="F65" s="165"/>
      <c r="G65" s="165"/>
      <c r="H65" s="52"/>
      <c r="I65" s="170"/>
      <c r="J65" s="171"/>
      <c r="K65" s="170"/>
      <c r="L65" s="171"/>
      <c r="M65" s="170"/>
      <c r="N65" s="171"/>
      <c r="O65" s="83"/>
      <c r="P65" s="83"/>
    </row>
    <row r="66">
      <c r="A66" s="164"/>
      <c r="B66" s="45"/>
      <c r="C66" s="83"/>
      <c r="D66" s="83"/>
      <c r="E66" s="83"/>
      <c r="F66" s="165"/>
      <c r="G66" s="165"/>
      <c r="H66" s="52"/>
      <c r="I66" s="170"/>
      <c r="J66" s="171"/>
      <c r="K66" s="170"/>
      <c r="L66" s="171"/>
      <c r="M66" s="170"/>
      <c r="N66" s="171"/>
      <c r="O66" s="83"/>
      <c r="P66" s="83"/>
    </row>
    <row r="67">
      <c r="A67" s="164"/>
      <c r="B67" s="45"/>
      <c r="C67" s="83"/>
      <c r="D67" s="83"/>
      <c r="E67" s="83"/>
      <c r="F67" s="165"/>
      <c r="G67" s="165"/>
      <c r="H67" s="52"/>
      <c r="I67" s="170"/>
      <c r="J67" s="171"/>
      <c r="K67" s="170"/>
      <c r="L67" s="171"/>
      <c r="M67" s="170"/>
      <c r="N67" s="171"/>
      <c r="O67" s="83"/>
      <c r="P67" s="83"/>
    </row>
    <row r="68">
      <c r="A68" s="164"/>
      <c r="B68" s="45"/>
      <c r="C68" s="83"/>
      <c r="D68" s="83"/>
      <c r="E68" s="83"/>
      <c r="F68" s="165"/>
      <c r="G68" s="165"/>
      <c r="H68" s="52"/>
      <c r="I68" s="170"/>
      <c r="J68" s="171"/>
      <c r="K68" s="170"/>
      <c r="L68" s="171"/>
      <c r="M68" s="170"/>
      <c r="N68" s="171"/>
      <c r="O68" s="83"/>
      <c r="P68" s="83"/>
    </row>
    <row r="69">
      <c r="A69" s="164"/>
      <c r="B69" s="45"/>
      <c r="C69" s="83"/>
      <c r="D69" s="83"/>
      <c r="E69" s="83"/>
      <c r="F69" s="165"/>
      <c r="G69" s="165"/>
      <c r="H69" s="52"/>
      <c r="I69" s="170"/>
      <c r="J69" s="171"/>
      <c r="K69" s="170"/>
      <c r="L69" s="171"/>
      <c r="M69" s="170"/>
      <c r="N69" s="171"/>
      <c r="O69" s="83"/>
      <c r="P69" s="83"/>
    </row>
    <row r="70">
      <c r="A70" s="164"/>
      <c r="B70" s="45"/>
      <c r="C70" s="83"/>
      <c r="D70" s="83"/>
      <c r="E70" s="83"/>
      <c r="F70" s="165"/>
      <c r="G70" s="165"/>
      <c r="H70" s="52"/>
      <c r="I70" s="170"/>
      <c r="J70" s="171"/>
      <c r="K70" s="170"/>
      <c r="L70" s="171"/>
      <c r="M70" s="170"/>
      <c r="N70" s="171"/>
      <c r="O70" s="83"/>
      <c r="P70" s="83"/>
    </row>
    <row r="71">
      <c r="A71" s="164"/>
      <c r="B71" s="45"/>
      <c r="C71" s="83"/>
      <c r="D71" s="83"/>
      <c r="E71" s="83"/>
      <c r="F71" s="165"/>
      <c r="G71" s="165"/>
      <c r="H71" s="52"/>
      <c r="I71" s="170"/>
      <c r="J71" s="171"/>
      <c r="K71" s="170"/>
      <c r="L71" s="171"/>
      <c r="M71" s="170"/>
      <c r="N71" s="171"/>
      <c r="O71" s="83"/>
      <c r="P71" s="83"/>
    </row>
    <row r="72">
      <c r="A72" s="164"/>
      <c r="B72" s="45"/>
      <c r="C72" s="83"/>
      <c r="D72" s="83"/>
      <c r="E72" s="83"/>
      <c r="F72" s="165"/>
      <c r="G72" s="165"/>
      <c r="H72" s="52"/>
      <c r="I72" s="170"/>
      <c r="J72" s="171"/>
      <c r="K72" s="170"/>
      <c r="L72" s="171"/>
      <c r="M72" s="170"/>
      <c r="N72" s="171"/>
      <c r="O72" s="83"/>
      <c r="P72" s="83"/>
    </row>
    <row r="73">
      <c r="A73" s="164"/>
      <c r="B73" s="45"/>
      <c r="C73" s="83"/>
      <c r="D73" s="83"/>
      <c r="E73" s="83"/>
      <c r="F73" s="165"/>
      <c r="G73" s="165"/>
      <c r="H73" s="52"/>
      <c r="I73" s="170"/>
      <c r="J73" s="171"/>
      <c r="K73" s="170"/>
      <c r="L73" s="171"/>
      <c r="M73" s="170"/>
      <c r="N73" s="171"/>
      <c r="O73" s="83"/>
      <c r="P73" s="83"/>
    </row>
    <row r="74">
      <c r="A74" s="164"/>
      <c r="B74" s="45"/>
      <c r="C74" s="83"/>
      <c r="D74" s="83"/>
      <c r="E74" s="83"/>
      <c r="F74" s="165"/>
      <c r="G74" s="165"/>
      <c r="H74" s="52"/>
      <c r="I74" s="170"/>
      <c r="J74" s="171"/>
      <c r="K74" s="170"/>
      <c r="L74" s="171"/>
      <c r="M74" s="170"/>
      <c r="N74" s="171"/>
      <c r="O74" s="83"/>
      <c r="P74" s="83"/>
    </row>
    <row r="75">
      <c r="A75" s="164"/>
      <c r="B75" s="45"/>
      <c r="C75" s="83"/>
      <c r="D75" s="83"/>
      <c r="E75" s="83"/>
      <c r="F75" s="165"/>
      <c r="G75" s="165"/>
      <c r="H75" s="52"/>
      <c r="I75" s="170"/>
      <c r="J75" s="171"/>
      <c r="K75" s="170"/>
      <c r="L75" s="171"/>
      <c r="M75" s="170"/>
      <c r="N75" s="171"/>
      <c r="O75" s="83"/>
      <c r="P75" s="83"/>
    </row>
    <row r="76">
      <c r="A76" s="164"/>
      <c r="B76" s="45"/>
      <c r="C76" s="83"/>
      <c r="D76" s="83"/>
      <c r="E76" s="83"/>
      <c r="F76" s="165"/>
      <c r="G76" s="165"/>
      <c r="H76" s="52"/>
      <c r="I76" s="170"/>
      <c r="J76" s="171"/>
      <c r="K76" s="170"/>
      <c r="L76" s="171"/>
      <c r="M76" s="170"/>
      <c r="N76" s="171"/>
      <c r="O76" s="83"/>
      <c r="P76" s="83"/>
    </row>
    <row r="77">
      <c r="A77" s="164"/>
      <c r="B77" s="45"/>
      <c r="C77" s="83"/>
      <c r="D77" s="83"/>
      <c r="E77" s="83"/>
      <c r="F77" s="165"/>
      <c r="G77" s="165"/>
      <c r="H77" s="52"/>
      <c r="I77" s="170"/>
      <c r="J77" s="171"/>
      <c r="K77" s="170"/>
      <c r="L77" s="171"/>
      <c r="M77" s="170"/>
      <c r="N77" s="171"/>
      <c r="O77" s="83"/>
      <c r="P77" s="83"/>
    </row>
    <row r="78">
      <c r="A78" s="164"/>
      <c r="B78" s="45"/>
      <c r="C78" s="83"/>
      <c r="D78" s="83"/>
      <c r="E78" s="83"/>
      <c r="F78" s="165"/>
      <c r="G78" s="165"/>
      <c r="H78" s="52"/>
      <c r="I78" s="170"/>
      <c r="J78" s="171"/>
      <c r="K78" s="170"/>
      <c r="L78" s="171"/>
      <c r="M78" s="170"/>
      <c r="N78" s="171"/>
      <c r="O78" s="83"/>
      <c r="P78" s="83"/>
    </row>
    <row r="79">
      <c r="A79" s="164"/>
      <c r="B79" s="45"/>
      <c r="C79" s="83"/>
      <c r="D79" s="83"/>
      <c r="E79" s="83"/>
      <c r="F79" s="165"/>
      <c r="G79" s="165"/>
      <c r="H79" s="52"/>
      <c r="I79" s="170"/>
      <c r="J79" s="171"/>
      <c r="K79" s="170"/>
      <c r="L79" s="171"/>
      <c r="M79" s="170"/>
      <c r="N79" s="171"/>
      <c r="O79" s="83"/>
      <c r="P79" s="83"/>
    </row>
    <row r="80">
      <c r="A80" s="164"/>
      <c r="B80" s="45"/>
      <c r="C80" s="83"/>
      <c r="D80" s="83"/>
      <c r="E80" s="83"/>
      <c r="F80" s="165"/>
      <c r="G80" s="165"/>
      <c r="H80" s="52"/>
      <c r="I80" s="170"/>
      <c r="J80" s="171"/>
      <c r="K80" s="170"/>
      <c r="L80" s="171"/>
      <c r="M80" s="170"/>
      <c r="N80" s="171"/>
      <c r="O80" s="83"/>
      <c r="P80" s="83"/>
    </row>
    <row r="81">
      <c r="A81" s="164"/>
      <c r="B81" s="45"/>
      <c r="C81" s="83"/>
      <c r="D81" s="83"/>
      <c r="E81" s="83"/>
      <c r="F81" s="165"/>
      <c r="G81" s="165"/>
      <c r="H81" s="52"/>
      <c r="I81" s="170"/>
      <c r="J81" s="171"/>
      <c r="K81" s="170"/>
      <c r="L81" s="171"/>
      <c r="M81" s="170"/>
      <c r="N81" s="171"/>
      <c r="O81" s="83"/>
      <c r="P81" s="83"/>
    </row>
    <row r="82">
      <c r="A82" s="164"/>
      <c r="B82" s="45"/>
      <c r="C82" s="83"/>
      <c r="D82" s="83"/>
      <c r="E82" s="83"/>
      <c r="F82" s="165"/>
      <c r="G82" s="165"/>
      <c r="H82" s="52"/>
      <c r="I82" s="170"/>
      <c r="J82" s="171"/>
      <c r="K82" s="170"/>
      <c r="L82" s="171"/>
      <c r="M82" s="170"/>
      <c r="N82" s="171"/>
      <c r="O82" s="83"/>
      <c r="P82" s="83"/>
    </row>
    <row r="83">
      <c r="A83" s="164"/>
      <c r="B83" s="45"/>
      <c r="C83" s="83"/>
      <c r="D83" s="83"/>
      <c r="E83" s="83"/>
      <c r="F83" s="165"/>
      <c r="G83" s="165"/>
      <c r="H83" s="52"/>
      <c r="I83" s="170"/>
      <c r="J83" s="171"/>
      <c r="K83" s="170"/>
      <c r="L83" s="171"/>
      <c r="M83" s="170"/>
      <c r="N83" s="171"/>
      <c r="O83" s="83"/>
      <c r="P83" s="83"/>
    </row>
    <row r="84">
      <c r="A84" s="164"/>
      <c r="B84" s="45"/>
      <c r="C84" s="83"/>
      <c r="D84" s="83"/>
      <c r="E84" s="83"/>
      <c r="F84" s="165"/>
      <c r="G84" s="165"/>
      <c r="H84" s="52"/>
      <c r="I84" s="170"/>
      <c r="J84" s="171"/>
      <c r="K84" s="170"/>
      <c r="L84" s="171"/>
      <c r="M84" s="170"/>
      <c r="N84" s="171"/>
      <c r="O84" s="83"/>
      <c r="P84" s="83"/>
    </row>
    <row r="85">
      <c r="A85" s="164"/>
      <c r="B85" s="45"/>
      <c r="C85" s="83"/>
      <c r="D85" s="83"/>
      <c r="E85" s="83"/>
      <c r="F85" s="165"/>
      <c r="G85" s="165"/>
      <c r="H85" s="52"/>
      <c r="I85" s="170"/>
      <c r="J85" s="171"/>
      <c r="K85" s="170"/>
      <c r="L85" s="171"/>
      <c r="M85" s="170"/>
      <c r="N85" s="171"/>
      <c r="O85" s="83"/>
      <c r="P85" s="83"/>
    </row>
    <row r="86">
      <c r="A86" s="164"/>
      <c r="B86" s="45"/>
      <c r="C86" s="83"/>
      <c r="D86" s="83"/>
      <c r="E86" s="83"/>
      <c r="F86" s="165"/>
      <c r="G86" s="165"/>
      <c r="H86" s="52"/>
      <c r="I86" s="170"/>
      <c r="J86" s="171"/>
      <c r="K86" s="170"/>
      <c r="L86" s="171"/>
      <c r="M86" s="170"/>
      <c r="N86" s="171"/>
      <c r="O86" s="83"/>
      <c r="P86" s="83"/>
    </row>
    <row r="87">
      <c r="A87" s="164"/>
      <c r="B87" s="45"/>
      <c r="C87" s="83"/>
      <c r="D87" s="83"/>
      <c r="E87" s="83"/>
      <c r="F87" s="165"/>
      <c r="G87" s="165"/>
      <c r="H87" s="52"/>
      <c r="I87" s="170"/>
      <c r="J87" s="171"/>
      <c r="K87" s="170"/>
      <c r="L87" s="171"/>
      <c r="M87" s="170"/>
      <c r="N87" s="171"/>
      <c r="O87" s="83"/>
      <c r="P87" s="83"/>
    </row>
    <row r="88">
      <c r="A88" s="164"/>
      <c r="B88" s="45"/>
      <c r="C88" s="83"/>
      <c r="D88" s="83"/>
      <c r="E88" s="83"/>
      <c r="F88" s="165"/>
      <c r="G88" s="165"/>
      <c r="H88" s="52"/>
      <c r="I88" s="170"/>
      <c r="J88" s="171"/>
      <c r="K88" s="170"/>
      <c r="L88" s="171"/>
      <c r="M88" s="170"/>
      <c r="N88" s="171"/>
      <c r="O88" s="83"/>
      <c r="P88" s="83"/>
    </row>
    <row r="89">
      <c r="A89" s="164"/>
      <c r="B89" s="45"/>
      <c r="C89" s="83"/>
      <c r="D89" s="83"/>
      <c r="E89" s="83"/>
      <c r="F89" s="165"/>
      <c r="G89" s="165"/>
      <c r="H89" s="52"/>
      <c r="I89" s="170"/>
      <c r="J89" s="171"/>
      <c r="K89" s="170"/>
      <c r="L89" s="171"/>
      <c r="M89" s="170"/>
      <c r="N89" s="171"/>
      <c r="O89" s="83"/>
      <c r="P89" s="83"/>
    </row>
    <row r="90">
      <c r="A90" s="164"/>
      <c r="B90" s="45"/>
      <c r="C90" s="83"/>
      <c r="D90" s="83"/>
      <c r="E90" s="83"/>
      <c r="F90" s="165"/>
      <c r="G90" s="165"/>
      <c r="H90" s="52"/>
      <c r="I90" s="170"/>
      <c r="J90" s="171"/>
      <c r="K90" s="170"/>
      <c r="L90" s="171"/>
      <c r="M90" s="170"/>
      <c r="N90" s="171"/>
      <c r="O90" s="83"/>
      <c r="P90" s="83"/>
    </row>
    <row r="91">
      <c r="A91" s="164"/>
      <c r="B91" s="45"/>
      <c r="C91" s="83"/>
      <c r="D91" s="83"/>
      <c r="E91" s="83"/>
      <c r="F91" s="165"/>
      <c r="G91" s="165"/>
      <c r="H91" s="52"/>
      <c r="I91" s="170"/>
      <c r="J91" s="171"/>
      <c r="K91" s="170"/>
      <c r="L91" s="171"/>
      <c r="M91" s="170"/>
      <c r="N91" s="171"/>
      <c r="O91" s="83"/>
      <c r="P91" s="83"/>
    </row>
    <row r="92">
      <c r="A92" s="164"/>
      <c r="B92" s="45"/>
      <c r="C92" s="83"/>
      <c r="D92" s="83"/>
      <c r="E92" s="83"/>
      <c r="F92" s="165"/>
      <c r="G92" s="165"/>
      <c r="H92" s="52"/>
      <c r="I92" s="170"/>
      <c r="J92" s="171"/>
      <c r="K92" s="170"/>
      <c r="L92" s="171"/>
      <c r="M92" s="170"/>
      <c r="N92" s="171"/>
      <c r="O92" s="83"/>
      <c r="P92" s="83"/>
    </row>
    <row r="93">
      <c r="A93" s="164"/>
      <c r="B93" s="45"/>
      <c r="C93" s="83"/>
      <c r="D93" s="83"/>
      <c r="E93" s="83"/>
      <c r="F93" s="165"/>
      <c r="G93" s="165"/>
      <c r="H93" s="52"/>
      <c r="I93" s="170"/>
      <c r="J93" s="171"/>
      <c r="K93" s="170"/>
      <c r="L93" s="171"/>
      <c r="M93" s="170"/>
      <c r="N93" s="171"/>
      <c r="O93" s="83"/>
      <c r="P93" s="83"/>
    </row>
    <row r="94">
      <c r="A94" s="164"/>
      <c r="B94" s="45"/>
      <c r="C94" s="83"/>
      <c r="D94" s="83"/>
      <c r="E94" s="83"/>
      <c r="F94" s="165"/>
      <c r="G94" s="165"/>
      <c r="H94" s="52"/>
      <c r="I94" s="170"/>
      <c r="J94" s="171"/>
      <c r="K94" s="170"/>
      <c r="L94" s="171"/>
      <c r="M94" s="170"/>
      <c r="N94" s="171"/>
      <c r="O94" s="83"/>
      <c r="P94" s="83"/>
    </row>
    <row r="95">
      <c r="A95" s="164"/>
      <c r="B95" s="45"/>
      <c r="C95" s="83"/>
      <c r="D95" s="83"/>
      <c r="E95" s="83"/>
      <c r="F95" s="165"/>
      <c r="G95" s="165"/>
      <c r="H95" s="52"/>
      <c r="I95" s="170"/>
      <c r="J95" s="171"/>
      <c r="K95" s="170"/>
      <c r="L95" s="171"/>
      <c r="M95" s="170"/>
      <c r="N95" s="171"/>
      <c r="O95" s="83"/>
      <c r="P95" s="83"/>
    </row>
    <row r="96">
      <c r="A96" s="164"/>
      <c r="B96" s="45"/>
      <c r="C96" s="83"/>
      <c r="D96" s="83"/>
      <c r="E96" s="83"/>
      <c r="F96" s="165"/>
      <c r="G96" s="165"/>
      <c r="H96" s="52"/>
      <c r="I96" s="170"/>
      <c r="J96" s="171"/>
      <c r="K96" s="170"/>
      <c r="L96" s="171"/>
      <c r="M96" s="170"/>
      <c r="N96" s="171"/>
      <c r="O96" s="83"/>
      <c r="P96" s="83"/>
    </row>
    <row r="97">
      <c r="A97" s="164"/>
      <c r="B97" s="45"/>
      <c r="C97" s="83"/>
      <c r="D97" s="83"/>
      <c r="E97" s="83"/>
      <c r="F97" s="165"/>
      <c r="G97" s="165"/>
      <c r="H97" s="52"/>
      <c r="I97" s="170"/>
      <c r="J97" s="171"/>
      <c r="K97" s="170"/>
      <c r="L97" s="171"/>
      <c r="M97" s="170"/>
      <c r="N97" s="171"/>
      <c r="O97" s="83"/>
      <c r="P97" s="83"/>
    </row>
    <row r="98">
      <c r="A98" s="164"/>
      <c r="B98" s="45"/>
      <c r="C98" s="83"/>
      <c r="D98" s="83"/>
      <c r="E98" s="83"/>
      <c r="F98" s="165"/>
      <c r="G98" s="165"/>
      <c r="H98" s="52"/>
      <c r="I98" s="170"/>
      <c r="J98" s="171"/>
      <c r="K98" s="170"/>
      <c r="L98" s="171"/>
      <c r="M98" s="170"/>
      <c r="N98" s="171"/>
      <c r="O98" s="83"/>
      <c r="P98" s="83"/>
    </row>
    <row r="99">
      <c r="A99" s="164"/>
      <c r="B99" s="45"/>
      <c r="C99" s="83"/>
      <c r="D99" s="83"/>
      <c r="E99" s="83"/>
      <c r="F99" s="165"/>
      <c r="G99" s="165"/>
      <c r="H99" s="52"/>
      <c r="I99" s="170"/>
      <c r="J99" s="171"/>
      <c r="K99" s="170"/>
      <c r="L99" s="171"/>
      <c r="M99" s="170"/>
      <c r="N99" s="171"/>
      <c r="O99" s="83"/>
      <c r="P99" s="83"/>
    </row>
    <row r="100">
      <c r="A100" s="164"/>
      <c r="B100" s="45"/>
      <c r="C100" s="83"/>
      <c r="D100" s="83"/>
      <c r="E100" s="83"/>
      <c r="F100" s="165"/>
      <c r="G100" s="165"/>
      <c r="H100" s="52"/>
      <c r="I100" s="170"/>
      <c r="J100" s="171"/>
      <c r="K100" s="170"/>
      <c r="L100" s="171"/>
      <c r="M100" s="170"/>
      <c r="N100" s="171"/>
      <c r="O100" s="83"/>
      <c r="P100" s="83"/>
    </row>
    <row r="101">
      <c r="A101" s="164"/>
      <c r="B101" s="45"/>
      <c r="C101" s="83"/>
      <c r="D101" s="83"/>
      <c r="E101" s="83"/>
      <c r="F101" s="165"/>
      <c r="G101" s="165"/>
      <c r="H101" s="52"/>
      <c r="I101" s="170"/>
      <c r="J101" s="171"/>
      <c r="K101" s="170"/>
      <c r="L101" s="171"/>
      <c r="M101" s="170"/>
      <c r="N101" s="171"/>
      <c r="O101" s="83"/>
      <c r="P101" s="83"/>
    </row>
    <row r="102">
      <c r="A102" s="164"/>
      <c r="B102" s="45"/>
      <c r="C102" s="83"/>
      <c r="D102" s="83"/>
      <c r="E102" s="83"/>
      <c r="F102" s="165"/>
      <c r="G102" s="165"/>
      <c r="H102" s="52"/>
      <c r="I102" s="170"/>
      <c r="J102" s="171"/>
      <c r="K102" s="170"/>
      <c r="L102" s="171"/>
      <c r="M102" s="170"/>
      <c r="N102" s="171"/>
      <c r="O102" s="83"/>
      <c r="P102" s="83"/>
    </row>
    <row r="103">
      <c r="A103" s="164"/>
      <c r="B103" s="45"/>
      <c r="C103" s="83"/>
      <c r="D103" s="83"/>
      <c r="E103" s="83"/>
      <c r="F103" s="165"/>
      <c r="G103" s="165"/>
      <c r="H103" s="52"/>
      <c r="I103" s="170"/>
      <c r="J103" s="171"/>
      <c r="K103" s="170"/>
      <c r="L103" s="171"/>
      <c r="M103" s="170"/>
      <c r="N103" s="171"/>
      <c r="O103" s="83"/>
      <c r="P103" s="83"/>
    </row>
    <row r="104">
      <c r="A104" s="164"/>
      <c r="B104" s="45"/>
      <c r="C104" s="83"/>
      <c r="D104" s="83"/>
      <c r="E104" s="83"/>
      <c r="F104" s="165"/>
      <c r="G104" s="165"/>
      <c r="H104" s="52"/>
      <c r="I104" s="170"/>
      <c r="J104" s="171"/>
      <c r="K104" s="170"/>
      <c r="L104" s="171"/>
      <c r="M104" s="170"/>
      <c r="N104" s="171"/>
      <c r="O104" s="83"/>
      <c r="P104" s="83"/>
    </row>
    <row r="105">
      <c r="A105" s="164"/>
      <c r="B105" s="45"/>
      <c r="C105" s="83"/>
      <c r="D105" s="83"/>
      <c r="E105" s="83"/>
      <c r="F105" s="165"/>
      <c r="G105" s="165"/>
      <c r="H105" s="52"/>
      <c r="I105" s="170"/>
      <c r="J105" s="171"/>
      <c r="K105" s="170"/>
      <c r="L105" s="171"/>
      <c r="M105" s="170"/>
      <c r="N105" s="171"/>
      <c r="O105" s="83"/>
      <c r="P105" s="83"/>
    </row>
    <row r="106">
      <c r="A106" s="164"/>
      <c r="B106" s="45"/>
      <c r="C106" s="83"/>
      <c r="D106" s="83"/>
      <c r="E106" s="83"/>
      <c r="F106" s="165"/>
      <c r="G106" s="165"/>
      <c r="H106" s="52"/>
      <c r="I106" s="170"/>
      <c r="J106" s="171"/>
      <c r="K106" s="170"/>
      <c r="L106" s="171"/>
      <c r="M106" s="170"/>
      <c r="N106" s="171"/>
      <c r="O106" s="83"/>
      <c r="P106" s="83"/>
    </row>
    <row r="107">
      <c r="A107" s="164"/>
      <c r="B107" s="45"/>
      <c r="C107" s="83"/>
      <c r="D107" s="83"/>
      <c r="E107" s="83"/>
      <c r="F107" s="165"/>
      <c r="G107" s="165"/>
      <c r="H107" s="52"/>
      <c r="I107" s="170"/>
      <c r="J107" s="171"/>
      <c r="K107" s="170"/>
      <c r="L107" s="171"/>
      <c r="M107" s="170"/>
      <c r="N107" s="171"/>
      <c r="O107" s="83"/>
      <c r="P107" s="83"/>
    </row>
    <row r="108">
      <c r="A108" s="164"/>
      <c r="B108" s="45"/>
      <c r="C108" s="83"/>
      <c r="D108" s="83"/>
      <c r="E108" s="83"/>
      <c r="F108" s="165"/>
      <c r="G108" s="165"/>
      <c r="H108" s="52"/>
      <c r="I108" s="170"/>
      <c r="J108" s="171"/>
      <c r="K108" s="170"/>
      <c r="L108" s="171"/>
      <c r="M108" s="170"/>
      <c r="N108" s="171"/>
      <c r="O108" s="83"/>
      <c r="P108" s="83"/>
    </row>
    <row r="109">
      <c r="A109" s="164"/>
      <c r="B109" s="45"/>
      <c r="C109" s="83"/>
      <c r="D109" s="83"/>
      <c r="E109" s="83"/>
      <c r="F109" s="165"/>
      <c r="G109" s="165"/>
      <c r="H109" s="52"/>
      <c r="I109" s="170"/>
      <c r="J109" s="171"/>
      <c r="K109" s="170"/>
      <c r="L109" s="171"/>
      <c r="M109" s="170"/>
      <c r="N109" s="171"/>
      <c r="O109" s="83"/>
      <c r="P109" s="83"/>
    </row>
    <row r="110">
      <c r="A110" s="164"/>
      <c r="B110" s="45"/>
      <c r="C110" s="83"/>
      <c r="D110" s="83"/>
      <c r="E110" s="83"/>
      <c r="F110" s="165"/>
      <c r="G110" s="165"/>
      <c r="H110" s="52"/>
      <c r="I110" s="170"/>
      <c r="J110" s="171"/>
      <c r="K110" s="170"/>
      <c r="L110" s="171"/>
      <c r="M110" s="170"/>
      <c r="N110" s="171"/>
      <c r="O110" s="83"/>
      <c r="P110" s="83"/>
    </row>
    <row r="111">
      <c r="A111" s="164"/>
      <c r="B111" s="45"/>
      <c r="C111" s="83"/>
      <c r="D111" s="83"/>
      <c r="E111" s="83"/>
      <c r="F111" s="165"/>
      <c r="G111" s="165"/>
      <c r="H111" s="52"/>
      <c r="I111" s="170"/>
      <c r="J111" s="171"/>
      <c r="K111" s="170"/>
      <c r="L111" s="171"/>
      <c r="M111" s="170"/>
      <c r="N111" s="171"/>
      <c r="O111" s="83"/>
      <c r="P111" s="83"/>
    </row>
    <row r="112">
      <c r="A112" s="164"/>
      <c r="B112" s="45"/>
      <c r="C112" s="83"/>
      <c r="D112" s="83"/>
      <c r="E112" s="83"/>
      <c r="F112" s="165"/>
      <c r="G112" s="165"/>
      <c r="H112" s="52"/>
      <c r="I112" s="170"/>
      <c r="J112" s="171"/>
      <c r="K112" s="170"/>
      <c r="L112" s="171"/>
      <c r="M112" s="170"/>
      <c r="N112" s="171"/>
      <c r="O112" s="83"/>
      <c r="P112" s="83"/>
    </row>
    <row r="113">
      <c r="A113" s="164"/>
      <c r="B113" s="45"/>
      <c r="C113" s="83"/>
      <c r="D113" s="83"/>
      <c r="E113" s="83"/>
      <c r="F113" s="165"/>
      <c r="G113" s="165"/>
      <c r="H113" s="52"/>
      <c r="I113" s="170"/>
      <c r="J113" s="171"/>
      <c r="K113" s="170"/>
      <c r="L113" s="171"/>
      <c r="M113" s="170"/>
      <c r="N113" s="171"/>
      <c r="O113" s="83"/>
      <c r="P113" s="83"/>
    </row>
    <row r="114">
      <c r="A114" s="164"/>
      <c r="B114" s="45"/>
      <c r="C114" s="83"/>
      <c r="D114" s="83"/>
      <c r="E114" s="83"/>
      <c r="F114" s="165"/>
      <c r="G114" s="165"/>
      <c r="H114" s="52"/>
      <c r="I114" s="170"/>
      <c r="J114" s="171"/>
      <c r="K114" s="170"/>
      <c r="L114" s="171"/>
      <c r="M114" s="170"/>
      <c r="N114" s="171"/>
      <c r="O114" s="83"/>
      <c r="P114" s="83"/>
    </row>
    <row r="115">
      <c r="A115" s="164"/>
      <c r="B115" s="45"/>
      <c r="C115" s="83"/>
      <c r="D115" s="83"/>
      <c r="E115" s="83"/>
      <c r="F115" s="165"/>
      <c r="G115" s="165"/>
      <c r="H115" s="52"/>
      <c r="I115" s="170"/>
      <c r="J115" s="171"/>
      <c r="K115" s="170"/>
      <c r="L115" s="171"/>
      <c r="M115" s="170"/>
      <c r="N115" s="171"/>
      <c r="O115" s="83"/>
      <c r="P115" s="83"/>
    </row>
    <row r="116">
      <c r="A116" s="164"/>
      <c r="B116" s="45"/>
      <c r="C116" s="83"/>
      <c r="D116" s="83"/>
      <c r="E116" s="83"/>
      <c r="F116" s="165"/>
      <c r="G116" s="165"/>
      <c r="H116" s="52"/>
      <c r="I116" s="170"/>
      <c r="J116" s="171"/>
      <c r="K116" s="170"/>
      <c r="L116" s="171"/>
      <c r="M116" s="170"/>
      <c r="N116" s="171"/>
      <c r="O116" s="83"/>
      <c r="P116" s="83"/>
    </row>
    <row r="117">
      <c r="A117" s="164"/>
      <c r="B117" s="45"/>
      <c r="C117" s="83"/>
      <c r="D117" s="83"/>
      <c r="E117" s="83"/>
      <c r="F117" s="165"/>
      <c r="G117" s="165"/>
      <c r="H117" s="52"/>
      <c r="I117" s="170"/>
      <c r="J117" s="171"/>
      <c r="K117" s="170"/>
      <c r="L117" s="171"/>
      <c r="M117" s="170"/>
      <c r="N117" s="171"/>
      <c r="O117" s="83"/>
      <c r="P117" s="83"/>
    </row>
    <row r="118">
      <c r="A118" s="164"/>
      <c r="B118" s="45"/>
      <c r="C118" s="83"/>
      <c r="D118" s="83"/>
      <c r="E118" s="83"/>
      <c r="F118" s="165"/>
      <c r="G118" s="165"/>
      <c r="H118" s="52"/>
      <c r="I118" s="170"/>
      <c r="J118" s="171"/>
      <c r="K118" s="170"/>
      <c r="L118" s="171"/>
      <c r="M118" s="170"/>
      <c r="N118" s="171"/>
      <c r="O118" s="83"/>
      <c r="P118" s="83"/>
    </row>
    <row r="119">
      <c r="A119" s="164"/>
      <c r="B119" s="45"/>
      <c r="C119" s="83"/>
      <c r="D119" s="83"/>
      <c r="E119" s="83"/>
      <c r="F119" s="165"/>
      <c r="G119" s="165"/>
      <c r="H119" s="52"/>
      <c r="I119" s="170"/>
      <c r="J119" s="171"/>
      <c r="K119" s="170"/>
      <c r="L119" s="171"/>
      <c r="M119" s="170"/>
      <c r="N119" s="171"/>
      <c r="O119" s="83"/>
      <c r="P119" s="83"/>
    </row>
    <row r="120">
      <c r="A120" s="164"/>
      <c r="B120" s="45"/>
      <c r="C120" s="83"/>
      <c r="D120" s="83"/>
      <c r="E120" s="83"/>
      <c r="F120" s="165"/>
      <c r="G120" s="165"/>
      <c r="H120" s="52"/>
      <c r="I120" s="170"/>
      <c r="J120" s="171"/>
      <c r="K120" s="170"/>
      <c r="L120" s="171"/>
      <c r="M120" s="170"/>
      <c r="N120" s="171"/>
      <c r="O120" s="83"/>
      <c r="P120" s="83"/>
    </row>
    <row r="121">
      <c r="A121" s="164"/>
      <c r="B121" s="45"/>
      <c r="C121" s="83"/>
      <c r="D121" s="83"/>
      <c r="E121" s="83"/>
      <c r="F121" s="165"/>
      <c r="G121" s="165"/>
      <c r="H121" s="52"/>
      <c r="I121" s="170"/>
      <c r="J121" s="171"/>
      <c r="K121" s="170"/>
      <c r="L121" s="171"/>
      <c r="M121" s="170"/>
      <c r="N121" s="171"/>
      <c r="O121" s="83"/>
      <c r="P121" s="83"/>
    </row>
    <row r="122">
      <c r="A122" s="164"/>
      <c r="B122" s="45"/>
      <c r="C122" s="83"/>
      <c r="D122" s="83"/>
      <c r="E122" s="83"/>
      <c r="F122" s="165"/>
      <c r="G122" s="165"/>
      <c r="H122" s="52"/>
      <c r="I122" s="170"/>
      <c r="J122" s="171"/>
      <c r="K122" s="170"/>
      <c r="L122" s="171"/>
      <c r="M122" s="170"/>
      <c r="N122" s="171"/>
      <c r="O122" s="83"/>
      <c r="P122" s="83"/>
    </row>
    <row r="123">
      <c r="A123" s="164"/>
      <c r="B123" s="45"/>
      <c r="C123" s="83"/>
      <c r="D123" s="83"/>
      <c r="E123" s="83"/>
      <c r="F123" s="165"/>
      <c r="G123" s="165"/>
      <c r="H123" s="52"/>
      <c r="I123" s="170"/>
      <c r="J123" s="171"/>
      <c r="K123" s="170"/>
      <c r="L123" s="171"/>
      <c r="M123" s="170"/>
      <c r="N123" s="171"/>
      <c r="O123" s="83"/>
      <c r="P123" s="83"/>
    </row>
    <row r="124">
      <c r="A124" s="164"/>
      <c r="B124" s="45"/>
      <c r="C124" s="83"/>
      <c r="D124" s="83"/>
      <c r="E124" s="83"/>
      <c r="F124" s="165"/>
      <c r="G124" s="165"/>
      <c r="H124" s="52"/>
      <c r="I124" s="170"/>
      <c r="J124" s="171"/>
      <c r="K124" s="170"/>
      <c r="L124" s="171"/>
      <c r="M124" s="170"/>
      <c r="N124" s="171"/>
      <c r="O124" s="83"/>
      <c r="P124" s="83"/>
    </row>
    <row r="125">
      <c r="A125" s="164"/>
      <c r="B125" s="45"/>
      <c r="C125" s="83"/>
      <c r="D125" s="83"/>
      <c r="E125" s="83"/>
      <c r="F125" s="165"/>
      <c r="G125" s="165"/>
      <c r="H125" s="52"/>
      <c r="I125" s="170"/>
      <c r="J125" s="171"/>
      <c r="K125" s="170"/>
      <c r="L125" s="171"/>
      <c r="M125" s="170"/>
      <c r="N125" s="171"/>
      <c r="O125" s="83"/>
      <c r="P125" s="83"/>
    </row>
    <row r="126">
      <c r="A126" s="164"/>
      <c r="B126" s="45"/>
      <c r="C126" s="83"/>
      <c r="D126" s="83"/>
      <c r="E126" s="83"/>
      <c r="F126" s="165"/>
      <c r="G126" s="165"/>
      <c r="H126" s="52"/>
      <c r="I126" s="170"/>
      <c r="J126" s="171"/>
      <c r="K126" s="170"/>
      <c r="L126" s="171"/>
      <c r="M126" s="170"/>
      <c r="N126" s="171"/>
      <c r="O126" s="83"/>
      <c r="P126" s="83"/>
    </row>
    <row r="127">
      <c r="A127" s="164"/>
      <c r="B127" s="45"/>
      <c r="C127" s="83"/>
      <c r="D127" s="83"/>
      <c r="E127" s="83"/>
      <c r="F127" s="165"/>
      <c r="G127" s="165"/>
      <c r="H127" s="52"/>
      <c r="I127" s="170"/>
      <c r="J127" s="171"/>
      <c r="K127" s="170"/>
      <c r="L127" s="171"/>
      <c r="M127" s="170"/>
      <c r="N127" s="171"/>
      <c r="O127" s="83"/>
      <c r="P127" s="83"/>
    </row>
    <row r="128">
      <c r="A128" s="164"/>
      <c r="B128" s="45"/>
      <c r="C128" s="83"/>
      <c r="D128" s="83"/>
      <c r="E128" s="83"/>
      <c r="F128" s="165"/>
      <c r="G128" s="165"/>
      <c r="H128" s="52"/>
      <c r="I128" s="170"/>
      <c r="J128" s="171"/>
      <c r="K128" s="170"/>
      <c r="L128" s="171"/>
      <c r="M128" s="170"/>
      <c r="N128" s="171"/>
      <c r="O128" s="83"/>
      <c r="P128" s="83"/>
    </row>
    <row r="129">
      <c r="A129" s="164"/>
      <c r="B129" s="45"/>
      <c r="C129" s="83"/>
      <c r="D129" s="83"/>
      <c r="E129" s="83"/>
      <c r="F129" s="165"/>
      <c r="G129" s="165"/>
      <c r="H129" s="52"/>
      <c r="I129" s="170"/>
      <c r="J129" s="171"/>
      <c r="K129" s="170"/>
      <c r="L129" s="171"/>
      <c r="M129" s="170"/>
      <c r="N129" s="171"/>
      <c r="O129" s="83"/>
      <c r="P129" s="83"/>
    </row>
    <row r="130">
      <c r="A130" s="164"/>
      <c r="B130" s="45"/>
      <c r="C130" s="83"/>
      <c r="D130" s="83"/>
      <c r="E130" s="83"/>
      <c r="F130" s="165"/>
      <c r="G130" s="165"/>
      <c r="H130" s="52"/>
      <c r="I130" s="170"/>
      <c r="J130" s="171"/>
      <c r="K130" s="170"/>
      <c r="L130" s="171"/>
      <c r="M130" s="170"/>
      <c r="N130" s="171"/>
      <c r="O130" s="83"/>
      <c r="P130" s="83"/>
    </row>
    <row r="131">
      <c r="A131" s="164"/>
      <c r="B131" s="45"/>
      <c r="C131" s="83"/>
      <c r="D131" s="83"/>
      <c r="E131" s="83"/>
      <c r="F131" s="165"/>
      <c r="G131" s="165"/>
      <c r="H131" s="52"/>
      <c r="I131" s="170"/>
      <c r="J131" s="171"/>
      <c r="K131" s="170"/>
      <c r="L131" s="171"/>
      <c r="M131" s="170"/>
      <c r="N131" s="171"/>
      <c r="O131" s="83"/>
      <c r="P131" s="83"/>
    </row>
    <row r="132">
      <c r="A132" s="164"/>
      <c r="B132" s="45"/>
      <c r="C132" s="83"/>
      <c r="D132" s="83"/>
      <c r="E132" s="83"/>
      <c r="F132" s="165"/>
      <c r="G132" s="165"/>
      <c r="H132" s="52"/>
      <c r="I132" s="170"/>
      <c r="J132" s="171"/>
      <c r="K132" s="170"/>
      <c r="L132" s="171"/>
      <c r="M132" s="170"/>
      <c r="N132" s="171"/>
      <c r="O132" s="83"/>
      <c r="P132" s="83"/>
    </row>
    <row r="133">
      <c r="A133" s="164"/>
      <c r="B133" s="45"/>
      <c r="C133" s="83"/>
      <c r="D133" s="83"/>
      <c r="E133" s="83"/>
      <c r="F133" s="165"/>
      <c r="G133" s="165"/>
      <c r="H133" s="52"/>
      <c r="I133" s="170"/>
      <c r="J133" s="171"/>
      <c r="K133" s="170"/>
      <c r="L133" s="171"/>
      <c r="M133" s="170"/>
      <c r="N133" s="171"/>
      <c r="O133" s="83"/>
      <c r="P133" s="83"/>
    </row>
    <row r="134">
      <c r="A134" s="164"/>
      <c r="B134" s="45"/>
      <c r="C134" s="83"/>
      <c r="D134" s="83"/>
      <c r="E134" s="83"/>
      <c r="F134" s="165"/>
      <c r="G134" s="165"/>
      <c r="H134" s="52"/>
      <c r="I134" s="170"/>
      <c r="J134" s="171"/>
      <c r="K134" s="170"/>
      <c r="L134" s="171"/>
      <c r="M134" s="170"/>
      <c r="N134" s="171"/>
      <c r="O134" s="83"/>
      <c r="P134" s="83"/>
    </row>
    <row r="135">
      <c r="A135" s="164"/>
      <c r="B135" s="45"/>
      <c r="C135" s="83"/>
      <c r="D135" s="83"/>
      <c r="E135" s="83"/>
      <c r="F135" s="165"/>
      <c r="G135" s="165"/>
      <c r="H135" s="52"/>
      <c r="I135" s="170"/>
      <c r="J135" s="171"/>
      <c r="K135" s="170"/>
      <c r="L135" s="171"/>
      <c r="M135" s="170"/>
      <c r="N135" s="171"/>
      <c r="O135" s="83"/>
      <c r="P135" s="83"/>
    </row>
    <row r="136">
      <c r="A136" s="164"/>
      <c r="B136" s="45"/>
      <c r="C136" s="83"/>
      <c r="D136" s="83"/>
      <c r="E136" s="83"/>
      <c r="F136" s="165"/>
      <c r="G136" s="165"/>
      <c r="H136" s="52"/>
      <c r="I136" s="170"/>
      <c r="J136" s="171"/>
      <c r="K136" s="170"/>
      <c r="L136" s="171"/>
      <c r="M136" s="170"/>
      <c r="N136" s="171"/>
      <c r="O136" s="83"/>
      <c r="P136" s="83"/>
    </row>
    <row r="137">
      <c r="A137" s="164"/>
      <c r="B137" s="45"/>
      <c r="C137" s="83"/>
      <c r="D137" s="83"/>
      <c r="E137" s="83"/>
      <c r="F137" s="165"/>
      <c r="G137" s="165"/>
      <c r="H137" s="52"/>
      <c r="I137" s="170"/>
      <c r="J137" s="171"/>
      <c r="K137" s="170"/>
      <c r="L137" s="171"/>
      <c r="M137" s="170"/>
      <c r="N137" s="171"/>
      <c r="O137" s="83"/>
      <c r="P137" s="83"/>
    </row>
    <row r="138">
      <c r="A138" s="164"/>
      <c r="B138" s="45"/>
      <c r="C138" s="83"/>
      <c r="D138" s="83"/>
      <c r="E138" s="83"/>
      <c r="F138" s="165"/>
      <c r="G138" s="165"/>
      <c r="H138" s="52"/>
      <c r="I138" s="170"/>
      <c r="J138" s="171"/>
      <c r="K138" s="170"/>
      <c r="L138" s="171"/>
      <c r="M138" s="170"/>
      <c r="N138" s="171"/>
      <c r="O138" s="83"/>
      <c r="P138" s="83"/>
    </row>
    <row r="139">
      <c r="A139" s="164"/>
      <c r="B139" s="45"/>
      <c r="C139" s="83"/>
      <c r="D139" s="83"/>
      <c r="E139" s="83"/>
      <c r="F139" s="165"/>
      <c r="G139" s="165"/>
      <c r="H139" s="52"/>
      <c r="I139" s="170"/>
      <c r="J139" s="171"/>
      <c r="K139" s="170"/>
      <c r="L139" s="171"/>
      <c r="M139" s="170"/>
      <c r="N139" s="171"/>
      <c r="O139" s="83"/>
      <c r="P139" s="83"/>
    </row>
    <row r="140">
      <c r="A140" s="164"/>
      <c r="B140" s="45"/>
      <c r="C140" s="83"/>
      <c r="D140" s="83"/>
      <c r="E140" s="83"/>
      <c r="F140" s="165"/>
      <c r="G140" s="165"/>
      <c r="H140" s="52"/>
      <c r="I140" s="170"/>
      <c r="J140" s="171"/>
      <c r="K140" s="170"/>
      <c r="L140" s="171"/>
      <c r="M140" s="170"/>
      <c r="N140" s="171"/>
      <c r="O140" s="83"/>
      <c r="P140" s="83"/>
    </row>
    <row r="141">
      <c r="A141" s="164"/>
      <c r="B141" s="45"/>
      <c r="C141" s="83"/>
      <c r="D141" s="83"/>
      <c r="E141" s="83"/>
      <c r="F141" s="165"/>
      <c r="G141" s="165"/>
      <c r="H141" s="52"/>
      <c r="I141" s="170"/>
      <c r="J141" s="171"/>
      <c r="K141" s="170"/>
      <c r="L141" s="171"/>
      <c r="M141" s="170"/>
      <c r="N141" s="171"/>
      <c r="O141" s="83"/>
      <c r="P141" s="83"/>
    </row>
    <row r="142">
      <c r="A142" s="164"/>
      <c r="B142" s="45"/>
      <c r="C142" s="83"/>
      <c r="D142" s="83"/>
      <c r="E142" s="83"/>
      <c r="F142" s="165"/>
      <c r="G142" s="165"/>
      <c r="H142" s="52"/>
      <c r="I142" s="170"/>
      <c r="J142" s="171"/>
      <c r="K142" s="170"/>
      <c r="L142" s="171"/>
      <c r="M142" s="170"/>
      <c r="N142" s="171"/>
      <c r="O142" s="83"/>
      <c r="P142" s="83"/>
    </row>
    <row r="143">
      <c r="A143" s="164"/>
      <c r="B143" s="45"/>
      <c r="C143" s="83"/>
      <c r="D143" s="83"/>
      <c r="E143" s="83"/>
      <c r="F143" s="165"/>
      <c r="G143" s="165"/>
      <c r="H143" s="52"/>
      <c r="I143" s="170"/>
      <c r="J143" s="171"/>
      <c r="K143" s="170"/>
      <c r="L143" s="171"/>
      <c r="M143" s="170"/>
      <c r="N143" s="171"/>
      <c r="O143" s="83"/>
      <c r="P143" s="83"/>
    </row>
    <row r="144">
      <c r="A144" s="164"/>
      <c r="B144" s="45"/>
      <c r="C144" s="83"/>
      <c r="D144" s="83"/>
      <c r="E144" s="83"/>
      <c r="F144" s="165"/>
      <c r="G144" s="165"/>
      <c r="H144" s="52"/>
      <c r="I144" s="170"/>
      <c r="J144" s="171"/>
      <c r="K144" s="170"/>
      <c r="L144" s="171"/>
      <c r="M144" s="170"/>
      <c r="N144" s="171"/>
      <c r="O144" s="83"/>
      <c r="P144" s="83"/>
    </row>
    <row r="145">
      <c r="A145" s="164"/>
      <c r="B145" s="45"/>
      <c r="C145" s="83"/>
      <c r="D145" s="83"/>
      <c r="E145" s="83"/>
      <c r="F145" s="165"/>
      <c r="G145" s="165"/>
      <c r="H145" s="52"/>
      <c r="I145" s="170"/>
      <c r="J145" s="171"/>
      <c r="K145" s="170"/>
      <c r="L145" s="171"/>
      <c r="M145" s="170"/>
      <c r="N145" s="171"/>
      <c r="O145" s="83"/>
      <c r="P145" s="83"/>
    </row>
    <row r="146">
      <c r="A146" s="164"/>
      <c r="B146" s="45"/>
      <c r="C146" s="83"/>
      <c r="D146" s="83"/>
      <c r="E146" s="83"/>
      <c r="F146" s="165"/>
      <c r="G146" s="165"/>
      <c r="H146" s="52"/>
      <c r="I146" s="170"/>
      <c r="J146" s="171"/>
      <c r="K146" s="170"/>
      <c r="L146" s="171"/>
      <c r="M146" s="170"/>
      <c r="N146" s="171"/>
      <c r="O146" s="83"/>
      <c r="P146" s="83"/>
    </row>
    <row r="147">
      <c r="A147" s="164"/>
      <c r="B147" s="45"/>
      <c r="C147" s="83"/>
      <c r="D147" s="83"/>
      <c r="E147" s="83"/>
      <c r="F147" s="165"/>
      <c r="G147" s="165"/>
      <c r="H147" s="52"/>
      <c r="I147" s="170"/>
      <c r="J147" s="171"/>
      <c r="K147" s="170"/>
      <c r="L147" s="171"/>
      <c r="M147" s="170"/>
      <c r="N147" s="171"/>
      <c r="O147" s="83"/>
      <c r="P147" s="83"/>
    </row>
    <row r="148">
      <c r="A148" s="164"/>
      <c r="B148" s="45"/>
      <c r="C148" s="83"/>
      <c r="D148" s="83"/>
      <c r="E148" s="83"/>
      <c r="F148" s="165"/>
      <c r="G148" s="165"/>
      <c r="H148" s="52"/>
      <c r="I148" s="170"/>
      <c r="J148" s="171"/>
      <c r="K148" s="170"/>
      <c r="L148" s="171"/>
      <c r="M148" s="170"/>
      <c r="N148" s="171"/>
      <c r="O148" s="83"/>
      <c r="P148" s="83"/>
    </row>
    <row r="149">
      <c r="A149" s="164"/>
      <c r="B149" s="45"/>
      <c r="C149" s="83"/>
      <c r="D149" s="83"/>
      <c r="E149" s="83"/>
      <c r="F149" s="165"/>
      <c r="G149" s="165"/>
      <c r="H149" s="52"/>
      <c r="I149" s="170"/>
      <c r="J149" s="171"/>
      <c r="K149" s="170"/>
      <c r="L149" s="171"/>
      <c r="M149" s="170"/>
      <c r="N149" s="171"/>
      <c r="O149" s="83"/>
      <c r="P149" s="83"/>
    </row>
    <row r="150">
      <c r="A150" s="164"/>
      <c r="B150" s="45"/>
      <c r="C150" s="83"/>
      <c r="D150" s="83"/>
      <c r="E150" s="83"/>
      <c r="F150" s="165"/>
      <c r="G150" s="165"/>
      <c r="H150" s="52"/>
      <c r="I150" s="170"/>
      <c r="J150" s="171"/>
      <c r="K150" s="170"/>
      <c r="L150" s="171"/>
      <c r="M150" s="170"/>
      <c r="N150" s="171"/>
      <c r="O150" s="83"/>
      <c r="P150" s="83"/>
    </row>
    <row r="151">
      <c r="A151" s="164"/>
      <c r="B151" s="45"/>
      <c r="C151" s="83"/>
      <c r="D151" s="83"/>
      <c r="E151" s="83"/>
      <c r="F151" s="165"/>
      <c r="G151" s="165"/>
      <c r="H151" s="52"/>
      <c r="I151" s="170"/>
      <c r="J151" s="171"/>
      <c r="K151" s="170"/>
      <c r="L151" s="171"/>
      <c r="M151" s="170"/>
      <c r="N151" s="171"/>
      <c r="O151" s="83"/>
      <c r="P151" s="83"/>
    </row>
    <row r="152">
      <c r="A152" s="164"/>
      <c r="B152" s="45"/>
      <c r="C152" s="83"/>
      <c r="D152" s="83"/>
      <c r="E152" s="83"/>
      <c r="F152" s="165"/>
      <c r="G152" s="165"/>
      <c r="H152" s="52"/>
      <c r="I152" s="170"/>
      <c r="J152" s="171"/>
      <c r="K152" s="170"/>
      <c r="L152" s="171"/>
      <c r="M152" s="170"/>
      <c r="N152" s="171"/>
      <c r="O152" s="83"/>
      <c r="P152" s="83"/>
    </row>
    <row r="153">
      <c r="A153" s="164"/>
      <c r="B153" s="45"/>
      <c r="C153" s="83"/>
      <c r="D153" s="83"/>
      <c r="E153" s="83"/>
      <c r="F153" s="165"/>
      <c r="G153" s="165"/>
      <c r="H153" s="52"/>
      <c r="I153" s="170"/>
      <c r="J153" s="171"/>
      <c r="K153" s="170"/>
      <c r="L153" s="171"/>
      <c r="M153" s="170"/>
      <c r="N153" s="171"/>
      <c r="O153" s="83"/>
      <c r="P153" s="83"/>
    </row>
    <row r="154">
      <c r="A154" s="164"/>
      <c r="B154" s="45"/>
      <c r="C154" s="83"/>
      <c r="D154" s="83"/>
      <c r="E154" s="83"/>
      <c r="F154" s="165"/>
      <c r="G154" s="165"/>
      <c r="H154" s="52"/>
      <c r="I154" s="170"/>
      <c r="J154" s="171"/>
      <c r="K154" s="170"/>
      <c r="L154" s="171"/>
      <c r="M154" s="170"/>
      <c r="N154" s="171"/>
      <c r="O154" s="83"/>
      <c r="P154" s="83"/>
    </row>
    <row r="155">
      <c r="A155" s="164"/>
      <c r="B155" s="45"/>
      <c r="C155" s="83"/>
      <c r="D155" s="83"/>
      <c r="E155" s="83"/>
      <c r="F155" s="165"/>
      <c r="G155" s="165"/>
      <c r="H155" s="52"/>
      <c r="I155" s="170"/>
      <c r="J155" s="171"/>
      <c r="K155" s="170"/>
      <c r="L155" s="171"/>
      <c r="M155" s="170"/>
      <c r="N155" s="171"/>
      <c r="O155" s="83"/>
      <c r="P155" s="83"/>
    </row>
    <row r="156">
      <c r="A156" s="164"/>
      <c r="B156" s="45"/>
      <c r="C156" s="83"/>
      <c r="D156" s="83"/>
      <c r="E156" s="83"/>
      <c r="F156" s="165"/>
      <c r="G156" s="165"/>
      <c r="H156" s="52"/>
      <c r="I156" s="170"/>
      <c r="J156" s="171"/>
      <c r="K156" s="170"/>
      <c r="L156" s="171"/>
      <c r="M156" s="170"/>
      <c r="N156" s="171"/>
      <c r="O156" s="83"/>
      <c r="P156" s="83"/>
    </row>
    <row r="157">
      <c r="A157" s="164"/>
      <c r="B157" s="45"/>
      <c r="C157" s="83"/>
      <c r="D157" s="83"/>
      <c r="E157" s="83"/>
      <c r="F157" s="165"/>
      <c r="G157" s="165"/>
      <c r="H157" s="52"/>
      <c r="I157" s="170"/>
      <c r="J157" s="171"/>
      <c r="K157" s="170"/>
      <c r="L157" s="171"/>
      <c r="M157" s="170"/>
      <c r="N157" s="171"/>
      <c r="O157" s="83"/>
      <c r="P157" s="83"/>
    </row>
    <row r="158">
      <c r="A158" s="164"/>
      <c r="B158" s="45"/>
      <c r="C158" s="83"/>
      <c r="D158" s="83"/>
      <c r="E158" s="83"/>
      <c r="F158" s="165"/>
      <c r="G158" s="165"/>
      <c r="H158" s="52"/>
      <c r="I158" s="170"/>
      <c r="J158" s="171"/>
      <c r="K158" s="170"/>
      <c r="L158" s="171"/>
      <c r="M158" s="170"/>
      <c r="N158" s="171"/>
      <c r="O158" s="83"/>
      <c r="P158" s="83"/>
    </row>
    <row r="159">
      <c r="A159" s="164"/>
      <c r="B159" s="45"/>
      <c r="C159" s="83"/>
      <c r="D159" s="83"/>
      <c r="E159" s="83"/>
      <c r="F159" s="165"/>
      <c r="G159" s="165"/>
      <c r="H159" s="52"/>
      <c r="I159" s="170"/>
      <c r="J159" s="171"/>
      <c r="K159" s="170"/>
      <c r="L159" s="171"/>
      <c r="M159" s="170"/>
      <c r="N159" s="171"/>
      <c r="O159" s="83"/>
      <c r="P159" s="83"/>
    </row>
    <row r="160">
      <c r="A160" s="164"/>
      <c r="B160" s="45"/>
      <c r="C160" s="83"/>
      <c r="D160" s="83"/>
      <c r="E160" s="83"/>
      <c r="F160" s="165"/>
      <c r="G160" s="165"/>
      <c r="H160" s="52"/>
      <c r="I160" s="170"/>
      <c r="J160" s="171"/>
      <c r="K160" s="170"/>
      <c r="L160" s="171"/>
      <c r="M160" s="170"/>
      <c r="N160" s="171"/>
      <c r="O160" s="83"/>
      <c r="P160" s="83"/>
    </row>
    <row r="161">
      <c r="A161" s="164"/>
      <c r="B161" s="45"/>
      <c r="C161" s="83"/>
      <c r="D161" s="83"/>
      <c r="E161" s="83"/>
      <c r="F161" s="165"/>
      <c r="G161" s="165"/>
      <c r="H161" s="52"/>
      <c r="I161" s="170"/>
      <c r="J161" s="171"/>
      <c r="K161" s="170"/>
      <c r="L161" s="171"/>
      <c r="M161" s="170"/>
      <c r="N161" s="171"/>
      <c r="O161" s="83"/>
      <c r="P161" s="83"/>
    </row>
    <row r="162">
      <c r="A162" s="164"/>
      <c r="B162" s="45"/>
      <c r="C162" s="83"/>
      <c r="D162" s="83"/>
      <c r="E162" s="83"/>
      <c r="F162" s="165"/>
      <c r="G162" s="165"/>
      <c r="H162" s="52"/>
      <c r="I162" s="170"/>
      <c r="J162" s="171"/>
      <c r="K162" s="170"/>
      <c r="L162" s="171"/>
      <c r="M162" s="170"/>
      <c r="N162" s="171"/>
      <c r="O162" s="83"/>
      <c r="P162" s="83"/>
    </row>
    <row r="163">
      <c r="A163" s="164"/>
      <c r="B163" s="45"/>
      <c r="C163" s="83"/>
      <c r="D163" s="83"/>
      <c r="E163" s="83"/>
      <c r="F163" s="165"/>
      <c r="G163" s="165"/>
      <c r="H163" s="52"/>
      <c r="I163" s="170"/>
      <c r="J163" s="171"/>
      <c r="K163" s="170"/>
      <c r="L163" s="171"/>
      <c r="M163" s="170"/>
      <c r="N163" s="171"/>
      <c r="O163" s="83"/>
      <c r="P163" s="83"/>
    </row>
    <row r="164">
      <c r="A164" s="164"/>
      <c r="B164" s="45"/>
      <c r="C164" s="83"/>
      <c r="D164" s="83"/>
      <c r="E164" s="83"/>
      <c r="F164" s="165"/>
      <c r="G164" s="165"/>
      <c r="H164" s="52"/>
      <c r="I164" s="170"/>
      <c r="J164" s="171"/>
      <c r="K164" s="170"/>
      <c r="L164" s="171"/>
      <c r="M164" s="170"/>
      <c r="N164" s="171"/>
      <c r="O164" s="83"/>
      <c r="P164" s="83"/>
    </row>
    <row r="165">
      <c r="A165" s="164"/>
      <c r="B165" s="45"/>
      <c r="C165" s="83"/>
      <c r="D165" s="83"/>
      <c r="E165" s="83"/>
      <c r="F165" s="165"/>
      <c r="G165" s="165"/>
      <c r="H165" s="52"/>
      <c r="I165" s="170"/>
      <c r="J165" s="171"/>
      <c r="K165" s="170"/>
      <c r="L165" s="171"/>
      <c r="M165" s="170"/>
      <c r="N165" s="171"/>
      <c r="O165" s="83"/>
      <c r="P165" s="83"/>
    </row>
    <row r="166">
      <c r="A166" s="164"/>
      <c r="B166" s="45"/>
      <c r="C166" s="83"/>
      <c r="D166" s="83"/>
      <c r="E166" s="83"/>
      <c r="F166" s="165"/>
      <c r="G166" s="165"/>
      <c r="H166" s="52"/>
      <c r="I166" s="170"/>
      <c r="J166" s="171"/>
      <c r="K166" s="170"/>
      <c r="L166" s="171"/>
      <c r="M166" s="170"/>
      <c r="N166" s="171"/>
      <c r="O166" s="83"/>
      <c r="P166" s="83"/>
    </row>
    <row r="167">
      <c r="A167" s="164"/>
      <c r="B167" s="45"/>
      <c r="C167" s="83"/>
      <c r="D167" s="83"/>
      <c r="E167" s="83"/>
      <c r="F167" s="165"/>
      <c r="G167" s="165"/>
      <c r="H167" s="52"/>
      <c r="I167" s="170"/>
      <c r="J167" s="171"/>
      <c r="K167" s="170"/>
      <c r="L167" s="171"/>
      <c r="M167" s="170"/>
      <c r="N167" s="171"/>
      <c r="O167" s="83"/>
      <c r="P167" s="83"/>
    </row>
    <row r="168">
      <c r="A168" s="164"/>
      <c r="B168" s="45"/>
      <c r="C168" s="83"/>
      <c r="D168" s="83"/>
      <c r="E168" s="83"/>
      <c r="F168" s="165"/>
      <c r="G168" s="165"/>
      <c r="H168" s="52"/>
      <c r="I168" s="170"/>
      <c r="J168" s="171"/>
      <c r="K168" s="170"/>
      <c r="L168" s="171"/>
      <c r="M168" s="170"/>
      <c r="N168" s="171"/>
      <c r="O168" s="83"/>
      <c r="P168" s="83"/>
    </row>
    <row r="169">
      <c r="A169" s="164"/>
      <c r="B169" s="45"/>
      <c r="C169" s="83"/>
      <c r="D169" s="83"/>
      <c r="E169" s="83"/>
      <c r="F169" s="165"/>
      <c r="G169" s="165"/>
      <c r="H169" s="52"/>
      <c r="I169" s="170"/>
      <c r="J169" s="171"/>
      <c r="K169" s="170"/>
      <c r="L169" s="171"/>
      <c r="M169" s="170"/>
      <c r="N169" s="171"/>
      <c r="O169" s="83"/>
      <c r="P169" s="83"/>
    </row>
    <row r="170">
      <c r="A170" s="164"/>
      <c r="B170" s="45"/>
      <c r="C170" s="83"/>
      <c r="D170" s="83"/>
      <c r="E170" s="83"/>
      <c r="F170" s="165"/>
      <c r="G170" s="165"/>
      <c r="H170" s="52"/>
      <c r="I170" s="170"/>
      <c r="J170" s="171"/>
      <c r="K170" s="170"/>
      <c r="L170" s="171"/>
      <c r="M170" s="170"/>
      <c r="N170" s="171"/>
      <c r="O170" s="83"/>
      <c r="P170" s="83"/>
    </row>
    <row r="171">
      <c r="A171" s="164"/>
      <c r="B171" s="45"/>
      <c r="C171" s="83"/>
      <c r="D171" s="83"/>
      <c r="E171" s="83"/>
      <c r="F171" s="165"/>
      <c r="G171" s="165"/>
      <c r="H171" s="52"/>
      <c r="I171" s="170"/>
      <c r="J171" s="171"/>
      <c r="K171" s="170"/>
      <c r="L171" s="171"/>
      <c r="M171" s="170"/>
      <c r="N171" s="171"/>
      <c r="O171" s="83"/>
      <c r="P171" s="83"/>
    </row>
    <row r="172">
      <c r="A172" s="164"/>
      <c r="B172" s="45"/>
      <c r="C172" s="83"/>
      <c r="D172" s="83"/>
      <c r="E172" s="83"/>
      <c r="F172" s="165"/>
      <c r="G172" s="165"/>
      <c r="H172" s="52"/>
      <c r="I172" s="170"/>
      <c r="J172" s="171"/>
      <c r="K172" s="170"/>
      <c r="L172" s="171"/>
      <c r="M172" s="170"/>
      <c r="N172" s="171"/>
      <c r="O172" s="83"/>
      <c r="P172" s="83"/>
    </row>
    <row r="173">
      <c r="A173" s="164"/>
      <c r="B173" s="45"/>
      <c r="C173" s="83"/>
      <c r="D173" s="83"/>
      <c r="E173" s="83"/>
      <c r="F173" s="165"/>
      <c r="G173" s="165"/>
      <c r="H173" s="52"/>
      <c r="I173" s="170"/>
      <c r="J173" s="171"/>
      <c r="K173" s="170"/>
      <c r="L173" s="171"/>
      <c r="M173" s="170"/>
      <c r="N173" s="171"/>
      <c r="O173" s="83"/>
      <c r="P173" s="83"/>
    </row>
    <row r="174">
      <c r="A174" s="164"/>
      <c r="B174" s="45"/>
      <c r="C174" s="83"/>
      <c r="D174" s="83"/>
      <c r="E174" s="83"/>
      <c r="F174" s="165"/>
      <c r="G174" s="165"/>
      <c r="H174" s="52"/>
      <c r="I174" s="170"/>
      <c r="J174" s="171"/>
      <c r="K174" s="170"/>
      <c r="L174" s="171"/>
      <c r="M174" s="170"/>
      <c r="N174" s="171"/>
      <c r="O174" s="83"/>
      <c r="P174" s="83"/>
    </row>
    <row r="175">
      <c r="A175" s="164"/>
      <c r="B175" s="45"/>
      <c r="C175" s="83"/>
      <c r="D175" s="83"/>
      <c r="E175" s="83"/>
      <c r="F175" s="165"/>
      <c r="G175" s="165"/>
      <c r="H175" s="52"/>
      <c r="I175" s="170"/>
      <c r="J175" s="171"/>
      <c r="K175" s="170"/>
      <c r="L175" s="171"/>
      <c r="M175" s="170"/>
      <c r="N175" s="171"/>
      <c r="O175" s="83"/>
      <c r="P175" s="83"/>
    </row>
    <row r="176">
      <c r="A176" s="164"/>
      <c r="B176" s="45"/>
      <c r="C176" s="83"/>
      <c r="D176" s="83"/>
      <c r="E176" s="83"/>
      <c r="F176" s="165"/>
      <c r="G176" s="165"/>
      <c r="H176" s="52"/>
      <c r="I176" s="170"/>
      <c r="J176" s="171"/>
      <c r="K176" s="170"/>
      <c r="L176" s="171"/>
      <c r="M176" s="170"/>
      <c r="N176" s="171"/>
      <c r="O176" s="83"/>
      <c r="P176" s="83"/>
    </row>
    <row r="177">
      <c r="A177" s="164"/>
      <c r="B177" s="45"/>
      <c r="C177" s="83"/>
      <c r="D177" s="83"/>
      <c r="E177" s="83"/>
      <c r="F177" s="165"/>
      <c r="G177" s="165"/>
      <c r="H177" s="52"/>
      <c r="I177" s="170"/>
      <c r="J177" s="171"/>
      <c r="K177" s="170"/>
      <c r="L177" s="171"/>
      <c r="M177" s="170"/>
      <c r="N177" s="171"/>
      <c r="O177" s="83"/>
      <c r="P177" s="83"/>
    </row>
    <row r="178">
      <c r="A178" s="164"/>
      <c r="B178" s="45"/>
      <c r="C178" s="83"/>
      <c r="D178" s="83"/>
      <c r="E178" s="83"/>
      <c r="F178" s="165"/>
      <c r="G178" s="165"/>
      <c r="H178" s="52"/>
      <c r="I178" s="170"/>
      <c r="J178" s="171"/>
      <c r="K178" s="170"/>
      <c r="L178" s="171"/>
      <c r="M178" s="170"/>
      <c r="N178" s="171"/>
      <c r="O178" s="83"/>
      <c r="P178" s="83"/>
    </row>
    <row r="179">
      <c r="A179" s="164"/>
      <c r="B179" s="45"/>
      <c r="C179" s="83"/>
      <c r="D179" s="83"/>
      <c r="E179" s="83"/>
      <c r="F179" s="165"/>
      <c r="G179" s="165"/>
      <c r="H179" s="52"/>
      <c r="I179" s="170"/>
      <c r="J179" s="171"/>
      <c r="K179" s="170"/>
      <c r="L179" s="171"/>
      <c r="M179" s="170"/>
      <c r="N179" s="171"/>
      <c r="O179" s="83"/>
      <c r="P179" s="83"/>
    </row>
    <row r="180">
      <c r="A180" s="164"/>
      <c r="B180" s="45"/>
      <c r="C180" s="83"/>
      <c r="D180" s="83"/>
      <c r="E180" s="83"/>
      <c r="F180" s="165"/>
      <c r="G180" s="165"/>
      <c r="H180" s="52"/>
      <c r="I180" s="170"/>
      <c r="J180" s="171"/>
      <c r="K180" s="170"/>
      <c r="L180" s="171"/>
      <c r="M180" s="170"/>
      <c r="N180" s="171"/>
      <c r="O180" s="83"/>
      <c r="P180" s="83"/>
    </row>
    <row r="181">
      <c r="A181" s="164"/>
      <c r="B181" s="45"/>
      <c r="C181" s="83"/>
      <c r="D181" s="83"/>
      <c r="E181" s="83"/>
      <c r="F181" s="165"/>
      <c r="G181" s="165"/>
      <c r="H181" s="52"/>
      <c r="I181" s="170"/>
      <c r="J181" s="171"/>
      <c r="K181" s="170"/>
      <c r="L181" s="171"/>
      <c r="M181" s="170"/>
      <c r="N181" s="171"/>
      <c r="O181" s="83"/>
      <c r="P181" s="83"/>
    </row>
    <row r="182">
      <c r="A182" s="164"/>
      <c r="B182" s="45"/>
      <c r="C182" s="83"/>
      <c r="D182" s="83"/>
      <c r="E182" s="83"/>
      <c r="F182" s="165"/>
      <c r="G182" s="165"/>
      <c r="H182" s="52"/>
      <c r="I182" s="170"/>
      <c r="J182" s="171"/>
      <c r="K182" s="170"/>
      <c r="L182" s="171"/>
      <c r="M182" s="170"/>
      <c r="N182" s="171"/>
      <c r="O182" s="83"/>
      <c r="P182" s="83"/>
    </row>
    <row r="183">
      <c r="A183" s="164"/>
      <c r="B183" s="45"/>
      <c r="C183" s="83"/>
      <c r="D183" s="83"/>
      <c r="E183" s="83"/>
      <c r="F183" s="165"/>
      <c r="G183" s="165"/>
      <c r="H183" s="52"/>
      <c r="I183" s="170"/>
      <c r="J183" s="171"/>
      <c r="K183" s="170"/>
      <c r="L183" s="171"/>
      <c r="M183" s="170"/>
      <c r="N183" s="171"/>
      <c r="O183" s="83"/>
      <c r="P183" s="83"/>
    </row>
    <row r="184">
      <c r="A184" s="164"/>
      <c r="B184" s="45"/>
      <c r="C184" s="83"/>
      <c r="D184" s="83"/>
      <c r="E184" s="83"/>
      <c r="F184" s="165"/>
      <c r="G184" s="165"/>
      <c r="H184" s="52"/>
      <c r="I184" s="170"/>
      <c r="J184" s="171"/>
      <c r="K184" s="170"/>
      <c r="L184" s="171"/>
      <c r="M184" s="170"/>
      <c r="N184" s="171"/>
      <c r="O184" s="83"/>
      <c r="P184" s="83"/>
    </row>
    <row r="185">
      <c r="A185" s="164"/>
      <c r="B185" s="45"/>
      <c r="C185" s="83"/>
      <c r="D185" s="83"/>
      <c r="E185" s="83"/>
      <c r="F185" s="165"/>
      <c r="G185" s="165"/>
      <c r="H185" s="52"/>
      <c r="I185" s="170"/>
      <c r="J185" s="171"/>
      <c r="K185" s="170"/>
      <c r="L185" s="171"/>
      <c r="M185" s="170"/>
      <c r="N185" s="171"/>
      <c r="O185" s="83"/>
      <c r="P185" s="83"/>
    </row>
    <row r="186">
      <c r="A186" s="164"/>
      <c r="B186" s="45"/>
      <c r="C186" s="83"/>
      <c r="D186" s="83"/>
      <c r="E186" s="83"/>
      <c r="F186" s="165"/>
      <c r="G186" s="165"/>
      <c r="H186" s="52"/>
      <c r="I186" s="170"/>
      <c r="J186" s="171"/>
      <c r="K186" s="170"/>
      <c r="L186" s="171"/>
      <c r="M186" s="170"/>
      <c r="N186" s="171"/>
      <c r="O186" s="83"/>
      <c r="P186" s="83"/>
    </row>
    <row r="187">
      <c r="A187" s="164"/>
      <c r="B187" s="45"/>
      <c r="C187" s="83"/>
      <c r="D187" s="83"/>
      <c r="E187" s="83"/>
      <c r="F187" s="165"/>
      <c r="G187" s="165"/>
      <c r="H187" s="52"/>
      <c r="I187" s="170"/>
      <c r="J187" s="171"/>
      <c r="K187" s="170"/>
      <c r="L187" s="171"/>
      <c r="M187" s="170"/>
      <c r="N187" s="171"/>
      <c r="O187" s="83"/>
      <c r="P187" s="83"/>
    </row>
    <row r="188">
      <c r="A188" s="164"/>
      <c r="B188" s="45"/>
      <c r="C188" s="83"/>
      <c r="D188" s="83"/>
      <c r="E188" s="83"/>
      <c r="F188" s="165"/>
      <c r="G188" s="165"/>
      <c r="H188" s="52"/>
      <c r="I188" s="170"/>
      <c r="J188" s="171"/>
      <c r="K188" s="170"/>
      <c r="L188" s="171"/>
      <c r="M188" s="170"/>
      <c r="N188" s="171"/>
      <c r="O188" s="83"/>
      <c r="P188" s="83"/>
    </row>
    <row r="189">
      <c r="A189" s="164"/>
      <c r="B189" s="45"/>
      <c r="C189" s="83"/>
      <c r="D189" s="83"/>
      <c r="E189" s="83"/>
      <c r="F189" s="165"/>
      <c r="G189" s="165"/>
      <c r="H189" s="52"/>
      <c r="I189" s="170"/>
      <c r="J189" s="171"/>
      <c r="K189" s="170"/>
      <c r="L189" s="171"/>
      <c r="M189" s="170"/>
      <c r="N189" s="171"/>
      <c r="O189" s="83"/>
      <c r="P189" s="83"/>
    </row>
    <row r="190">
      <c r="A190" s="164"/>
      <c r="B190" s="45"/>
      <c r="C190" s="83"/>
      <c r="D190" s="83"/>
      <c r="E190" s="83"/>
      <c r="F190" s="165"/>
      <c r="G190" s="165"/>
      <c r="H190" s="52"/>
      <c r="I190" s="170"/>
      <c r="J190" s="171"/>
      <c r="K190" s="170"/>
      <c r="L190" s="171"/>
      <c r="M190" s="170"/>
      <c r="N190" s="171"/>
      <c r="O190" s="83"/>
      <c r="P190" s="83"/>
    </row>
    <row r="191">
      <c r="A191" s="164"/>
      <c r="B191" s="45"/>
      <c r="C191" s="83"/>
      <c r="D191" s="83"/>
      <c r="E191" s="83"/>
      <c r="F191" s="165"/>
      <c r="G191" s="165"/>
      <c r="H191" s="52"/>
      <c r="I191" s="170"/>
      <c r="J191" s="171"/>
      <c r="K191" s="170"/>
      <c r="L191" s="171"/>
      <c r="M191" s="170"/>
      <c r="N191" s="171"/>
      <c r="O191" s="83"/>
      <c r="P191" s="83"/>
    </row>
    <row r="192">
      <c r="A192" s="164"/>
      <c r="B192" s="45"/>
      <c r="C192" s="83"/>
      <c r="D192" s="83"/>
      <c r="E192" s="83"/>
      <c r="F192" s="165"/>
      <c r="G192" s="165"/>
      <c r="H192" s="52"/>
      <c r="I192" s="170"/>
      <c r="J192" s="171"/>
      <c r="K192" s="170"/>
      <c r="L192" s="171"/>
      <c r="M192" s="170"/>
      <c r="N192" s="171"/>
      <c r="O192" s="83"/>
      <c r="P192" s="83"/>
    </row>
    <row r="193">
      <c r="A193" s="164"/>
      <c r="B193" s="45"/>
      <c r="C193" s="83"/>
      <c r="D193" s="83"/>
      <c r="E193" s="83"/>
      <c r="F193" s="165"/>
      <c r="G193" s="165"/>
      <c r="H193" s="52"/>
      <c r="I193" s="170"/>
      <c r="J193" s="171"/>
      <c r="K193" s="170"/>
      <c r="L193" s="171"/>
      <c r="M193" s="170"/>
      <c r="N193" s="171"/>
      <c r="O193" s="83"/>
      <c r="P193" s="83"/>
    </row>
    <row r="194">
      <c r="A194" s="164"/>
      <c r="B194" s="45"/>
      <c r="C194" s="83"/>
      <c r="D194" s="83"/>
      <c r="E194" s="83"/>
      <c r="F194" s="165"/>
      <c r="G194" s="165"/>
      <c r="H194" s="52"/>
      <c r="I194" s="170"/>
      <c r="J194" s="171"/>
      <c r="K194" s="170"/>
      <c r="L194" s="171"/>
      <c r="M194" s="170"/>
      <c r="N194" s="171"/>
      <c r="O194" s="83"/>
      <c r="P194" s="83"/>
    </row>
    <row r="195">
      <c r="A195" s="164"/>
      <c r="B195" s="45"/>
      <c r="C195" s="83"/>
      <c r="D195" s="83"/>
      <c r="E195" s="83"/>
      <c r="F195" s="165"/>
      <c r="G195" s="165"/>
      <c r="H195" s="52"/>
      <c r="I195" s="170"/>
      <c r="J195" s="171"/>
      <c r="K195" s="170"/>
      <c r="L195" s="171"/>
      <c r="M195" s="170"/>
      <c r="N195" s="171"/>
      <c r="O195" s="83"/>
      <c r="P195" s="83"/>
    </row>
    <row r="196">
      <c r="A196" s="164"/>
      <c r="B196" s="45"/>
      <c r="C196" s="83"/>
      <c r="D196" s="83"/>
      <c r="E196" s="83"/>
      <c r="F196" s="165"/>
      <c r="G196" s="165"/>
      <c r="H196" s="52"/>
      <c r="I196" s="170"/>
      <c r="J196" s="171"/>
      <c r="K196" s="170"/>
      <c r="L196" s="171"/>
      <c r="M196" s="170"/>
      <c r="N196" s="171"/>
      <c r="O196" s="83"/>
      <c r="P196" s="83"/>
    </row>
    <row r="197">
      <c r="A197" s="164"/>
      <c r="B197" s="45"/>
      <c r="C197" s="83"/>
      <c r="D197" s="83"/>
      <c r="E197" s="83"/>
      <c r="F197" s="165"/>
      <c r="G197" s="165"/>
      <c r="H197" s="52"/>
      <c r="I197" s="170"/>
      <c r="J197" s="171"/>
      <c r="K197" s="170"/>
      <c r="L197" s="171"/>
      <c r="M197" s="170"/>
      <c r="N197" s="171"/>
      <c r="O197" s="83"/>
      <c r="P197" s="83"/>
    </row>
    <row r="198">
      <c r="A198" s="164"/>
      <c r="B198" s="45"/>
      <c r="C198" s="83"/>
      <c r="D198" s="83"/>
      <c r="E198" s="83"/>
      <c r="F198" s="165"/>
      <c r="G198" s="165"/>
      <c r="H198" s="52"/>
      <c r="I198" s="170"/>
      <c r="J198" s="171"/>
      <c r="K198" s="170"/>
      <c r="L198" s="171"/>
      <c r="M198" s="170"/>
      <c r="N198" s="171"/>
      <c r="O198" s="83"/>
      <c r="P198" s="83"/>
    </row>
    <row r="199">
      <c r="A199" s="164"/>
      <c r="B199" s="45"/>
      <c r="C199" s="83"/>
      <c r="D199" s="83"/>
      <c r="E199" s="83"/>
      <c r="F199" s="165"/>
      <c r="G199" s="165"/>
      <c r="H199" s="52"/>
      <c r="I199" s="170"/>
      <c r="J199" s="171"/>
      <c r="K199" s="170"/>
      <c r="L199" s="171"/>
      <c r="M199" s="170"/>
      <c r="N199" s="171"/>
      <c r="O199" s="83"/>
      <c r="P199" s="83"/>
    </row>
    <row r="200">
      <c r="A200" s="164"/>
      <c r="B200" s="45"/>
      <c r="C200" s="83"/>
      <c r="D200" s="83"/>
      <c r="E200" s="83"/>
      <c r="F200" s="165"/>
      <c r="G200" s="165"/>
      <c r="H200" s="52"/>
      <c r="I200" s="170"/>
      <c r="J200" s="171"/>
      <c r="K200" s="170"/>
      <c r="L200" s="171"/>
      <c r="M200" s="170"/>
      <c r="N200" s="171"/>
      <c r="O200" s="83"/>
      <c r="P200" s="83"/>
    </row>
    <row r="201">
      <c r="A201" s="164"/>
      <c r="B201" s="45"/>
      <c r="C201" s="83"/>
      <c r="D201" s="83"/>
      <c r="E201" s="83"/>
      <c r="F201" s="165"/>
      <c r="G201" s="165"/>
      <c r="H201" s="52"/>
      <c r="I201" s="170"/>
      <c r="J201" s="171"/>
      <c r="K201" s="170"/>
      <c r="L201" s="171"/>
      <c r="M201" s="170"/>
      <c r="N201" s="171"/>
      <c r="O201" s="83"/>
      <c r="P201" s="83"/>
    </row>
    <row r="202">
      <c r="A202" s="164"/>
      <c r="B202" s="45"/>
      <c r="C202" s="83"/>
      <c r="D202" s="83"/>
      <c r="E202" s="83"/>
      <c r="F202" s="165"/>
      <c r="G202" s="165"/>
      <c r="H202" s="52"/>
      <c r="I202" s="170"/>
      <c r="J202" s="171"/>
      <c r="K202" s="170"/>
      <c r="L202" s="171"/>
      <c r="M202" s="170"/>
      <c r="N202" s="171"/>
      <c r="O202" s="83"/>
      <c r="P202" s="83"/>
    </row>
    <row r="203">
      <c r="A203" s="164"/>
      <c r="B203" s="45"/>
      <c r="C203" s="83"/>
      <c r="D203" s="83"/>
      <c r="E203" s="83"/>
      <c r="F203" s="165"/>
      <c r="G203" s="165"/>
      <c r="H203" s="52"/>
      <c r="I203" s="170"/>
      <c r="J203" s="171"/>
      <c r="K203" s="170"/>
      <c r="L203" s="171"/>
      <c r="M203" s="170"/>
      <c r="N203" s="171"/>
      <c r="O203" s="83"/>
      <c r="P203" s="83"/>
    </row>
    <row r="204">
      <c r="A204" s="164"/>
      <c r="B204" s="45"/>
      <c r="C204" s="83"/>
      <c r="D204" s="83"/>
      <c r="E204" s="83"/>
      <c r="F204" s="165"/>
      <c r="G204" s="165"/>
      <c r="H204" s="52"/>
      <c r="I204" s="170"/>
      <c r="J204" s="171"/>
      <c r="K204" s="170"/>
      <c r="L204" s="171"/>
      <c r="M204" s="170"/>
      <c r="N204" s="171"/>
      <c r="O204" s="83"/>
      <c r="P204" s="83"/>
    </row>
    <row r="205">
      <c r="A205" s="164"/>
      <c r="B205" s="45"/>
      <c r="C205" s="83"/>
      <c r="D205" s="83"/>
      <c r="E205" s="83"/>
      <c r="F205" s="165"/>
      <c r="G205" s="165"/>
      <c r="H205" s="52"/>
      <c r="I205" s="170"/>
      <c r="J205" s="171"/>
      <c r="K205" s="170"/>
      <c r="L205" s="171"/>
      <c r="M205" s="170"/>
      <c r="N205" s="171"/>
      <c r="O205" s="83"/>
      <c r="P205" s="83"/>
    </row>
    <row r="206">
      <c r="A206" s="164"/>
      <c r="B206" s="45"/>
      <c r="C206" s="83"/>
      <c r="D206" s="83"/>
      <c r="E206" s="83"/>
      <c r="F206" s="165"/>
      <c r="G206" s="165"/>
      <c r="H206" s="52"/>
      <c r="I206" s="170"/>
      <c r="J206" s="171"/>
      <c r="K206" s="170"/>
      <c r="L206" s="171"/>
      <c r="M206" s="170"/>
      <c r="N206" s="171"/>
      <c r="O206" s="83"/>
      <c r="P206" s="83"/>
    </row>
    <row r="207">
      <c r="A207" s="164"/>
      <c r="B207" s="45"/>
      <c r="C207" s="83"/>
      <c r="D207" s="83"/>
      <c r="E207" s="83"/>
      <c r="F207" s="165"/>
      <c r="G207" s="165"/>
      <c r="H207" s="52"/>
      <c r="I207" s="170"/>
      <c r="J207" s="171"/>
      <c r="K207" s="170"/>
      <c r="L207" s="171"/>
      <c r="M207" s="170"/>
      <c r="N207" s="171"/>
      <c r="O207" s="83"/>
      <c r="P207" s="83"/>
    </row>
    <row r="208">
      <c r="A208" s="164"/>
      <c r="B208" s="45"/>
      <c r="C208" s="83"/>
      <c r="D208" s="83"/>
      <c r="E208" s="83"/>
      <c r="F208" s="165"/>
      <c r="G208" s="165"/>
      <c r="H208" s="52"/>
      <c r="I208" s="170"/>
      <c r="J208" s="171"/>
      <c r="K208" s="170"/>
      <c r="L208" s="171"/>
      <c r="M208" s="170"/>
      <c r="N208" s="171"/>
      <c r="O208" s="83"/>
      <c r="P208" s="83"/>
    </row>
    <row r="209">
      <c r="A209" s="164"/>
      <c r="B209" s="45"/>
      <c r="C209" s="83"/>
      <c r="D209" s="83"/>
      <c r="E209" s="83"/>
      <c r="F209" s="165"/>
      <c r="G209" s="165"/>
      <c r="H209" s="52"/>
      <c r="I209" s="170"/>
      <c r="J209" s="171"/>
      <c r="K209" s="170"/>
      <c r="L209" s="171"/>
      <c r="M209" s="170"/>
      <c r="N209" s="171"/>
      <c r="O209" s="83"/>
      <c r="P209" s="83"/>
    </row>
    <row r="210">
      <c r="A210" s="164"/>
      <c r="B210" s="45"/>
      <c r="C210" s="83"/>
      <c r="D210" s="83"/>
      <c r="E210" s="83"/>
      <c r="F210" s="165"/>
      <c r="G210" s="165"/>
      <c r="H210" s="52"/>
      <c r="I210" s="170"/>
      <c r="J210" s="171"/>
      <c r="K210" s="170"/>
      <c r="L210" s="171"/>
      <c r="M210" s="170"/>
      <c r="N210" s="171"/>
      <c r="O210" s="83"/>
      <c r="P210" s="83"/>
    </row>
    <row r="211">
      <c r="A211" s="164"/>
      <c r="B211" s="45"/>
      <c r="C211" s="83"/>
      <c r="D211" s="83"/>
      <c r="E211" s="83"/>
      <c r="F211" s="165"/>
      <c r="G211" s="165"/>
      <c r="H211" s="52"/>
      <c r="I211" s="170"/>
      <c r="J211" s="171"/>
      <c r="K211" s="170"/>
      <c r="L211" s="171"/>
      <c r="M211" s="170"/>
      <c r="N211" s="171"/>
      <c r="O211" s="83"/>
      <c r="P211" s="83"/>
    </row>
    <row r="212">
      <c r="A212" s="164"/>
      <c r="B212" s="45"/>
      <c r="C212" s="83"/>
      <c r="D212" s="83"/>
      <c r="E212" s="83"/>
      <c r="F212" s="165"/>
      <c r="G212" s="165"/>
      <c r="H212" s="52"/>
      <c r="I212" s="170"/>
      <c r="J212" s="171"/>
      <c r="K212" s="170"/>
      <c r="L212" s="171"/>
      <c r="M212" s="170"/>
      <c r="N212" s="171"/>
      <c r="O212" s="83"/>
      <c r="P212" s="83"/>
    </row>
    <row r="213">
      <c r="A213" s="164"/>
      <c r="B213" s="45"/>
      <c r="C213" s="83"/>
      <c r="D213" s="83"/>
      <c r="E213" s="83"/>
      <c r="F213" s="165"/>
      <c r="G213" s="165"/>
      <c r="H213" s="52"/>
      <c r="I213" s="170"/>
      <c r="J213" s="171"/>
      <c r="K213" s="170"/>
      <c r="L213" s="171"/>
      <c r="M213" s="170"/>
      <c r="N213" s="171"/>
      <c r="O213" s="83"/>
      <c r="P213" s="83"/>
    </row>
    <row r="214">
      <c r="A214" s="164"/>
      <c r="B214" s="45"/>
      <c r="C214" s="83"/>
      <c r="D214" s="83"/>
      <c r="E214" s="83"/>
      <c r="F214" s="165"/>
      <c r="G214" s="165"/>
      <c r="H214" s="52"/>
      <c r="I214" s="170"/>
      <c r="J214" s="171"/>
      <c r="K214" s="170"/>
      <c r="L214" s="171"/>
      <c r="M214" s="170"/>
      <c r="N214" s="171"/>
      <c r="O214" s="83"/>
      <c r="P214" s="83"/>
    </row>
    <row r="215">
      <c r="A215" s="164"/>
      <c r="B215" s="45"/>
      <c r="C215" s="83"/>
      <c r="D215" s="83"/>
      <c r="E215" s="83"/>
      <c r="F215" s="165"/>
      <c r="G215" s="165"/>
      <c r="H215" s="52"/>
      <c r="I215" s="170"/>
      <c r="J215" s="171"/>
      <c r="K215" s="170"/>
      <c r="L215" s="171"/>
      <c r="M215" s="170"/>
      <c r="N215" s="171"/>
      <c r="O215" s="83"/>
      <c r="P215" s="83"/>
    </row>
    <row r="216">
      <c r="A216" s="164"/>
      <c r="B216" s="45"/>
      <c r="C216" s="83"/>
      <c r="D216" s="83"/>
      <c r="E216" s="83"/>
      <c r="F216" s="165"/>
      <c r="G216" s="165"/>
      <c r="H216" s="52"/>
      <c r="I216" s="170"/>
      <c r="J216" s="171"/>
      <c r="K216" s="170"/>
      <c r="L216" s="171"/>
      <c r="M216" s="170"/>
      <c r="N216" s="171"/>
      <c r="O216" s="83"/>
      <c r="P216" s="83"/>
    </row>
    <row r="217">
      <c r="A217" s="164"/>
      <c r="B217" s="45"/>
      <c r="C217" s="83"/>
      <c r="D217" s="83"/>
      <c r="E217" s="83"/>
      <c r="F217" s="165"/>
      <c r="G217" s="165"/>
      <c r="H217" s="52"/>
      <c r="I217" s="170"/>
      <c r="J217" s="171"/>
      <c r="K217" s="170"/>
      <c r="L217" s="171"/>
      <c r="M217" s="170"/>
      <c r="N217" s="171"/>
      <c r="O217" s="83"/>
      <c r="P217" s="83"/>
    </row>
    <row r="218">
      <c r="A218" s="164"/>
      <c r="B218" s="45"/>
      <c r="C218" s="83"/>
      <c r="D218" s="83"/>
      <c r="E218" s="83"/>
      <c r="F218" s="165"/>
      <c r="G218" s="165"/>
      <c r="H218" s="52"/>
      <c r="I218" s="170"/>
      <c r="J218" s="171"/>
      <c r="K218" s="170"/>
      <c r="L218" s="171"/>
      <c r="M218" s="170"/>
      <c r="N218" s="171"/>
      <c r="O218" s="83"/>
      <c r="P218" s="83"/>
    </row>
    <row r="219">
      <c r="A219" s="164"/>
      <c r="B219" s="45"/>
      <c r="C219" s="83"/>
      <c r="D219" s="83"/>
      <c r="E219" s="83"/>
      <c r="F219" s="165"/>
      <c r="G219" s="165"/>
      <c r="H219" s="52"/>
      <c r="I219" s="170"/>
      <c r="J219" s="171"/>
      <c r="K219" s="170"/>
      <c r="L219" s="171"/>
      <c r="M219" s="170"/>
      <c r="N219" s="171"/>
      <c r="O219" s="83"/>
      <c r="P219" s="83"/>
    </row>
    <row r="220">
      <c r="A220" s="164"/>
      <c r="B220" s="45"/>
      <c r="C220" s="83"/>
      <c r="D220" s="83"/>
      <c r="E220" s="83"/>
      <c r="F220" s="165"/>
      <c r="G220" s="165"/>
      <c r="H220" s="52"/>
      <c r="I220" s="170"/>
      <c r="J220" s="171"/>
      <c r="K220" s="170"/>
      <c r="L220" s="171"/>
      <c r="M220" s="170"/>
      <c r="N220" s="171"/>
      <c r="O220" s="83"/>
      <c r="P220" s="83"/>
    </row>
    <row r="221">
      <c r="A221" s="164"/>
      <c r="B221" s="45"/>
      <c r="C221" s="83"/>
      <c r="D221" s="83"/>
      <c r="E221" s="83"/>
      <c r="F221" s="165"/>
      <c r="G221" s="165"/>
      <c r="H221" s="52"/>
      <c r="I221" s="170"/>
      <c r="J221" s="171"/>
      <c r="K221" s="170"/>
      <c r="L221" s="171"/>
      <c r="M221" s="170"/>
      <c r="N221" s="171"/>
      <c r="O221" s="83"/>
      <c r="P221" s="83"/>
    </row>
    <row r="222">
      <c r="A222" s="164"/>
      <c r="B222" s="45"/>
      <c r="C222" s="83"/>
      <c r="D222" s="83"/>
      <c r="E222" s="83"/>
      <c r="F222" s="165"/>
      <c r="G222" s="165"/>
      <c r="H222" s="52"/>
      <c r="I222" s="170"/>
      <c r="J222" s="171"/>
      <c r="K222" s="170"/>
      <c r="L222" s="171"/>
      <c r="M222" s="170"/>
      <c r="N222" s="171"/>
      <c r="O222" s="83"/>
      <c r="P222" s="83"/>
    </row>
    <row r="223">
      <c r="A223" s="164"/>
      <c r="B223" s="45"/>
      <c r="C223" s="83"/>
      <c r="D223" s="83"/>
      <c r="E223" s="83"/>
      <c r="F223" s="165"/>
      <c r="G223" s="165"/>
      <c r="H223" s="52"/>
      <c r="I223" s="170"/>
      <c r="J223" s="171"/>
      <c r="K223" s="170"/>
      <c r="L223" s="171"/>
      <c r="M223" s="170"/>
      <c r="N223" s="171"/>
      <c r="O223" s="83"/>
      <c r="P223" s="83"/>
    </row>
    <row r="224">
      <c r="A224" s="164"/>
      <c r="B224" s="45"/>
      <c r="C224" s="83"/>
      <c r="D224" s="83"/>
      <c r="E224" s="83"/>
      <c r="F224" s="165"/>
      <c r="G224" s="165"/>
      <c r="H224" s="52"/>
      <c r="I224" s="170"/>
      <c r="J224" s="171"/>
      <c r="K224" s="170"/>
      <c r="L224" s="171"/>
      <c r="M224" s="170"/>
      <c r="N224" s="171"/>
      <c r="O224" s="83"/>
      <c r="P224" s="83"/>
    </row>
    <row r="225">
      <c r="A225" s="164"/>
      <c r="B225" s="45"/>
      <c r="C225" s="83"/>
      <c r="D225" s="83"/>
      <c r="E225" s="83"/>
      <c r="F225" s="165"/>
      <c r="G225" s="165"/>
      <c r="H225" s="52"/>
      <c r="I225" s="170"/>
      <c r="J225" s="171"/>
      <c r="K225" s="170"/>
      <c r="L225" s="171"/>
      <c r="M225" s="170"/>
      <c r="N225" s="171"/>
      <c r="O225" s="83"/>
      <c r="P225" s="83"/>
    </row>
    <row r="226">
      <c r="A226" s="164"/>
      <c r="B226" s="45"/>
      <c r="C226" s="83"/>
      <c r="D226" s="83"/>
      <c r="E226" s="83"/>
      <c r="F226" s="165"/>
      <c r="G226" s="165"/>
      <c r="H226" s="52"/>
      <c r="I226" s="170"/>
      <c r="J226" s="171"/>
      <c r="K226" s="170"/>
      <c r="L226" s="171"/>
      <c r="M226" s="170"/>
      <c r="N226" s="171"/>
      <c r="O226" s="83"/>
      <c r="P226" s="83"/>
    </row>
    <row r="227">
      <c r="A227" s="164"/>
      <c r="B227" s="45"/>
      <c r="C227" s="83"/>
      <c r="D227" s="83"/>
      <c r="E227" s="83"/>
      <c r="F227" s="165"/>
      <c r="G227" s="165"/>
      <c r="H227" s="52"/>
      <c r="I227" s="170"/>
      <c r="J227" s="171"/>
      <c r="K227" s="170"/>
      <c r="L227" s="171"/>
      <c r="M227" s="170"/>
      <c r="N227" s="171"/>
      <c r="O227" s="83"/>
      <c r="P227" s="83"/>
    </row>
    <row r="228">
      <c r="A228" s="164"/>
      <c r="B228" s="45"/>
      <c r="C228" s="83"/>
      <c r="D228" s="83"/>
      <c r="E228" s="83"/>
      <c r="F228" s="165"/>
      <c r="G228" s="165"/>
      <c r="H228" s="52"/>
      <c r="I228" s="170"/>
      <c r="J228" s="171"/>
      <c r="K228" s="170"/>
      <c r="L228" s="171"/>
      <c r="M228" s="170"/>
      <c r="N228" s="171"/>
      <c r="O228" s="83"/>
      <c r="P228" s="83"/>
    </row>
    <row r="229">
      <c r="A229" s="164"/>
      <c r="B229" s="45"/>
      <c r="C229" s="83"/>
      <c r="D229" s="83"/>
      <c r="E229" s="83"/>
      <c r="F229" s="165"/>
      <c r="G229" s="165"/>
      <c r="H229" s="52"/>
      <c r="I229" s="170"/>
      <c r="J229" s="171"/>
      <c r="K229" s="170"/>
      <c r="L229" s="171"/>
      <c r="M229" s="170"/>
      <c r="N229" s="171"/>
      <c r="O229" s="83"/>
      <c r="P229" s="83"/>
    </row>
    <row r="230">
      <c r="A230" s="164"/>
      <c r="B230" s="45"/>
      <c r="C230" s="83"/>
      <c r="D230" s="83"/>
      <c r="E230" s="83"/>
      <c r="F230" s="165"/>
      <c r="G230" s="165"/>
      <c r="H230" s="52"/>
      <c r="I230" s="170"/>
      <c r="J230" s="171"/>
      <c r="K230" s="170"/>
      <c r="L230" s="171"/>
      <c r="M230" s="170"/>
      <c r="N230" s="171"/>
      <c r="O230" s="83"/>
      <c r="P230" s="83"/>
    </row>
    <row r="231">
      <c r="A231" s="164"/>
      <c r="B231" s="45"/>
      <c r="C231" s="83"/>
      <c r="D231" s="83"/>
      <c r="E231" s="83"/>
      <c r="F231" s="165"/>
      <c r="G231" s="165"/>
      <c r="H231" s="52"/>
      <c r="I231" s="170"/>
      <c r="J231" s="171"/>
      <c r="K231" s="170"/>
      <c r="L231" s="171"/>
      <c r="M231" s="170"/>
      <c r="N231" s="171"/>
      <c r="O231" s="83"/>
      <c r="P231" s="83"/>
    </row>
    <row r="232">
      <c r="A232" s="164"/>
      <c r="B232" s="45"/>
      <c r="C232" s="83"/>
      <c r="D232" s="83"/>
      <c r="E232" s="83"/>
      <c r="F232" s="165"/>
      <c r="G232" s="165"/>
      <c r="H232" s="52"/>
      <c r="I232" s="170"/>
      <c r="J232" s="171"/>
      <c r="K232" s="170"/>
      <c r="L232" s="171"/>
      <c r="M232" s="170"/>
      <c r="N232" s="171"/>
      <c r="O232" s="83"/>
      <c r="P232" s="83"/>
    </row>
    <row r="233">
      <c r="A233" s="164"/>
      <c r="B233" s="45"/>
      <c r="C233" s="83"/>
      <c r="D233" s="83"/>
      <c r="E233" s="83"/>
      <c r="F233" s="165"/>
      <c r="G233" s="165"/>
      <c r="H233" s="52"/>
      <c r="I233" s="170"/>
      <c r="J233" s="171"/>
      <c r="K233" s="170"/>
      <c r="L233" s="171"/>
      <c r="M233" s="170"/>
      <c r="N233" s="171"/>
      <c r="O233" s="83"/>
      <c r="P233" s="83"/>
    </row>
    <row r="234">
      <c r="A234" s="164"/>
      <c r="B234" s="45"/>
      <c r="C234" s="83"/>
      <c r="D234" s="83"/>
      <c r="E234" s="83"/>
      <c r="F234" s="165"/>
      <c r="G234" s="165"/>
      <c r="H234" s="52"/>
      <c r="I234" s="170"/>
      <c r="J234" s="171"/>
      <c r="K234" s="170"/>
      <c r="L234" s="171"/>
      <c r="M234" s="170"/>
      <c r="N234" s="171"/>
      <c r="O234" s="83"/>
      <c r="P234" s="83"/>
    </row>
    <row r="235">
      <c r="A235" s="164"/>
      <c r="B235" s="45"/>
      <c r="C235" s="83"/>
      <c r="D235" s="83"/>
      <c r="E235" s="83"/>
      <c r="F235" s="165"/>
      <c r="G235" s="165"/>
      <c r="H235" s="52"/>
      <c r="I235" s="170"/>
      <c r="J235" s="171"/>
      <c r="K235" s="170"/>
      <c r="L235" s="171"/>
      <c r="M235" s="170"/>
      <c r="N235" s="171"/>
      <c r="O235" s="83"/>
      <c r="P235" s="83"/>
    </row>
    <row r="236">
      <c r="A236" s="164"/>
      <c r="B236" s="45"/>
      <c r="C236" s="83"/>
      <c r="D236" s="83"/>
      <c r="E236" s="83"/>
      <c r="F236" s="165"/>
      <c r="G236" s="165"/>
      <c r="H236" s="52"/>
      <c r="I236" s="170"/>
      <c r="J236" s="171"/>
      <c r="K236" s="170"/>
      <c r="L236" s="171"/>
      <c r="M236" s="170"/>
      <c r="N236" s="171"/>
      <c r="O236" s="83"/>
      <c r="P236" s="83"/>
    </row>
    <row r="237">
      <c r="A237" s="164"/>
      <c r="B237" s="45"/>
      <c r="C237" s="83"/>
      <c r="D237" s="83"/>
      <c r="E237" s="83"/>
      <c r="F237" s="165"/>
      <c r="G237" s="165"/>
      <c r="H237" s="52"/>
      <c r="I237" s="170"/>
      <c r="J237" s="171"/>
      <c r="K237" s="170"/>
      <c r="L237" s="171"/>
      <c r="M237" s="170"/>
      <c r="N237" s="171"/>
      <c r="O237" s="83"/>
      <c r="P237" s="83"/>
    </row>
    <row r="238">
      <c r="A238" s="164"/>
      <c r="B238" s="45"/>
      <c r="C238" s="83"/>
      <c r="D238" s="83"/>
      <c r="E238" s="83"/>
      <c r="F238" s="165"/>
      <c r="G238" s="165"/>
      <c r="H238" s="52"/>
      <c r="I238" s="170"/>
      <c r="J238" s="171"/>
      <c r="K238" s="170"/>
      <c r="L238" s="171"/>
      <c r="M238" s="170"/>
      <c r="N238" s="171"/>
      <c r="O238" s="83"/>
      <c r="P238" s="83"/>
    </row>
    <row r="239">
      <c r="A239" s="164"/>
      <c r="B239" s="45"/>
      <c r="C239" s="83"/>
      <c r="D239" s="83"/>
      <c r="E239" s="83"/>
      <c r="F239" s="165"/>
      <c r="G239" s="165"/>
      <c r="H239" s="52"/>
      <c r="I239" s="170"/>
      <c r="J239" s="171"/>
      <c r="K239" s="170"/>
      <c r="L239" s="171"/>
      <c r="M239" s="170"/>
      <c r="N239" s="171"/>
      <c r="O239" s="83"/>
      <c r="P239" s="83"/>
    </row>
    <row r="240">
      <c r="A240" s="164"/>
      <c r="B240" s="45"/>
      <c r="C240" s="83"/>
      <c r="D240" s="83"/>
      <c r="E240" s="83"/>
      <c r="F240" s="165"/>
      <c r="G240" s="165"/>
      <c r="H240" s="52"/>
      <c r="I240" s="170"/>
      <c r="J240" s="171"/>
      <c r="K240" s="170"/>
      <c r="L240" s="171"/>
      <c r="M240" s="170"/>
      <c r="N240" s="171"/>
      <c r="O240" s="83"/>
      <c r="P240" s="83"/>
    </row>
    <row r="241">
      <c r="A241" s="164"/>
      <c r="B241" s="45"/>
      <c r="C241" s="83"/>
      <c r="D241" s="83"/>
      <c r="E241" s="83"/>
      <c r="F241" s="165"/>
      <c r="G241" s="165"/>
      <c r="H241" s="52"/>
      <c r="I241" s="170"/>
      <c r="J241" s="171"/>
      <c r="K241" s="170"/>
      <c r="L241" s="171"/>
      <c r="M241" s="170"/>
      <c r="N241" s="171"/>
      <c r="O241" s="83"/>
      <c r="P241" s="83"/>
    </row>
    <row r="242">
      <c r="A242" s="164"/>
      <c r="B242" s="45"/>
      <c r="C242" s="83"/>
      <c r="D242" s="83"/>
      <c r="E242" s="83"/>
      <c r="F242" s="165"/>
      <c r="G242" s="165"/>
      <c r="H242" s="52"/>
      <c r="I242" s="170"/>
      <c r="J242" s="171"/>
      <c r="K242" s="170"/>
      <c r="L242" s="171"/>
      <c r="M242" s="170"/>
      <c r="N242" s="171"/>
      <c r="O242" s="83"/>
      <c r="P242" s="83"/>
    </row>
    <row r="243">
      <c r="A243" s="164"/>
      <c r="B243" s="45"/>
      <c r="C243" s="83"/>
      <c r="D243" s="83"/>
      <c r="E243" s="83"/>
      <c r="F243" s="165"/>
      <c r="G243" s="165"/>
      <c r="H243" s="52"/>
      <c r="I243" s="170"/>
      <c r="J243" s="171"/>
      <c r="K243" s="170"/>
      <c r="L243" s="171"/>
      <c r="M243" s="170"/>
      <c r="N243" s="171"/>
      <c r="O243" s="83"/>
      <c r="P243" s="83"/>
    </row>
    <row r="244">
      <c r="A244" s="164"/>
      <c r="B244" s="45"/>
      <c r="C244" s="83"/>
      <c r="D244" s="83"/>
      <c r="E244" s="83"/>
      <c r="F244" s="165"/>
      <c r="G244" s="165"/>
      <c r="H244" s="52"/>
      <c r="I244" s="170"/>
      <c r="J244" s="171"/>
      <c r="K244" s="170"/>
      <c r="L244" s="171"/>
      <c r="M244" s="170"/>
      <c r="N244" s="171"/>
      <c r="O244" s="83"/>
      <c r="P244" s="83"/>
    </row>
    <row r="245">
      <c r="A245" s="164"/>
      <c r="B245" s="45"/>
      <c r="C245" s="83"/>
      <c r="D245" s="83"/>
      <c r="E245" s="83"/>
      <c r="F245" s="165"/>
      <c r="G245" s="165"/>
      <c r="H245" s="52"/>
      <c r="I245" s="170"/>
      <c r="J245" s="171"/>
      <c r="K245" s="170"/>
      <c r="L245" s="171"/>
      <c r="M245" s="170"/>
      <c r="N245" s="171"/>
      <c r="O245" s="83"/>
      <c r="P245" s="83"/>
    </row>
    <row r="246">
      <c r="A246" s="164"/>
      <c r="B246" s="45"/>
      <c r="C246" s="83"/>
      <c r="D246" s="83"/>
      <c r="E246" s="83"/>
      <c r="F246" s="165"/>
      <c r="G246" s="165"/>
      <c r="H246" s="52"/>
      <c r="I246" s="170"/>
      <c r="J246" s="171"/>
      <c r="K246" s="170"/>
      <c r="L246" s="171"/>
      <c r="M246" s="170"/>
      <c r="N246" s="171"/>
      <c r="O246" s="83"/>
      <c r="P246" s="83"/>
    </row>
    <row r="247">
      <c r="A247" s="164"/>
      <c r="B247" s="45"/>
      <c r="C247" s="83"/>
      <c r="D247" s="83"/>
      <c r="E247" s="83"/>
      <c r="F247" s="165"/>
      <c r="G247" s="165"/>
      <c r="H247" s="52"/>
      <c r="I247" s="170"/>
      <c r="J247" s="171"/>
      <c r="K247" s="170"/>
      <c r="L247" s="171"/>
      <c r="M247" s="170"/>
      <c r="N247" s="171"/>
      <c r="O247" s="83"/>
      <c r="P247" s="83"/>
    </row>
    <row r="248">
      <c r="A248" s="164"/>
      <c r="B248" s="45"/>
      <c r="C248" s="83"/>
      <c r="D248" s="83"/>
      <c r="E248" s="83"/>
      <c r="F248" s="165"/>
      <c r="G248" s="165"/>
      <c r="H248" s="52"/>
      <c r="I248" s="170"/>
      <c r="J248" s="171"/>
      <c r="K248" s="170"/>
      <c r="L248" s="171"/>
      <c r="M248" s="170"/>
      <c r="N248" s="171"/>
      <c r="O248" s="83"/>
      <c r="P248" s="83"/>
    </row>
    <row r="249">
      <c r="A249" s="164"/>
      <c r="B249" s="45"/>
      <c r="C249" s="83"/>
      <c r="D249" s="83"/>
      <c r="E249" s="83"/>
      <c r="F249" s="165"/>
      <c r="G249" s="165"/>
      <c r="H249" s="52"/>
      <c r="I249" s="170"/>
      <c r="J249" s="171"/>
      <c r="K249" s="170"/>
      <c r="L249" s="171"/>
      <c r="M249" s="170"/>
      <c r="N249" s="171"/>
      <c r="O249" s="83"/>
      <c r="P249" s="83"/>
    </row>
    <row r="250">
      <c r="A250" s="164"/>
      <c r="B250" s="45"/>
      <c r="C250" s="83"/>
      <c r="D250" s="83"/>
      <c r="E250" s="83"/>
      <c r="F250" s="165"/>
      <c r="G250" s="165"/>
      <c r="H250" s="52"/>
      <c r="I250" s="170"/>
      <c r="J250" s="171"/>
      <c r="K250" s="170"/>
      <c r="L250" s="171"/>
      <c r="M250" s="170"/>
      <c r="N250" s="171"/>
      <c r="O250" s="83"/>
      <c r="P250" s="83"/>
    </row>
    <row r="251">
      <c r="A251" s="164"/>
      <c r="B251" s="45"/>
      <c r="C251" s="83"/>
      <c r="D251" s="83"/>
      <c r="E251" s="83"/>
      <c r="F251" s="165"/>
      <c r="G251" s="165"/>
      <c r="H251" s="52"/>
      <c r="I251" s="170"/>
      <c r="J251" s="171"/>
      <c r="K251" s="170"/>
      <c r="L251" s="171"/>
      <c r="M251" s="170"/>
      <c r="N251" s="171"/>
      <c r="O251" s="83"/>
      <c r="P251" s="83"/>
    </row>
    <row r="252">
      <c r="A252" s="164"/>
      <c r="B252" s="45"/>
      <c r="C252" s="83"/>
      <c r="D252" s="83"/>
      <c r="E252" s="83"/>
      <c r="F252" s="165"/>
      <c r="G252" s="165"/>
      <c r="H252" s="52"/>
      <c r="I252" s="170"/>
      <c r="J252" s="171"/>
      <c r="K252" s="170"/>
      <c r="L252" s="171"/>
      <c r="M252" s="170"/>
      <c r="N252" s="171"/>
      <c r="O252" s="83"/>
      <c r="P252" s="83"/>
    </row>
    <row r="253">
      <c r="A253" s="164"/>
      <c r="B253" s="45"/>
      <c r="C253" s="83"/>
      <c r="D253" s="83"/>
      <c r="E253" s="83"/>
      <c r="F253" s="165"/>
      <c r="G253" s="165"/>
      <c r="H253" s="52"/>
      <c r="I253" s="170"/>
      <c r="J253" s="171"/>
      <c r="K253" s="170"/>
      <c r="L253" s="171"/>
      <c r="M253" s="170"/>
      <c r="N253" s="171"/>
      <c r="O253" s="83"/>
      <c r="P253" s="83"/>
    </row>
    <row r="254">
      <c r="A254" s="164"/>
      <c r="B254" s="45"/>
      <c r="C254" s="83"/>
      <c r="D254" s="83"/>
      <c r="E254" s="83"/>
      <c r="F254" s="165"/>
      <c r="G254" s="165"/>
      <c r="H254" s="52"/>
      <c r="I254" s="170"/>
      <c r="J254" s="171"/>
      <c r="K254" s="170"/>
      <c r="L254" s="171"/>
      <c r="M254" s="170"/>
      <c r="N254" s="171"/>
      <c r="O254" s="83"/>
      <c r="P254" s="83"/>
    </row>
    <row r="255">
      <c r="A255" s="164"/>
      <c r="B255" s="45"/>
      <c r="C255" s="83"/>
      <c r="D255" s="83"/>
      <c r="E255" s="83"/>
      <c r="F255" s="165"/>
      <c r="G255" s="165"/>
      <c r="H255" s="52"/>
      <c r="I255" s="170"/>
      <c r="J255" s="171"/>
      <c r="K255" s="170"/>
      <c r="L255" s="171"/>
      <c r="M255" s="170"/>
      <c r="N255" s="171"/>
      <c r="O255" s="83"/>
      <c r="P255" s="83"/>
    </row>
    <row r="256">
      <c r="A256" s="164"/>
      <c r="B256" s="45"/>
      <c r="C256" s="83"/>
      <c r="D256" s="83"/>
      <c r="E256" s="83"/>
      <c r="F256" s="165"/>
      <c r="G256" s="165"/>
      <c r="H256" s="52"/>
      <c r="I256" s="170"/>
      <c r="J256" s="171"/>
      <c r="K256" s="170"/>
      <c r="L256" s="171"/>
      <c r="M256" s="170"/>
      <c r="N256" s="171"/>
      <c r="O256" s="83"/>
      <c r="P256" s="83"/>
    </row>
    <row r="257">
      <c r="A257" s="164"/>
      <c r="B257" s="45"/>
      <c r="C257" s="83"/>
      <c r="D257" s="83"/>
      <c r="E257" s="83"/>
      <c r="F257" s="165"/>
      <c r="G257" s="165"/>
      <c r="H257" s="52"/>
      <c r="I257" s="170"/>
      <c r="J257" s="171"/>
      <c r="K257" s="170"/>
      <c r="L257" s="171"/>
      <c r="M257" s="170"/>
      <c r="N257" s="171"/>
      <c r="O257" s="83"/>
      <c r="P257" s="83"/>
    </row>
    <row r="258">
      <c r="A258" s="164"/>
      <c r="B258" s="45"/>
      <c r="C258" s="83"/>
      <c r="D258" s="83"/>
      <c r="E258" s="83"/>
      <c r="F258" s="165"/>
      <c r="G258" s="165"/>
      <c r="H258" s="52"/>
      <c r="I258" s="170"/>
      <c r="J258" s="171"/>
      <c r="K258" s="170"/>
      <c r="L258" s="171"/>
      <c r="M258" s="170"/>
      <c r="N258" s="171"/>
      <c r="O258" s="83"/>
      <c r="P258" s="83"/>
    </row>
    <row r="259">
      <c r="A259" s="164"/>
      <c r="B259" s="45"/>
      <c r="C259" s="83"/>
      <c r="D259" s="83"/>
      <c r="E259" s="83"/>
      <c r="F259" s="165"/>
      <c r="G259" s="165"/>
      <c r="H259" s="52"/>
      <c r="I259" s="170"/>
      <c r="J259" s="171"/>
      <c r="K259" s="170"/>
      <c r="L259" s="171"/>
      <c r="M259" s="170"/>
      <c r="N259" s="171"/>
      <c r="O259" s="83"/>
      <c r="P259" s="83"/>
    </row>
    <row r="260">
      <c r="A260" s="164"/>
      <c r="B260" s="45"/>
      <c r="C260" s="83"/>
      <c r="D260" s="83"/>
      <c r="E260" s="83"/>
      <c r="F260" s="165"/>
      <c r="G260" s="165"/>
      <c r="H260" s="52"/>
      <c r="I260" s="170"/>
      <c r="J260" s="171"/>
      <c r="K260" s="170"/>
      <c r="L260" s="171"/>
      <c r="M260" s="170"/>
      <c r="N260" s="171"/>
      <c r="O260" s="83"/>
      <c r="P260" s="83"/>
    </row>
    <row r="261">
      <c r="A261" s="164"/>
      <c r="B261" s="45"/>
      <c r="C261" s="83"/>
      <c r="D261" s="83"/>
      <c r="E261" s="83"/>
      <c r="F261" s="165"/>
      <c r="G261" s="165"/>
      <c r="H261" s="52"/>
      <c r="I261" s="170"/>
      <c r="J261" s="171"/>
      <c r="K261" s="170"/>
      <c r="L261" s="171"/>
      <c r="M261" s="170"/>
      <c r="N261" s="171"/>
      <c r="O261" s="83"/>
      <c r="P261" s="83"/>
    </row>
    <row r="262">
      <c r="A262" s="164"/>
      <c r="B262" s="45"/>
      <c r="C262" s="83"/>
      <c r="D262" s="83"/>
      <c r="E262" s="83"/>
      <c r="F262" s="165"/>
      <c r="G262" s="165"/>
      <c r="H262" s="52"/>
      <c r="I262" s="170"/>
      <c r="J262" s="171"/>
      <c r="K262" s="170"/>
      <c r="L262" s="171"/>
      <c r="M262" s="170"/>
      <c r="N262" s="171"/>
      <c r="O262" s="83"/>
      <c r="P262" s="83"/>
    </row>
    <row r="263">
      <c r="A263" s="164"/>
      <c r="B263" s="45"/>
      <c r="C263" s="83"/>
      <c r="D263" s="83"/>
      <c r="E263" s="83"/>
      <c r="F263" s="165"/>
      <c r="G263" s="165"/>
      <c r="H263" s="52"/>
      <c r="I263" s="170"/>
      <c r="J263" s="171"/>
      <c r="K263" s="170"/>
      <c r="L263" s="171"/>
      <c r="M263" s="170"/>
      <c r="N263" s="171"/>
      <c r="O263" s="83"/>
      <c r="P263" s="83"/>
    </row>
    <row r="264">
      <c r="A264" s="164"/>
      <c r="B264" s="45"/>
      <c r="C264" s="83"/>
      <c r="D264" s="83"/>
      <c r="E264" s="83"/>
      <c r="F264" s="165"/>
      <c r="G264" s="165"/>
      <c r="H264" s="52"/>
      <c r="I264" s="170"/>
      <c r="J264" s="171"/>
      <c r="K264" s="170"/>
      <c r="L264" s="171"/>
      <c r="M264" s="170"/>
      <c r="N264" s="171"/>
      <c r="O264" s="83"/>
      <c r="P264" s="83"/>
    </row>
    <row r="265">
      <c r="A265" s="164"/>
      <c r="B265" s="45"/>
      <c r="C265" s="83"/>
      <c r="D265" s="83"/>
      <c r="E265" s="83"/>
      <c r="F265" s="165"/>
      <c r="G265" s="165"/>
      <c r="H265" s="52"/>
      <c r="I265" s="170"/>
      <c r="J265" s="171"/>
      <c r="K265" s="170"/>
      <c r="L265" s="171"/>
      <c r="M265" s="170"/>
      <c r="N265" s="171"/>
      <c r="O265" s="83"/>
      <c r="P265" s="83"/>
    </row>
    <row r="266">
      <c r="A266" s="164"/>
      <c r="B266" s="45"/>
      <c r="C266" s="83"/>
      <c r="D266" s="83"/>
      <c r="E266" s="83"/>
      <c r="F266" s="165"/>
      <c r="G266" s="165"/>
      <c r="H266" s="52"/>
      <c r="I266" s="170"/>
      <c r="J266" s="171"/>
      <c r="K266" s="170"/>
      <c r="L266" s="171"/>
      <c r="M266" s="170"/>
      <c r="N266" s="171"/>
      <c r="O266" s="83"/>
      <c r="P266" s="83"/>
    </row>
    <row r="267">
      <c r="A267" s="164"/>
      <c r="B267" s="45"/>
      <c r="C267" s="83"/>
      <c r="D267" s="83"/>
      <c r="E267" s="83"/>
      <c r="F267" s="165"/>
      <c r="G267" s="165"/>
      <c r="H267" s="52"/>
      <c r="I267" s="170"/>
      <c r="J267" s="171"/>
      <c r="K267" s="170"/>
      <c r="L267" s="171"/>
      <c r="M267" s="170"/>
      <c r="N267" s="171"/>
      <c r="O267" s="83"/>
      <c r="P267" s="83"/>
    </row>
    <row r="268">
      <c r="A268" s="164"/>
      <c r="B268" s="45"/>
      <c r="C268" s="83"/>
      <c r="D268" s="83"/>
      <c r="E268" s="83"/>
      <c r="F268" s="165"/>
      <c r="G268" s="165"/>
      <c r="H268" s="52"/>
      <c r="I268" s="170"/>
      <c r="J268" s="171"/>
      <c r="K268" s="170"/>
      <c r="L268" s="171"/>
      <c r="M268" s="170"/>
      <c r="N268" s="171"/>
      <c r="O268" s="83"/>
      <c r="P268" s="83"/>
    </row>
    <row r="269">
      <c r="A269" s="164"/>
      <c r="B269" s="45"/>
      <c r="C269" s="83"/>
      <c r="D269" s="83"/>
      <c r="E269" s="83"/>
      <c r="F269" s="165"/>
      <c r="G269" s="165"/>
      <c r="H269" s="52"/>
      <c r="I269" s="170"/>
      <c r="J269" s="171"/>
      <c r="K269" s="170"/>
      <c r="L269" s="171"/>
      <c r="M269" s="170"/>
      <c r="N269" s="171"/>
      <c r="O269" s="83"/>
      <c r="P269" s="83"/>
    </row>
    <row r="270">
      <c r="A270" s="164"/>
      <c r="B270" s="45"/>
      <c r="C270" s="83"/>
      <c r="D270" s="83"/>
      <c r="E270" s="83"/>
      <c r="F270" s="165"/>
      <c r="G270" s="165"/>
      <c r="H270" s="52"/>
      <c r="I270" s="170"/>
      <c r="J270" s="171"/>
      <c r="K270" s="170"/>
      <c r="L270" s="171"/>
      <c r="M270" s="170"/>
      <c r="N270" s="171"/>
      <c r="O270" s="83"/>
      <c r="P270" s="83"/>
    </row>
    <row r="271">
      <c r="A271" s="164"/>
      <c r="B271" s="45"/>
      <c r="C271" s="83"/>
      <c r="D271" s="83"/>
      <c r="E271" s="83"/>
      <c r="F271" s="165"/>
      <c r="G271" s="165"/>
      <c r="H271" s="52"/>
      <c r="I271" s="170"/>
      <c r="J271" s="171"/>
      <c r="K271" s="170"/>
      <c r="L271" s="171"/>
      <c r="M271" s="170"/>
      <c r="N271" s="171"/>
      <c r="O271" s="83"/>
      <c r="P271" s="83"/>
    </row>
    <row r="272">
      <c r="A272" s="164"/>
      <c r="B272" s="45"/>
      <c r="C272" s="83"/>
      <c r="D272" s="83"/>
      <c r="E272" s="83"/>
      <c r="F272" s="165"/>
      <c r="G272" s="165"/>
      <c r="H272" s="52"/>
      <c r="I272" s="170"/>
      <c r="J272" s="171"/>
      <c r="K272" s="170"/>
      <c r="L272" s="171"/>
      <c r="M272" s="170"/>
      <c r="N272" s="171"/>
      <c r="O272" s="83"/>
      <c r="P272" s="83"/>
    </row>
    <row r="273">
      <c r="A273" s="164"/>
      <c r="B273" s="45"/>
      <c r="C273" s="83"/>
      <c r="D273" s="83"/>
      <c r="E273" s="83"/>
      <c r="F273" s="165"/>
      <c r="G273" s="165"/>
      <c r="H273" s="52"/>
      <c r="I273" s="170"/>
      <c r="J273" s="171"/>
      <c r="K273" s="170"/>
      <c r="L273" s="171"/>
      <c r="M273" s="170"/>
      <c r="N273" s="171"/>
      <c r="O273" s="83"/>
      <c r="P273" s="83"/>
    </row>
    <row r="274">
      <c r="A274" s="164"/>
      <c r="B274" s="45"/>
      <c r="C274" s="83"/>
      <c r="D274" s="83"/>
      <c r="E274" s="83"/>
      <c r="F274" s="165"/>
      <c r="G274" s="165"/>
      <c r="H274" s="52"/>
      <c r="I274" s="170"/>
      <c r="J274" s="171"/>
      <c r="K274" s="170"/>
      <c r="L274" s="171"/>
      <c r="M274" s="170"/>
      <c r="N274" s="171"/>
      <c r="O274" s="83"/>
      <c r="P274" s="83"/>
    </row>
    <row r="275">
      <c r="A275" s="164"/>
      <c r="B275" s="45"/>
      <c r="C275" s="83"/>
      <c r="D275" s="83"/>
      <c r="E275" s="83"/>
      <c r="F275" s="165"/>
      <c r="G275" s="165"/>
      <c r="H275" s="52"/>
      <c r="I275" s="170"/>
      <c r="J275" s="171"/>
      <c r="K275" s="170"/>
      <c r="L275" s="171"/>
      <c r="M275" s="170"/>
      <c r="N275" s="171"/>
      <c r="O275" s="83"/>
      <c r="P275" s="83"/>
    </row>
    <row r="276">
      <c r="A276" s="164"/>
      <c r="B276" s="45"/>
      <c r="C276" s="83"/>
      <c r="D276" s="83"/>
      <c r="E276" s="83"/>
      <c r="F276" s="165"/>
      <c r="G276" s="165"/>
      <c r="H276" s="52"/>
      <c r="I276" s="170"/>
      <c r="J276" s="171"/>
      <c r="K276" s="170"/>
      <c r="L276" s="171"/>
      <c r="M276" s="170"/>
      <c r="N276" s="171"/>
      <c r="O276" s="83"/>
      <c r="P276" s="83"/>
    </row>
    <row r="277">
      <c r="A277" s="164"/>
      <c r="B277" s="45"/>
      <c r="C277" s="83"/>
      <c r="D277" s="83"/>
      <c r="E277" s="83"/>
      <c r="F277" s="165"/>
      <c r="G277" s="165"/>
      <c r="H277" s="52"/>
      <c r="I277" s="170"/>
      <c r="J277" s="171"/>
      <c r="K277" s="170"/>
      <c r="L277" s="171"/>
      <c r="M277" s="170"/>
      <c r="N277" s="171"/>
      <c r="O277" s="83"/>
      <c r="P277" s="83"/>
    </row>
    <row r="278">
      <c r="A278" s="164"/>
      <c r="B278" s="45"/>
      <c r="C278" s="83"/>
      <c r="D278" s="83"/>
      <c r="E278" s="83"/>
      <c r="F278" s="165"/>
      <c r="G278" s="165"/>
      <c r="H278" s="52"/>
      <c r="I278" s="170"/>
      <c r="J278" s="171"/>
      <c r="K278" s="170"/>
      <c r="L278" s="171"/>
      <c r="M278" s="170"/>
      <c r="N278" s="171"/>
      <c r="O278" s="83"/>
      <c r="P278" s="83"/>
    </row>
    <row r="279">
      <c r="A279" s="164"/>
      <c r="B279" s="45"/>
      <c r="C279" s="83"/>
      <c r="D279" s="83"/>
      <c r="E279" s="83"/>
      <c r="F279" s="165"/>
      <c r="G279" s="165"/>
      <c r="H279" s="52"/>
      <c r="I279" s="170"/>
      <c r="J279" s="171"/>
      <c r="K279" s="170"/>
      <c r="L279" s="171"/>
      <c r="M279" s="170"/>
      <c r="N279" s="171"/>
      <c r="O279" s="83"/>
      <c r="P279" s="83"/>
    </row>
    <row r="280">
      <c r="A280" s="164"/>
      <c r="B280" s="45"/>
      <c r="C280" s="83"/>
      <c r="D280" s="83"/>
      <c r="E280" s="83"/>
      <c r="F280" s="165"/>
      <c r="G280" s="165"/>
      <c r="H280" s="52"/>
      <c r="I280" s="170"/>
      <c r="J280" s="171"/>
      <c r="K280" s="170"/>
      <c r="L280" s="171"/>
      <c r="M280" s="170"/>
      <c r="N280" s="171"/>
      <c r="O280" s="83"/>
      <c r="P280" s="83"/>
    </row>
    <row r="281">
      <c r="A281" s="164"/>
      <c r="B281" s="45"/>
      <c r="C281" s="83"/>
      <c r="D281" s="83"/>
      <c r="E281" s="83"/>
      <c r="F281" s="165"/>
      <c r="G281" s="165"/>
      <c r="H281" s="52"/>
      <c r="I281" s="170"/>
      <c r="J281" s="171"/>
      <c r="K281" s="170"/>
      <c r="L281" s="171"/>
      <c r="M281" s="170"/>
      <c r="N281" s="171"/>
      <c r="O281" s="83"/>
      <c r="P281" s="83"/>
    </row>
    <row r="282">
      <c r="A282" s="164"/>
      <c r="B282" s="45"/>
      <c r="C282" s="83"/>
      <c r="D282" s="83"/>
      <c r="E282" s="83"/>
      <c r="F282" s="165"/>
      <c r="G282" s="165"/>
      <c r="H282" s="52"/>
      <c r="I282" s="170"/>
      <c r="J282" s="171"/>
      <c r="K282" s="170"/>
      <c r="L282" s="171"/>
      <c r="M282" s="170"/>
      <c r="N282" s="171"/>
      <c r="O282" s="83"/>
      <c r="P282" s="83"/>
    </row>
    <row r="283">
      <c r="A283" s="164"/>
      <c r="B283" s="45"/>
      <c r="C283" s="83"/>
      <c r="D283" s="83"/>
      <c r="E283" s="83"/>
      <c r="F283" s="165"/>
      <c r="G283" s="165"/>
      <c r="H283" s="52"/>
      <c r="I283" s="170"/>
      <c r="J283" s="171"/>
      <c r="K283" s="170"/>
      <c r="L283" s="171"/>
      <c r="M283" s="170"/>
      <c r="N283" s="171"/>
      <c r="O283" s="83"/>
      <c r="P283" s="83"/>
    </row>
    <row r="284">
      <c r="A284" s="164"/>
      <c r="B284" s="45"/>
      <c r="C284" s="83"/>
      <c r="D284" s="83"/>
      <c r="E284" s="83"/>
      <c r="F284" s="165"/>
      <c r="G284" s="165"/>
      <c r="H284" s="52"/>
      <c r="I284" s="170"/>
      <c r="J284" s="171"/>
      <c r="K284" s="170"/>
      <c r="L284" s="171"/>
      <c r="M284" s="170"/>
      <c r="N284" s="171"/>
      <c r="O284" s="83"/>
      <c r="P284" s="83"/>
    </row>
    <row r="285">
      <c r="A285" s="164"/>
      <c r="B285" s="45"/>
      <c r="C285" s="83"/>
      <c r="D285" s="83"/>
      <c r="E285" s="83"/>
      <c r="F285" s="165"/>
      <c r="G285" s="165"/>
      <c r="H285" s="52"/>
      <c r="I285" s="170"/>
      <c r="J285" s="171"/>
      <c r="K285" s="170"/>
      <c r="L285" s="171"/>
      <c r="M285" s="170"/>
      <c r="N285" s="171"/>
      <c r="O285" s="83"/>
      <c r="P285" s="83"/>
    </row>
    <row r="286">
      <c r="A286" s="164"/>
      <c r="B286" s="45"/>
      <c r="C286" s="83"/>
      <c r="D286" s="83"/>
      <c r="E286" s="83"/>
      <c r="F286" s="165"/>
      <c r="G286" s="165"/>
      <c r="H286" s="52"/>
      <c r="I286" s="170"/>
      <c r="J286" s="171"/>
      <c r="K286" s="170"/>
      <c r="L286" s="171"/>
      <c r="M286" s="170"/>
      <c r="N286" s="171"/>
      <c r="O286" s="83"/>
      <c r="P286" s="83"/>
    </row>
    <row r="287">
      <c r="A287" s="164"/>
      <c r="B287" s="45"/>
      <c r="C287" s="83"/>
      <c r="D287" s="83"/>
      <c r="E287" s="83"/>
      <c r="F287" s="165"/>
      <c r="G287" s="165"/>
      <c r="H287" s="52"/>
      <c r="I287" s="170"/>
      <c r="J287" s="171"/>
      <c r="K287" s="170"/>
      <c r="L287" s="171"/>
      <c r="M287" s="170"/>
      <c r="N287" s="171"/>
      <c r="O287" s="83"/>
      <c r="P287" s="83"/>
    </row>
    <row r="288">
      <c r="A288" s="164"/>
      <c r="B288" s="45"/>
      <c r="C288" s="83"/>
      <c r="D288" s="83"/>
      <c r="E288" s="83"/>
      <c r="F288" s="165"/>
      <c r="G288" s="165"/>
      <c r="H288" s="52"/>
      <c r="I288" s="170"/>
      <c r="J288" s="171"/>
      <c r="K288" s="170"/>
      <c r="L288" s="171"/>
      <c r="M288" s="170"/>
      <c r="N288" s="171"/>
      <c r="O288" s="83"/>
      <c r="P288" s="83"/>
    </row>
    <row r="289">
      <c r="A289" s="164"/>
      <c r="B289" s="45"/>
      <c r="C289" s="83"/>
      <c r="D289" s="83"/>
      <c r="E289" s="83"/>
      <c r="F289" s="165"/>
      <c r="G289" s="165"/>
      <c r="H289" s="52"/>
      <c r="I289" s="170"/>
      <c r="J289" s="171"/>
      <c r="K289" s="170"/>
      <c r="L289" s="171"/>
      <c r="M289" s="170"/>
      <c r="N289" s="171"/>
      <c r="O289" s="83"/>
      <c r="P289" s="83"/>
    </row>
    <row r="290">
      <c r="A290" s="164"/>
      <c r="B290" s="45"/>
      <c r="C290" s="83"/>
      <c r="D290" s="83"/>
      <c r="E290" s="83"/>
      <c r="F290" s="165"/>
      <c r="G290" s="165"/>
      <c r="H290" s="52"/>
      <c r="I290" s="170"/>
      <c r="J290" s="171"/>
      <c r="K290" s="170"/>
      <c r="L290" s="171"/>
      <c r="M290" s="170"/>
      <c r="N290" s="171"/>
      <c r="O290" s="83"/>
      <c r="P290" s="83"/>
    </row>
    <row r="291">
      <c r="A291" s="164"/>
      <c r="B291" s="45"/>
      <c r="C291" s="83"/>
      <c r="D291" s="83"/>
      <c r="E291" s="83"/>
      <c r="F291" s="165"/>
      <c r="G291" s="165"/>
      <c r="H291" s="52"/>
      <c r="I291" s="170"/>
      <c r="J291" s="171"/>
      <c r="K291" s="170"/>
      <c r="L291" s="171"/>
      <c r="M291" s="170"/>
      <c r="N291" s="171"/>
      <c r="O291" s="83"/>
      <c r="P291" s="83"/>
    </row>
    <row r="292">
      <c r="A292" s="164"/>
      <c r="B292" s="45"/>
      <c r="C292" s="83"/>
      <c r="D292" s="83"/>
      <c r="E292" s="83"/>
      <c r="F292" s="165"/>
      <c r="G292" s="165"/>
      <c r="H292" s="52"/>
      <c r="I292" s="170"/>
      <c r="J292" s="171"/>
      <c r="K292" s="170"/>
      <c r="L292" s="171"/>
      <c r="M292" s="170"/>
      <c r="N292" s="171"/>
      <c r="O292" s="83"/>
      <c r="P292" s="83"/>
    </row>
    <row r="293">
      <c r="A293" s="164"/>
      <c r="B293" s="45"/>
      <c r="C293" s="83"/>
      <c r="D293" s="83"/>
      <c r="E293" s="83"/>
      <c r="F293" s="165"/>
      <c r="G293" s="165"/>
      <c r="H293" s="52"/>
      <c r="I293" s="170"/>
      <c r="J293" s="171"/>
      <c r="K293" s="170"/>
      <c r="L293" s="171"/>
      <c r="M293" s="170"/>
      <c r="N293" s="171"/>
      <c r="O293" s="83"/>
      <c r="P293" s="83"/>
    </row>
    <row r="294">
      <c r="A294" s="164"/>
      <c r="B294" s="45"/>
      <c r="C294" s="83"/>
      <c r="D294" s="83"/>
      <c r="E294" s="83"/>
      <c r="F294" s="165"/>
      <c r="G294" s="165"/>
      <c r="H294" s="52"/>
      <c r="I294" s="170"/>
      <c r="J294" s="171"/>
      <c r="K294" s="170"/>
      <c r="L294" s="171"/>
      <c r="M294" s="170"/>
      <c r="N294" s="171"/>
      <c r="O294" s="83"/>
      <c r="P294" s="83"/>
    </row>
    <row r="295">
      <c r="A295" s="164"/>
      <c r="B295" s="45"/>
      <c r="C295" s="83"/>
      <c r="D295" s="83"/>
      <c r="E295" s="83"/>
      <c r="F295" s="165"/>
      <c r="G295" s="165"/>
      <c r="H295" s="52"/>
      <c r="I295" s="170"/>
      <c r="J295" s="171"/>
      <c r="K295" s="170"/>
      <c r="L295" s="171"/>
      <c r="M295" s="170"/>
      <c r="N295" s="171"/>
      <c r="O295" s="83"/>
      <c r="P295" s="83"/>
    </row>
    <row r="296">
      <c r="A296" s="164"/>
      <c r="B296" s="45"/>
      <c r="C296" s="83"/>
      <c r="D296" s="83"/>
      <c r="E296" s="83"/>
      <c r="F296" s="165"/>
      <c r="G296" s="165"/>
      <c r="H296" s="52"/>
      <c r="I296" s="170"/>
      <c r="J296" s="171"/>
      <c r="K296" s="170"/>
      <c r="L296" s="171"/>
      <c r="M296" s="170"/>
      <c r="N296" s="171"/>
      <c r="O296" s="83"/>
      <c r="P296" s="83"/>
    </row>
    <row r="297">
      <c r="A297" s="164"/>
      <c r="B297" s="45"/>
      <c r="C297" s="83"/>
      <c r="D297" s="83"/>
      <c r="E297" s="83"/>
      <c r="F297" s="165"/>
      <c r="G297" s="165"/>
      <c r="H297" s="52"/>
      <c r="I297" s="170"/>
      <c r="J297" s="171"/>
      <c r="K297" s="170"/>
      <c r="L297" s="171"/>
      <c r="M297" s="170"/>
      <c r="N297" s="171"/>
      <c r="O297" s="83"/>
      <c r="P297" s="83"/>
    </row>
    <row r="298">
      <c r="A298" s="164"/>
      <c r="B298" s="45"/>
      <c r="C298" s="83"/>
      <c r="D298" s="83"/>
      <c r="E298" s="83"/>
      <c r="F298" s="165"/>
      <c r="G298" s="165"/>
      <c r="H298" s="52"/>
      <c r="I298" s="170"/>
      <c r="J298" s="171"/>
      <c r="K298" s="170"/>
      <c r="L298" s="171"/>
      <c r="M298" s="170"/>
      <c r="N298" s="171"/>
      <c r="O298" s="83"/>
      <c r="P298" s="83"/>
    </row>
    <row r="299">
      <c r="A299" s="164"/>
      <c r="B299" s="45"/>
      <c r="C299" s="83"/>
      <c r="D299" s="83"/>
      <c r="E299" s="83"/>
      <c r="F299" s="165"/>
      <c r="G299" s="165"/>
      <c r="H299" s="52"/>
      <c r="I299" s="170"/>
      <c r="J299" s="171"/>
      <c r="K299" s="170"/>
      <c r="L299" s="171"/>
      <c r="M299" s="170"/>
      <c r="N299" s="171"/>
      <c r="O299" s="83"/>
      <c r="P299" s="83"/>
    </row>
    <row r="300">
      <c r="A300" s="164"/>
      <c r="B300" s="45"/>
      <c r="C300" s="83"/>
      <c r="D300" s="83"/>
      <c r="E300" s="83"/>
      <c r="F300" s="165"/>
      <c r="G300" s="165"/>
      <c r="H300" s="52"/>
      <c r="I300" s="170"/>
      <c r="J300" s="171"/>
      <c r="K300" s="170"/>
      <c r="L300" s="171"/>
      <c r="M300" s="170"/>
      <c r="N300" s="171"/>
      <c r="O300" s="83"/>
      <c r="P300" s="83"/>
    </row>
    <row r="301">
      <c r="A301" s="164"/>
      <c r="B301" s="45"/>
      <c r="C301" s="83"/>
      <c r="D301" s="83"/>
      <c r="E301" s="83"/>
      <c r="F301" s="165"/>
      <c r="G301" s="165"/>
      <c r="H301" s="52"/>
      <c r="I301" s="170"/>
      <c r="J301" s="171"/>
      <c r="K301" s="170"/>
      <c r="L301" s="171"/>
      <c r="M301" s="170"/>
      <c r="N301" s="171"/>
      <c r="O301" s="83"/>
      <c r="P301" s="83"/>
    </row>
    <row r="302">
      <c r="A302" s="164"/>
      <c r="B302" s="45"/>
      <c r="C302" s="83"/>
      <c r="D302" s="83"/>
      <c r="E302" s="83"/>
      <c r="F302" s="165"/>
      <c r="G302" s="165"/>
      <c r="H302" s="52"/>
      <c r="I302" s="170"/>
      <c r="J302" s="171"/>
      <c r="K302" s="170"/>
      <c r="L302" s="171"/>
      <c r="M302" s="170"/>
      <c r="N302" s="171"/>
      <c r="O302" s="83"/>
      <c r="P302" s="83"/>
    </row>
    <row r="303">
      <c r="A303" s="164"/>
      <c r="B303" s="45"/>
      <c r="C303" s="83"/>
      <c r="D303" s="83"/>
      <c r="E303" s="83"/>
      <c r="F303" s="165"/>
      <c r="G303" s="165"/>
      <c r="H303" s="52"/>
      <c r="I303" s="170"/>
      <c r="J303" s="171"/>
      <c r="K303" s="170"/>
      <c r="L303" s="171"/>
      <c r="M303" s="170"/>
      <c r="N303" s="171"/>
      <c r="O303" s="83"/>
      <c r="P303" s="83"/>
    </row>
    <row r="304">
      <c r="A304" s="164"/>
      <c r="B304" s="45"/>
      <c r="C304" s="83"/>
      <c r="D304" s="83"/>
      <c r="E304" s="83"/>
      <c r="F304" s="165"/>
      <c r="G304" s="165"/>
      <c r="H304" s="52"/>
      <c r="I304" s="170"/>
      <c r="J304" s="171"/>
      <c r="K304" s="170"/>
      <c r="L304" s="171"/>
      <c r="M304" s="170"/>
      <c r="N304" s="171"/>
      <c r="O304" s="83"/>
      <c r="P304" s="83"/>
    </row>
    <row r="305">
      <c r="A305" s="164"/>
      <c r="B305" s="45"/>
      <c r="C305" s="83"/>
      <c r="D305" s="83"/>
      <c r="E305" s="83"/>
      <c r="F305" s="165"/>
      <c r="G305" s="165"/>
      <c r="H305" s="52"/>
      <c r="I305" s="170"/>
      <c r="J305" s="171"/>
      <c r="K305" s="170"/>
      <c r="L305" s="171"/>
      <c r="M305" s="170"/>
      <c r="N305" s="171"/>
      <c r="O305" s="83"/>
      <c r="P305" s="83"/>
    </row>
    <row r="306">
      <c r="A306" s="164"/>
      <c r="B306" s="45"/>
      <c r="C306" s="83"/>
      <c r="D306" s="83"/>
      <c r="E306" s="83"/>
      <c r="F306" s="165"/>
      <c r="G306" s="165"/>
      <c r="H306" s="52"/>
      <c r="I306" s="170"/>
      <c r="J306" s="171"/>
      <c r="K306" s="170"/>
      <c r="L306" s="171"/>
      <c r="M306" s="170"/>
      <c r="N306" s="171"/>
      <c r="O306" s="83"/>
      <c r="P306" s="83"/>
    </row>
    <row r="307">
      <c r="A307" s="164"/>
      <c r="B307" s="45"/>
      <c r="C307" s="83"/>
      <c r="D307" s="83"/>
      <c r="E307" s="83"/>
      <c r="F307" s="165"/>
      <c r="G307" s="165"/>
      <c r="H307" s="52"/>
      <c r="I307" s="170"/>
      <c r="J307" s="171"/>
      <c r="K307" s="170"/>
      <c r="L307" s="171"/>
      <c r="M307" s="170"/>
      <c r="N307" s="171"/>
      <c r="O307" s="83"/>
      <c r="P307" s="83"/>
    </row>
    <row r="308">
      <c r="A308" s="164"/>
      <c r="B308" s="45"/>
      <c r="C308" s="83"/>
      <c r="D308" s="83"/>
      <c r="E308" s="83"/>
      <c r="F308" s="165"/>
      <c r="G308" s="165"/>
      <c r="H308" s="52"/>
      <c r="I308" s="170"/>
      <c r="J308" s="171"/>
      <c r="K308" s="170"/>
      <c r="L308" s="171"/>
      <c r="M308" s="170"/>
      <c r="N308" s="171"/>
      <c r="O308" s="83"/>
      <c r="P308" s="83"/>
    </row>
    <row r="309">
      <c r="A309" s="164"/>
      <c r="B309" s="45"/>
      <c r="C309" s="83"/>
      <c r="D309" s="83"/>
      <c r="E309" s="83"/>
      <c r="F309" s="165"/>
      <c r="G309" s="165"/>
      <c r="H309" s="52"/>
      <c r="I309" s="170"/>
      <c r="J309" s="171"/>
      <c r="K309" s="170"/>
      <c r="L309" s="171"/>
      <c r="M309" s="170"/>
      <c r="N309" s="171"/>
      <c r="O309" s="83"/>
      <c r="P309" s="83"/>
    </row>
    <row r="310">
      <c r="A310" s="164"/>
      <c r="B310" s="45"/>
      <c r="C310" s="83"/>
      <c r="D310" s="83"/>
      <c r="E310" s="83"/>
      <c r="F310" s="165"/>
      <c r="G310" s="165"/>
      <c r="H310" s="52"/>
      <c r="I310" s="170"/>
      <c r="J310" s="171"/>
      <c r="K310" s="170"/>
      <c r="L310" s="171"/>
      <c r="M310" s="170"/>
      <c r="N310" s="171"/>
      <c r="O310" s="83"/>
      <c r="P310" s="83"/>
    </row>
    <row r="311">
      <c r="A311" s="164"/>
      <c r="B311" s="45"/>
      <c r="C311" s="83"/>
      <c r="D311" s="83"/>
      <c r="E311" s="83"/>
      <c r="F311" s="165"/>
      <c r="G311" s="165"/>
      <c r="H311" s="52"/>
      <c r="I311" s="170"/>
      <c r="J311" s="171"/>
      <c r="K311" s="170"/>
      <c r="L311" s="171"/>
      <c r="M311" s="170"/>
      <c r="N311" s="171"/>
      <c r="O311" s="83"/>
      <c r="P311" s="83"/>
    </row>
    <row r="312">
      <c r="A312" s="164"/>
      <c r="B312" s="45"/>
      <c r="C312" s="83"/>
      <c r="D312" s="83"/>
      <c r="E312" s="83"/>
      <c r="F312" s="165"/>
      <c r="G312" s="165"/>
      <c r="H312" s="52"/>
      <c r="I312" s="170"/>
      <c r="J312" s="171"/>
      <c r="K312" s="170"/>
      <c r="L312" s="171"/>
      <c r="M312" s="170"/>
      <c r="N312" s="171"/>
      <c r="O312" s="83"/>
      <c r="P312" s="83"/>
    </row>
    <row r="313">
      <c r="A313" s="164"/>
      <c r="B313" s="45"/>
      <c r="C313" s="83"/>
      <c r="D313" s="83"/>
      <c r="E313" s="83"/>
      <c r="F313" s="165"/>
      <c r="G313" s="165"/>
      <c r="H313" s="52"/>
      <c r="I313" s="170"/>
      <c r="J313" s="171"/>
      <c r="K313" s="170"/>
      <c r="L313" s="171"/>
      <c r="M313" s="170"/>
      <c r="N313" s="171"/>
      <c r="O313" s="83"/>
      <c r="P313" s="83"/>
    </row>
    <row r="314">
      <c r="A314" s="164"/>
      <c r="B314" s="45"/>
      <c r="C314" s="83"/>
      <c r="D314" s="83"/>
      <c r="E314" s="83"/>
      <c r="F314" s="165"/>
      <c r="G314" s="165"/>
      <c r="H314" s="52"/>
      <c r="I314" s="170"/>
      <c r="J314" s="171"/>
      <c r="K314" s="170"/>
      <c r="L314" s="171"/>
      <c r="M314" s="170"/>
      <c r="N314" s="171"/>
      <c r="O314" s="83"/>
      <c r="P314" s="83"/>
    </row>
    <row r="315">
      <c r="A315" s="164"/>
      <c r="B315" s="45"/>
      <c r="C315" s="83"/>
      <c r="D315" s="83"/>
      <c r="E315" s="83"/>
      <c r="F315" s="165"/>
      <c r="G315" s="165"/>
      <c r="H315" s="52"/>
      <c r="I315" s="170"/>
      <c r="J315" s="171"/>
      <c r="K315" s="170"/>
      <c r="L315" s="171"/>
      <c r="M315" s="170"/>
      <c r="N315" s="171"/>
      <c r="O315" s="83"/>
      <c r="P315" s="83"/>
    </row>
    <row r="316">
      <c r="A316" s="164"/>
      <c r="B316" s="45"/>
      <c r="C316" s="83"/>
      <c r="D316" s="83"/>
      <c r="E316" s="83"/>
      <c r="F316" s="165"/>
      <c r="G316" s="165"/>
      <c r="H316" s="52"/>
      <c r="I316" s="170"/>
      <c r="J316" s="171"/>
      <c r="K316" s="170"/>
      <c r="L316" s="171"/>
      <c r="M316" s="170"/>
      <c r="N316" s="171"/>
      <c r="O316" s="83"/>
      <c r="P316" s="83"/>
    </row>
    <row r="317">
      <c r="A317" s="164"/>
      <c r="B317" s="45"/>
      <c r="C317" s="83"/>
      <c r="D317" s="83"/>
      <c r="E317" s="83"/>
      <c r="F317" s="165"/>
      <c r="G317" s="165"/>
      <c r="H317" s="52"/>
      <c r="I317" s="170"/>
      <c r="J317" s="171"/>
      <c r="K317" s="170"/>
      <c r="L317" s="171"/>
      <c r="M317" s="170"/>
      <c r="N317" s="171"/>
      <c r="O317" s="83"/>
      <c r="P317" s="83"/>
    </row>
    <row r="318">
      <c r="A318" s="164"/>
      <c r="B318" s="45"/>
      <c r="C318" s="83"/>
      <c r="D318" s="83"/>
      <c r="E318" s="83"/>
      <c r="F318" s="165"/>
      <c r="G318" s="165"/>
      <c r="H318" s="52"/>
      <c r="I318" s="170"/>
      <c r="J318" s="171"/>
      <c r="K318" s="170"/>
      <c r="L318" s="171"/>
      <c r="M318" s="170"/>
      <c r="N318" s="171"/>
      <c r="O318" s="83"/>
      <c r="P318" s="83"/>
    </row>
    <row r="319">
      <c r="A319" s="164"/>
      <c r="B319" s="45"/>
      <c r="C319" s="83"/>
      <c r="D319" s="83"/>
      <c r="E319" s="83"/>
      <c r="F319" s="165"/>
      <c r="G319" s="165"/>
      <c r="H319" s="52"/>
      <c r="I319" s="170"/>
      <c r="J319" s="171"/>
      <c r="K319" s="170"/>
      <c r="L319" s="171"/>
      <c r="M319" s="170"/>
      <c r="N319" s="171"/>
      <c r="O319" s="83"/>
      <c r="P319" s="83"/>
    </row>
    <row r="320">
      <c r="A320" s="164"/>
      <c r="B320" s="45"/>
      <c r="C320" s="83"/>
      <c r="D320" s="83"/>
      <c r="E320" s="83"/>
      <c r="F320" s="165"/>
      <c r="G320" s="165"/>
      <c r="H320" s="52"/>
      <c r="I320" s="170"/>
      <c r="J320" s="171"/>
      <c r="K320" s="170"/>
      <c r="L320" s="171"/>
      <c r="M320" s="170"/>
      <c r="N320" s="171"/>
      <c r="O320" s="83"/>
      <c r="P320" s="83"/>
    </row>
    <row r="321">
      <c r="A321" s="164"/>
      <c r="B321" s="45"/>
      <c r="C321" s="83"/>
      <c r="D321" s="83"/>
      <c r="E321" s="83"/>
      <c r="F321" s="165"/>
      <c r="G321" s="165"/>
      <c r="H321" s="52"/>
      <c r="I321" s="170"/>
      <c r="J321" s="171"/>
      <c r="K321" s="170"/>
      <c r="L321" s="171"/>
      <c r="M321" s="170"/>
      <c r="N321" s="171"/>
      <c r="O321" s="83"/>
      <c r="P321" s="83"/>
    </row>
    <row r="322">
      <c r="A322" s="164"/>
      <c r="B322" s="45"/>
      <c r="C322" s="83"/>
      <c r="D322" s="83"/>
      <c r="E322" s="83"/>
      <c r="F322" s="165"/>
      <c r="G322" s="165"/>
      <c r="H322" s="52"/>
      <c r="I322" s="170"/>
      <c r="J322" s="171"/>
      <c r="K322" s="170"/>
      <c r="L322" s="171"/>
      <c r="M322" s="170"/>
      <c r="N322" s="171"/>
      <c r="O322" s="83"/>
      <c r="P322" s="83"/>
    </row>
    <row r="323">
      <c r="A323" s="164"/>
      <c r="B323" s="45"/>
      <c r="C323" s="83"/>
      <c r="D323" s="83"/>
      <c r="E323" s="83"/>
      <c r="F323" s="165"/>
      <c r="G323" s="165"/>
      <c r="H323" s="52"/>
      <c r="I323" s="170"/>
      <c r="J323" s="171"/>
      <c r="K323" s="170"/>
      <c r="L323" s="171"/>
      <c r="M323" s="170"/>
      <c r="N323" s="171"/>
      <c r="O323" s="83"/>
      <c r="P323" s="83"/>
    </row>
    <row r="324">
      <c r="A324" s="164"/>
      <c r="B324" s="45"/>
      <c r="C324" s="83"/>
      <c r="D324" s="83"/>
      <c r="E324" s="83"/>
      <c r="F324" s="165"/>
      <c r="G324" s="165"/>
      <c r="H324" s="52"/>
      <c r="I324" s="170"/>
      <c r="J324" s="171"/>
      <c r="K324" s="170"/>
      <c r="L324" s="171"/>
      <c r="M324" s="170"/>
      <c r="N324" s="171"/>
      <c r="O324" s="83"/>
      <c r="P324" s="83"/>
    </row>
    <row r="325">
      <c r="A325" s="164"/>
      <c r="B325" s="45"/>
      <c r="C325" s="83"/>
      <c r="D325" s="83"/>
      <c r="E325" s="83"/>
      <c r="F325" s="165"/>
      <c r="G325" s="165"/>
      <c r="H325" s="52"/>
      <c r="I325" s="170"/>
      <c r="J325" s="171"/>
      <c r="K325" s="170"/>
      <c r="L325" s="171"/>
      <c r="M325" s="170"/>
      <c r="N325" s="171"/>
      <c r="O325" s="83"/>
      <c r="P325" s="83"/>
    </row>
    <row r="326">
      <c r="A326" s="164"/>
      <c r="B326" s="45"/>
      <c r="C326" s="83"/>
      <c r="D326" s="83"/>
      <c r="E326" s="83"/>
      <c r="F326" s="165"/>
      <c r="G326" s="165"/>
      <c r="H326" s="52"/>
      <c r="I326" s="170"/>
      <c r="J326" s="171"/>
      <c r="K326" s="170"/>
      <c r="L326" s="171"/>
      <c r="M326" s="170"/>
      <c r="N326" s="171"/>
      <c r="O326" s="83"/>
      <c r="P326" s="83"/>
    </row>
    <row r="327">
      <c r="A327" s="164"/>
      <c r="B327" s="45"/>
      <c r="C327" s="83"/>
      <c r="D327" s="83"/>
      <c r="E327" s="83"/>
      <c r="F327" s="165"/>
      <c r="G327" s="165"/>
      <c r="H327" s="52"/>
      <c r="I327" s="170"/>
      <c r="J327" s="171"/>
      <c r="K327" s="170"/>
      <c r="L327" s="171"/>
      <c r="M327" s="170"/>
      <c r="N327" s="171"/>
      <c r="O327" s="83"/>
      <c r="P327" s="83"/>
    </row>
    <row r="328">
      <c r="A328" s="164"/>
      <c r="B328" s="45"/>
      <c r="C328" s="83"/>
      <c r="D328" s="83"/>
      <c r="E328" s="83"/>
      <c r="F328" s="165"/>
      <c r="G328" s="165"/>
      <c r="H328" s="52"/>
      <c r="I328" s="170"/>
      <c r="J328" s="171"/>
      <c r="K328" s="170"/>
      <c r="L328" s="171"/>
      <c r="M328" s="170"/>
      <c r="N328" s="171"/>
      <c r="O328" s="83"/>
      <c r="P328" s="83"/>
    </row>
    <row r="329">
      <c r="A329" s="164"/>
      <c r="B329" s="45"/>
      <c r="C329" s="83"/>
      <c r="D329" s="83"/>
      <c r="E329" s="83"/>
      <c r="F329" s="165"/>
      <c r="G329" s="165"/>
      <c r="H329" s="52"/>
      <c r="I329" s="170"/>
      <c r="J329" s="171"/>
      <c r="K329" s="170"/>
      <c r="L329" s="171"/>
      <c r="M329" s="170"/>
      <c r="N329" s="171"/>
      <c r="O329" s="83"/>
      <c r="P329" s="83"/>
    </row>
    <row r="330">
      <c r="A330" s="164"/>
      <c r="B330" s="45"/>
      <c r="C330" s="83"/>
      <c r="D330" s="83"/>
      <c r="E330" s="83"/>
      <c r="F330" s="165"/>
      <c r="G330" s="165"/>
      <c r="H330" s="52"/>
      <c r="I330" s="170"/>
      <c r="J330" s="171"/>
      <c r="K330" s="170"/>
      <c r="L330" s="171"/>
      <c r="M330" s="170"/>
      <c r="N330" s="171"/>
      <c r="O330" s="83"/>
      <c r="P330" s="83"/>
    </row>
    <row r="331">
      <c r="A331" s="164"/>
      <c r="B331" s="45"/>
      <c r="C331" s="83"/>
      <c r="D331" s="83"/>
      <c r="E331" s="83"/>
      <c r="F331" s="165"/>
      <c r="G331" s="165"/>
      <c r="H331" s="52"/>
      <c r="I331" s="170"/>
      <c r="J331" s="171"/>
      <c r="K331" s="170"/>
      <c r="L331" s="171"/>
      <c r="M331" s="170"/>
      <c r="N331" s="171"/>
      <c r="O331" s="83"/>
      <c r="P331" s="83"/>
    </row>
    <row r="332">
      <c r="A332" s="164"/>
      <c r="B332" s="45"/>
      <c r="C332" s="83"/>
      <c r="D332" s="83"/>
      <c r="E332" s="83"/>
      <c r="F332" s="165"/>
      <c r="G332" s="165"/>
      <c r="H332" s="52"/>
      <c r="I332" s="170"/>
      <c r="J332" s="171"/>
      <c r="K332" s="170"/>
      <c r="L332" s="171"/>
      <c r="M332" s="170"/>
      <c r="N332" s="171"/>
      <c r="O332" s="83"/>
      <c r="P332" s="83"/>
    </row>
    <row r="333">
      <c r="A333" s="164"/>
      <c r="B333" s="45"/>
      <c r="C333" s="83"/>
      <c r="D333" s="83"/>
      <c r="E333" s="83"/>
      <c r="F333" s="165"/>
      <c r="G333" s="165"/>
      <c r="H333" s="52"/>
      <c r="I333" s="170"/>
      <c r="J333" s="171"/>
      <c r="K333" s="170"/>
      <c r="L333" s="171"/>
      <c r="M333" s="170"/>
      <c r="N333" s="171"/>
      <c r="O333" s="83"/>
      <c r="P333" s="83"/>
    </row>
    <row r="334">
      <c r="A334" s="164"/>
      <c r="B334" s="45"/>
      <c r="C334" s="83"/>
      <c r="D334" s="83"/>
      <c r="E334" s="83"/>
      <c r="F334" s="165"/>
      <c r="G334" s="165"/>
      <c r="H334" s="52"/>
      <c r="I334" s="170"/>
      <c r="J334" s="171"/>
      <c r="K334" s="170"/>
      <c r="L334" s="171"/>
      <c r="M334" s="170"/>
      <c r="N334" s="171"/>
      <c r="O334" s="83"/>
      <c r="P334" s="83"/>
    </row>
    <row r="335">
      <c r="A335" s="164"/>
      <c r="B335" s="45"/>
      <c r="C335" s="83"/>
      <c r="D335" s="83"/>
      <c r="E335" s="83"/>
      <c r="F335" s="165"/>
      <c r="G335" s="165"/>
      <c r="H335" s="52"/>
      <c r="I335" s="170"/>
      <c r="J335" s="171"/>
      <c r="K335" s="170"/>
      <c r="L335" s="171"/>
      <c r="M335" s="170"/>
      <c r="N335" s="171"/>
      <c r="O335" s="83"/>
      <c r="P335" s="83"/>
    </row>
    <row r="336">
      <c r="A336" s="164"/>
      <c r="B336" s="45"/>
      <c r="C336" s="83"/>
      <c r="D336" s="83"/>
      <c r="E336" s="83"/>
      <c r="F336" s="165"/>
      <c r="G336" s="165"/>
      <c r="H336" s="52"/>
      <c r="I336" s="170"/>
      <c r="J336" s="171"/>
      <c r="K336" s="170"/>
      <c r="L336" s="171"/>
      <c r="M336" s="170"/>
      <c r="N336" s="171"/>
      <c r="O336" s="83"/>
      <c r="P336" s="83"/>
    </row>
    <row r="337">
      <c r="A337" s="164"/>
      <c r="B337" s="45"/>
      <c r="C337" s="83"/>
      <c r="D337" s="83"/>
      <c r="E337" s="83"/>
      <c r="F337" s="165"/>
      <c r="G337" s="165"/>
      <c r="H337" s="52"/>
      <c r="I337" s="170"/>
      <c r="J337" s="171"/>
      <c r="K337" s="170"/>
      <c r="L337" s="171"/>
      <c r="M337" s="170"/>
      <c r="N337" s="171"/>
      <c r="O337" s="83"/>
      <c r="P337" s="83"/>
    </row>
    <row r="338">
      <c r="A338" s="164"/>
      <c r="B338" s="45"/>
      <c r="C338" s="83"/>
      <c r="D338" s="83"/>
      <c r="E338" s="83"/>
      <c r="F338" s="165"/>
      <c r="G338" s="165"/>
      <c r="H338" s="52"/>
      <c r="I338" s="170"/>
      <c r="J338" s="171"/>
      <c r="K338" s="170"/>
      <c r="L338" s="171"/>
      <c r="M338" s="170"/>
      <c r="N338" s="171"/>
      <c r="O338" s="83"/>
      <c r="P338" s="83"/>
    </row>
    <row r="339">
      <c r="A339" s="164"/>
      <c r="B339" s="45"/>
      <c r="C339" s="83"/>
      <c r="D339" s="83"/>
      <c r="E339" s="83"/>
      <c r="F339" s="165"/>
      <c r="G339" s="165"/>
      <c r="H339" s="52"/>
      <c r="I339" s="170"/>
      <c r="J339" s="171"/>
      <c r="K339" s="170"/>
      <c r="L339" s="171"/>
      <c r="M339" s="170"/>
      <c r="N339" s="171"/>
      <c r="O339" s="83"/>
      <c r="P339" s="83"/>
    </row>
    <row r="340">
      <c r="A340" s="164"/>
      <c r="B340" s="45"/>
      <c r="C340" s="83"/>
      <c r="D340" s="83"/>
      <c r="E340" s="83"/>
      <c r="F340" s="165"/>
      <c r="G340" s="165"/>
      <c r="H340" s="52"/>
      <c r="I340" s="170"/>
      <c r="J340" s="171"/>
      <c r="K340" s="170"/>
      <c r="L340" s="171"/>
      <c r="M340" s="170"/>
      <c r="N340" s="171"/>
      <c r="O340" s="83"/>
      <c r="P340" s="83"/>
    </row>
    <row r="341">
      <c r="A341" s="164"/>
      <c r="B341" s="45"/>
      <c r="C341" s="83"/>
      <c r="D341" s="83"/>
      <c r="E341" s="83"/>
      <c r="F341" s="165"/>
      <c r="G341" s="165"/>
      <c r="H341" s="52"/>
      <c r="I341" s="170"/>
      <c r="J341" s="171"/>
      <c r="K341" s="170"/>
      <c r="L341" s="171"/>
      <c r="M341" s="170"/>
      <c r="N341" s="171"/>
      <c r="O341" s="83"/>
      <c r="P341" s="83"/>
    </row>
    <row r="342">
      <c r="A342" s="164"/>
      <c r="B342" s="45"/>
      <c r="C342" s="83"/>
      <c r="D342" s="83"/>
      <c r="E342" s="83"/>
      <c r="F342" s="165"/>
      <c r="G342" s="165"/>
      <c r="H342" s="52"/>
      <c r="I342" s="170"/>
      <c r="J342" s="171"/>
      <c r="K342" s="170"/>
      <c r="L342" s="171"/>
      <c r="M342" s="170"/>
      <c r="N342" s="171"/>
      <c r="O342" s="83"/>
      <c r="P342" s="83"/>
    </row>
    <row r="343">
      <c r="A343" s="164"/>
      <c r="B343" s="45"/>
      <c r="C343" s="83"/>
      <c r="D343" s="83"/>
      <c r="E343" s="83"/>
      <c r="F343" s="165"/>
      <c r="G343" s="165"/>
      <c r="H343" s="52"/>
      <c r="I343" s="170"/>
      <c r="J343" s="171"/>
      <c r="K343" s="170"/>
      <c r="L343" s="171"/>
      <c r="M343" s="170"/>
      <c r="N343" s="171"/>
      <c r="O343" s="83"/>
      <c r="P343" s="83"/>
    </row>
    <row r="344">
      <c r="A344" s="164"/>
      <c r="B344" s="45"/>
      <c r="C344" s="83"/>
      <c r="D344" s="83"/>
      <c r="E344" s="83"/>
      <c r="F344" s="165"/>
      <c r="G344" s="165"/>
      <c r="H344" s="52"/>
      <c r="I344" s="170"/>
      <c r="J344" s="171"/>
      <c r="K344" s="170"/>
      <c r="L344" s="171"/>
      <c r="M344" s="170"/>
      <c r="N344" s="171"/>
      <c r="O344" s="83"/>
      <c r="P344" s="83"/>
    </row>
    <row r="345">
      <c r="A345" s="164"/>
      <c r="B345" s="45"/>
      <c r="C345" s="83"/>
      <c r="D345" s="83"/>
      <c r="E345" s="83"/>
      <c r="F345" s="165"/>
      <c r="G345" s="165"/>
      <c r="H345" s="52"/>
      <c r="I345" s="170"/>
      <c r="J345" s="171"/>
      <c r="K345" s="170"/>
      <c r="L345" s="171"/>
      <c r="M345" s="170"/>
      <c r="N345" s="171"/>
      <c r="O345" s="83"/>
      <c r="P345" s="83"/>
    </row>
    <row r="346">
      <c r="A346" s="164"/>
      <c r="B346" s="45"/>
      <c r="C346" s="83"/>
      <c r="D346" s="83"/>
      <c r="E346" s="83"/>
      <c r="F346" s="165"/>
      <c r="G346" s="165"/>
      <c r="H346" s="52"/>
      <c r="I346" s="170"/>
      <c r="J346" s="171"/>
      <c r="K346" s="170"/>
      <c r="L346" s="171"/>
      <c r="M346" s="170"/>
      <c r="N346" s="171"/>
      <c r="O346" s="83"/>
      <c r="P346" s="83"/>
    </row>
    <row r="347">
      <c r="A347" s="164"/>
      <c r="B347" s="45"/>
      <c r="C347" s="83"/>
      <c r="D347" s="83"/>
      <c r="E347" s="83"/>
      <c r="F347" s="165"/>
      <c r="G347" s="165"/>
      <c r="H347" s="52"/>
      <c r="I347" s="170"/>
      <c r="J347" s="171"/>
      <c r="K347" s="170"/>
      <c r="L347" s="171"/>
      <c r="M347" s="170"/>
      <c r="N347" s="171"/>
      <c r="O347" s="83"/>
      <c r="P347" s="83"/>
    </row>
    <row r="348">
      <c r="A348" s="164"/>
      <c r="B348" s="45"/>
      <c r="C348" s="83"/>
      <c r="D348" s="83"/>
      <c r="E348" s="83"/>
      <c r="F348" s="165"/>
      <c r="G348" s="165"/>
      <c r="H348" s="52"/>
      <c r="I348" s="170"/>
      <c r="J348" s="171"/>
      <c r="K348" s="170"/>
      <c r="L348" s="171"/>
      <c r="M348" s="170"/>
      <c r="N348" s="171"/>
      <c r="O348" s="83"/>
      <c r="P348" s="83"/>
    </row>
    <row r="349">
      <c r="A349" s="164"/>
      <c r="B349" s="45"/>
      <c r="C349" s="83"/>
      <c r="D349" s="83"/>
      <c r="E349" s="83"/>
      <c r="F349" s="165"/>
      <c r="G349" s="165"/>
      <c r="H349" s="52"/>
      <c r="I349" s="170"/>
      <c r="J349" s="171"/>
      <c r="K349" s="170"/>
      <c r="L349" s="171"/>
      <c r="M349" s="170"/>
      <c r="N349" s="171"/>
      <c r="O349" s="83"/>
      <c r="P349" s="83"/>
    </row>
    <row r="350">
      <c r="A350" s="164"/>
      <c r="B350" s="45"/>
      <c r="C350" s="83"/>
      <c r="D350" s="83"/>
      <c r="E350" s="83"/>
      <c r="F350" s="165"/>
      <c r="G350" s="165"/>
      <c r="H350" s="52"/>
      <c r="I350" s="170"/>
      <c r="J350" s="171"/>
      <c r="K350" s="170"/>
      <c r="L350" s="171"/>
      <c r="M350" s="170"/>
      <c r="N350" s="171"/>
      <c r="O350" s="83"/>
      <c r="P350" s="83"/>
    </row>
    <row r="351">
      <c r="A351" s="164"/>
      <c r="B351" s="45"/>
      <c r="C351" s="83"/>
      <c r="D351" s="83"/>
      <c r="E351" s="83"/>
      <c r="F351" s="165"/>
      <c r="G351" s="165"/>
      <c r="H351" s="52"/>
      <c r="I351" s="170"/>
      <c r="J351" s="171"/>
      <c r="K351" s="170"/>
      <c r="L351" s="171"/>
      <c r="M351" s="170"/>
      <c r="N351" s="171"/>
      <c r="O351" s="83"/>
      <c r="P351" s="83"/>
    </row>
    <row r="352">
      <c r="A352" s="164"/>
      <c r="B352" s="45"/>
      <c r="C352" s="83"/>
      <c r="D352" s="83"/>
      <c r="E352" s="83"/>
      <c r="F352" s="165"/>
      <c r="G352" s="165"/>
      <c r="H352" s="52"/>
      <c r="I352" s="170"/>
      <c r="J352" s="171"/>
      <c r="K352" s="170"/>
      <c r="L352" s="171"/>
      <c r="M352" s="170"/>
      <c r="N352" s="171"/>
      <c r="O352" s="83"/>
      <c r="P352" s="83"/>
    </row>
    <row r="353">
      <c r="A353" s="164"/>
      <c r="B353" s="45"/>
      <c r="C353" s="83"/>
      <c r="D353" s="83"/>
      <c r="E353" s="83"/>
      <c r="F353" s="165"/>
      <c r="G353" s="165"/>
      <c r="H353" s="52"/>
      <c r="I353" s="170"/>
      <c r="J353" s="171"/>
      <c r="K353" s="170"/>
      <c r="L353" s="171"/>
      <c r="M353" s="170"/>
      <c r="N353" s="171"/>
      <c r="O353" s="83"/>
      <c r="P353" s="83"/>
    </row>
    <row r="354">
      <c r="A354" s="164"/>
      <c r="B354" s="45"/>
      <c r="C354" s="83"/>
      <c r="D354" s="83"/>
      <c r="E354" s="83"/>
      <c r="F354" s="165"/>
      <c r="G354" s="165"/>
      <c r="H354" s="52"/>
      <c r="I354" s="170"/>
      <c r="J354" s="171"/>
      <c r="K354" s="170"/>
      <c r="L354" s="171"/>
      <c r="M354" s="170"/>
      <c r="N354" s="171"/>
      <c r="O354" s="83"/>
      <c r="P354" s="83"/>
    </row>
    <row r="355">
      <c r="A355" s="164"/>
      <c r="B355" s="45"/>
      <c r="C355" s="83"/>
      <c r="D355" s="83"/>
      <c r="E355" s="83"/>
      <c r="F355" s="165"/>
      <c r="G355" s="165"/>
      <c r="H355" s="52"/>
      <c r="I355" s="170"/>
      <c r="J355" s="171"/>
      <c r="K355" s="170"/>
      <c r="L355" s="171"/>
      <c r="M355" s="170"/>
      <c r="N355" s="171"/>
      <c r="O355" s="83"/>
      <c r="P355" s="83"/>
    </row>
    <row r="356">
      <c r="A356" s="164"/>
      <c r="B356" s="45"/>
      <c r="C356" s="83"/>
      <c r="D356" s="83"/>
      <c r="E356" s="83"/>
      <c r="F356" s="165"/>
      <c r="G356" s="165"/>
      <c r="H356" s="52"/>
      <c r="I356" s="170"/>
      <c r="J356" s="171"/>
      <c r="K356" s="170"/>
      <c r="L356" s="171"/>
      <c r="M356" s="170"/>
      <c r="N356" s="171"/>
      <c r="O356" s="83"/>
      <c r="P356" s="83"/>
    </row>
    <row r="357">
      <c r="A357" s="164"/>
      <c r="B357" s="45"/>
      <c r="C357" s="83"/>
      <c r="D357" s="83"/>
      <c r="E357" s="83"/>
      <c r="F357" s="165"/>
      <c r="G357" s="165"/>
      <c r="H357" s="52"/>
      <c r="I357" s="170"/>
      <c r="J357" s="171"/>
      <c r="K357" s="170"/>
      <c r="L357" s="171"/>
      <c r="M357" s="170"/>
      <c r="N357" s="171"/>
      <c r="O357" s="83"/>
      <c r="P357" s="83"/>
    </row>
    <row r="358">
      <c r="A358" s="164"/>
      <c r="B358" s="45"/>
      <c r="C358" s="83"/>
      <c r="D358" s="83"/>
      <c r="E358" s="83"/>
      <c r="F358" s="165"/>
      <c r="G358" s="165"/>
      <c r="H358" s="52"/>
      <c r="I358" s="170"/>
      <c r="J358" s="171"/>
      <c r="K358" s="170"/>
      <c r="L358" s="171"/>
      <c r="M358" s="170"/>
      <c r="N358" s="171"/>
      <c r="O358" s="83"/>
      <c r="P358" s="83"/>
    </row>
    <row r="359">
      <c r="A359" s="164"/>
      <c r="B359" s="45"/>
      <c r="C359" s="83"/>
      <c r="D359" s="83"/>
      <c r="E359" s="83"/>
      <c r="F359" s="165"/>
      <c r="G359" s="165"/>
      <c r="H359" s="52"/>
      <c r="I359" s="170"/>
      <c r="J359" s="171"/>
      <c r="K359" s="170"/>
      <c r="L359" s="171"/>
      <c r="M359" s="170"/>
      <c r="N359" s="171"/>
      <c r="O359" s="83"/>
      <c r="P359" s="83"/>
    </row>
    <row r="360">
      <c r="A360" s="164"/>
      <c r="B360" s="45"/>
      <c r="C360" s="83"/>
      <c r="D360" s="83"/>
      <c r="E360" s="83"/>
      <c r="F360" s="165"/>
      <c r="G360" s="165"/>
      <c r="H360" s="52"/>
      <c r="I360" s="170"/>
      <c r="J360" s="171"/>
      <c r="K360" s="170"/>
      <c r="L360" s="171"/>
      <c r="M360" s="170"/>
      <c r="N360" s="171"/>
      <c r="O360" s="83"/>
      <c r="P360" s="83"/>
    </row>
    <row r="361">
      <c r="A361" s="164"/>
      <c r="B361" s="45"/>
      <c r="C361" s="83"/>
      <c r="D361" s="83"/>
      <c r="E361" s="83"/>
      <c r="F361" s="165"/>
      <c r="G361" s="165"/>
      <c r="H361" s="52"/>
      <c r="I361" s="170"/>
      <c r="J361" s="171"/>
      <c r="K361" s="170"/>
      <c r="L361" s="171"/>
      <c r="M361" s="170"/>
      <c r="N361" s="171"/>
      <c r="O361" s="83"/>
      <c r="P361" s="83"/>
    </row>
    <row r="362">
      <c r="A362" s="164"/>
      <c r="B362" s="45"/>
      <c r="C362" s="83"/>
      <c r="D362" s="83"/>
      <c r="E362" s="83"/>
      <c r="F362" s="165"/>
      <c r="G362" s="165"/>
      <c r="H362" s="52"/>
      <c r="I362" s="170"/>
      <c r="J362" s="171"/>
      <c r="K362" s="170"/>
      <c r="L362" s="171"/>
      <c r="M362" s="170"/>
      <c r="N362" s="171"/>
      <c r="O362" s="83"/>
      <c r="P362" s="83"/>
    </row>
    <row r="363">
      <c r="A363" s="164"/>
      <c r="B363" s="45"/>
      <c r="C363" s="83"/>
      <c r="D363" s="83"/>
      <c r="E363" s="83"/>
      <c r="F363" s="165"/>
      <c r="G363" s="165"/>
      <c r="H363" s="52"/>
      <c r="I363" s="170"/>
      <c r="J363" s="171"/>
      <c r="K363" s="170"/>
      <c r="L363" s="171"/>
      <c r="M363" s="170"/>
      <c r="N363" s="171"/>
      <c r="O363" s="83"/>
      <c r="P363" s="83"/>
    </row>
    <row r="364">
      <c r="A364" s="164"/>
      <c r="B364" s="45"/>
      <c r="C364" s="83"/>
      <c r="D364" s="83"/>
      <c r="E364" s="83"/>
      <c r="F364" s="165"/>
      <c r="G364" s="165"/>
      <c r="H364" s="52"/>
      <c r="I364" s="170"/>
      <c r="J364" s="171"/>
      <c r="K364" s="170"/>
      <c r="L364" s="171"/>
      <c r="M364" s="170"/>
      <c r="N364" s="171"/>
      <c r="O364" s="83"/>
      <c r="P364" s="83"/>
    </row>
    <row r="365">
      <c r="A365" s="164"/>
      <c r="B365" s="45"/>
      <c r="C365" s="83"/>
      <c r="D365" s="83"/>
      <c r="E365" s="83"/>
      <c r="F365" s="165"/>
      <c r="G365" s="165"/>
      <c r="H365" s="52"/>
      <c r="I365" s="170"/>
      <c r="J365" s="171"/>
      <c r="K365" s="170"/>
      <c r="L365" s="171"/>
      <c r="M365" s="170"/>
      <c r="N365" s="171"/>
      <c r="O365" s="83"/>
      <c r="P365" s="83"/>
    </row>
    <row r="366">
      <c r="A366" s="164"/>
      <c r="B366" s="45"/>
      <c r="C366" s="83"/>
      <c r="D366" s="83"/>
      <c r="E366" s="83"/>
      <c r="F366" s="165"/>
      <c r="G366" s="165"/>
      <c r="H366" s="52"/>
      <c r="I366" s="170"/>
      <c r="J366" s="171"/>
      <c r="K366" s="170"/>
      <c r="L366" s="171"/>
      <c r="M366" s="170"/>
      <c r="N366" s="171"/>
      <c r="O366" s="83"/>
      <c r="P366" s="83"/>
    </row>
    <row r="367">
      <c r="A367" s="164"/>
      <c r="B367" s="45"/>
      <c r="C367" s="83"/>
      <c r="D367" s="83"/>
      <c r="E367" s="83"/>
      <c r="F367" s="165"/>
      <c r="G367" s="165"/>
      <c r="H367" s="52"/>
      <c r="I367" s="170"/>
      <c r="J367" s="171"/>
      <c r="K367" s="170"/>
      <c r="L367" s="171"/>
      <c r="M367" s="170"/>
      <c r="N367" s="171"/>
      <c r="O367" s="83"/>
      <c r="P367" s="83"/>
    </row>
    <row r="368">
      <c r="A368" s="164"/>
      <c r="B368" s="45"/>
      <c r="C368" s="83"/>
      <c r="D368" s="83"/>
      <c r="E368" s="83"/>
      <c r="F368" s="165"/>
      <c r="G368" s="165"/>
      <c r="H368" s="52"/>
      <c r="I368" s="170"/>
      <c r="J368" s="171"/>
      <c r="K368" s="170"/>
      <c r="L368" s="171"/>
      <c r="M368" s="170"/>
      <c r="N368" s="171"/>
      <c r="O368" s="83"/>
      <c r="P368" s="83"/>
    </row>
    <row r="369">
      <c r="A369" s="164"/>
      <c r="B369" s="45"/>
      <c r="C369" s="83"/>
      <c r="D369" s="83"/>
      <c r="E369" s="83"/>
      <c r="F369" s="165"/>
      <c r="G369" s="165"/>
      <c r="H369" s="52"/>
      <c r="I369" s="170"/>
      <c r="J369" s="171"/>
      <c r="K369" s="170"/>
      <c r="L369" s="171"/>
      <c r="M369" s="170"/>
      <c r="N369" s="171"/>
      <c r="O369" s="83"/>
      <c r="P369" s="83"/>
    </row>
    <row r="370">
      <c r="A370" s="164"/>
      <c r="B370" s="45"/>
      <c r="C370" s="83"/>
      <c r="D370" s="83"/>
      <c r="E370" s="83"/>
      <c r="F370" s="165"/>
      <c r="G370" s="165"/>
      <c r="H370" s="52"/>
      <c r="I370" s="170"/>
      <c r="J370" s="171"/>
      <c r="K370" s="170"/>
      <c r="L370" s="171"/>
      <c r="M370" s="170"/>
      <c r="N370" s="171"/>
      <c r="O370" s="83"/>
      <c r="P370" s="83"/>
    </row>
    <row r="371">
      <c r="A371" s="164"/>
      <c r="B371" s="45"/>
      <c r="C371" s="83"/>
      <c r="D371" s="83"/>
      <c r="E371" s="83"/>
      <c r="F371" s="165"/>
      <c r="G371" s="165"/>
      <c r="H371" s="52"/>
      <c r="I371" s="170"/>
      <c r="J371" s="171"/>
      <c r="K371" s="170"/>
      <c r="L371" s="171"/>
      <c r="M371" s="170"/>
      <c r="N371" s="171"/>
      <c r="O371" s="83"/>
      <c r="P371" s="83"/>
    </row>
    <row r="372">
      <c r="A372" s="164"/>
      <c r="B372" s="45"/>
      <c r="C372" s="83"/>
      <c r="D372" s="83"/>
      <c r="E372" s="83"/>
      <c r="F372" s="165"/>
      <c r="G372" s="165"/>
      <c r="H372" s="52"/>
      <c r="I372" s="170"/>
      <c r="J372" s="171"/>
      <c r="K372" s="170"/>
      <c r="L372" s="171"/>
      <c r="M372" s="170"/>
      <c r="N372" s="171"/>
      <c r="O372" s="83"/>
      <c r="P372" s="83"/>
    </row>
    <row r="373">
      <c r="A373" s="164"/>
      <c r="B373" s="45"/>
      <c r="C373" s="83"/>
      <c r="D373" s="83"/>
      <c r="E373" s="83"/>
      <c r="F373" s="165"/>
      <c r="G373" s="165"/>
      <c r="H373" s="52"/>
      <c r="I373" s="170"/>
      <c r="J373" s="171"/>
      <c r="K373" s="170"/>
      <c r="L373" s="171"/>
      <c r="M373" s="170"/>
      <c r="N373" s="171"/>
      <c r="O373" s="83"/>
      <c r="P373" s="83"/>
    </row>
    <row r="374">
      <c r="A374" s="164"/>
      <c r="B374" s="45"/>
      <c r="C374" s="83"/>
      <c r="D374" s="83"/>
      <c r="E374" s="83"/>
      <c r="F374" s="165"/>
      <c r="G374" s="165"/>
      <c r="H374" s="52"/>
      <c r="I374" s="170"/>
      <c r="J374" s="171"/>
      <c r="K374" s="170"/>
      <c r="L374" s="171"/>
      <c r="M374" s="170"/>
      <c r="N374" s="171"/>
      <c r="O374" s="83"/>
      <c r="P374" s="83"/>
    </row>
    <row r="375">
      <c r="A375" s="164"/>
      <c r="B375" s="45"/>
      <c r="C375" s="83"/>
      <c r="D375" s="83"/>
      <c r="E375" s="83"/>
      <c r="F375" s="165"/>
      <c r="G375" s="165"/>
      <c r="H375" s="52"/>
      <c r="I375" s="170"/>
      <c r="J375" s="171"/>
      <c r="K375" s="170"/>
      <c r="L375" s="171"/>
      <c r="M375" s="170"/>
      <c r="N375" s="171"/>
      <c r="O375" s="83"/>
      <c r="P375" s="83"/>
    </row>
    <row r="376">
      <c r="A376" s="164"/>
      <c r="B376" s="45"/>
      <c r="C376" s="83"/>
      <c r="D376" s="83"/>
      <c r="E376" s="83"/>
      <c r="F376" s="165"/>
      <c r="G376" s="165"/>
      <c r="H376" s="52"/>
      <c r="I376" s="170"/>
      <c r="J376" s="171"/>
      <c r="K376" s="170"/>
      <c r="L376" s="171"/>
      <c r="M376" s="170"/>
      <c r="N376" s="171"/>
      <c r="O376" s="83"/>
      <c r="P376" s="83"/>
    </row>
    <row r="377">
      <c r="A377" s="164"/>
      <c r="B377" s="45"/>
      <c r="C377" s="83"/>
      <c r="D377" s="83"/>
      <c r="E377" s="83"/>
      <c r="F377" s="165"/>
      <c r="G377" s="165"/>
      <c r="H377" s="52"/>
      <c r="I377" s="170"/>
      <c r="J377" s="171"/>
      <c r="K377" s="170"/>
      <c r="L377" s="171"/>
      <c r="M377" s="170"/>
      <c r="N377" s="171"/>
      <c r="O377" s="83"/>
      <c r="P377" s="83"/>
    </row>
    <row r="378">
      <c r="A378" s="164"/>
      <c r="B378" s="45"/>
      <c r="C378" s="83"/>
      <c r="D378" s="83"/>
      <c r="E378" s="83"/>
      <c r="F378" s="165"/>
      <c r="G378" s="165"/>
      <c r="H378" s="52"/>
      <c r="I378" s="170"/>
      <c r="J378" s="171"/>
      <c r="K378" s="170"/>
      <c r="L378" s="171"/>
      <c r="M378" s="170"/>
      <c r="N378" s="171"/>
      <c r="O378" s="83"/>
      <c r="P378" s="83"/>
    </row>
    <row r="379">
      <c r="A379" s="164"/>
      <c r="B379" s="45"/>
      <c r="C379" s="83"/>
      <c r="D379" s="83"/>
      <c r="E379" s="83"/>
      <c r="F379" s="165"/>
      <c r="G379" s="165"/>
      <c r="H379" s="52"/>
      <c r="I379" s="170"/>
      <c r="J379" s="171"/>
      <c r="K379" s="170"/>
      <c r="L379" s="171"/>
      <c r="M379" s="170"/>
      <c r="N379" s="171"/>
      <c r="O379" s="83"/>
      <c r="P379" s="83"/>
    </row>
    <row r="380">
      <c r="A380" s="164"/>
      <c r="B380" s="45"/>
      <c r="C380" s="83"/>
      <c r="D380" s="83"/>
      <c r="E380" s="83"/>
      <c r="F380" s="165"/>
      <c r="G380" s="165"/>
      <c r="H380" s="52"/>
      <c r="I380" s="170"/>
      <c r="J380" s="171"/>
      <c r="K380" s="170"/>
      <c r="L380" s="171"/>
      <c r="M380" s="170"/>
      <c r="N380" s="171"/>
      <c r="O380" s="83"/>
      <c r="P380" s="83"/>
    </row>
    <row r="381">
      <c r="A381" s="164"/>
      <c r="B381" s="45"/>
      <c r="C381" s="83"/>
      <c r="D381" s="83"/>
      <c r="E381" s="83"/>
      <c r="F381" s="165"/>
      <c r="G381" s="165"/>
      <c r="H381" s="52"/>
      <c r="I381" s="170"/>
      <c r="J381" s="171"/>
      <c r="K381" s="170"/>
      <c r="L381" s="171"/>
      <c r="M381" s="170"/>
      <c r="N381" s="171"/>
      <c r="O381" s="83"/>
      <c r="P381" s="83"/>
    </row>
    <row r="382">
      <c r="A382" s="164"/>
      <c r="B382" s="45"/>
      <c r="C382" s="83"/>
      <c r="D382" s="83"/>
      <c r="E382" s="83"/>
      <c r="F382" s="165"/>
      <c r="G382" s="165"/>
      <c r="H382" s="52"/>
      <c r="I382" s="170"/>
      <c r="J382" s="171"/>
      <c r="K382" s="170"/>
      <c r="L382" s="171"/>
      <c r="M382" s="170"/>
      <c r="N382" s="171"/>
      <c r="O382" s="83"/>
      <c r="P382" s="83"/>
    </row>
    <row r="383">
      <c r="A383" s="164"/>
      <c r="B383" s="45"/>
      <c r="C383" s="83"/>
      <c r="D383" s="83"/>
      <c r="E383" s="83"/>
      <c r="F383" s="165"/>
      <c r="G383" s="165"/>
      <c r="H383" s="52"/>
      <c r="I383" s="170"/>
      <c r="J383" s="171"/>
      <c r="K383" s="170"/>
      <c r="L383" s="171"/>
      <c r="M383" s="170"/>
      <c r="N383" s="171"/>
      <c r="O383" s="83"/>
      <c r="P383" s="83"/>
    </row>
    <row r="384">
      <c r="A384" s="164"/>
      <c r="B384" s="45"/>
      <c r="C384" s="83"/>
      <c r="D384" s="83"/>
      <c r="E384" s="83"/>
      <c r="F384" s="165"/>
      <c r="G384" s="165"/>
      <c r="H384" s="52"/>
      <c r="I384" s="170"/>
      <c r="J384" s="171"/>
      <c r="K384" s="170"/>
      <c r="L384" s="171"/>
      <c r="M384" s="170"/>
      <c r="N384" s="171"/>
      <c r="O384" s="83"/>
      <c r="P384" s="83"/>
    </row>
    <row r="385">
      <c r="A385" s="164"/>
      <c r="B385" s="45"/>
      <c r="C385" s="83"/>
      <c r="D385" s="83"/>
      <c r="E385" s="83"/>
      <c r="F385" s="165"/>
      <c r="G385" s="165"/>
      <c r="H385" s="52"/>
      <c r="I385" s="170"/>
      <c r="J385" s="171"/>
      <c r="K385" s="170"/>
      <c r="L385" s="171"/>
      <c r="M385" s="170"/>
      <c r="N385" s="171"/>
      <c r="O385" s="83"/>
      <c r="P385" s="83"/>
    </row>
    <row r="386">
      <c r="A386" s="164"/>
      <c r="B386" s="45"/>
      <c r="C386" s="83"/>
      <c r="D386" s="83"/>
      <c r="E386" s="83"/>
      <c r="F386" s="165"/>
      <c r="G386" s="165"/>
      <c r="H386" s="52"/>
      <c r="I386" s="170"/>
      <c r="J386" s="171"/>
      <c r="K386" s="170"/>
      <c r="L386" s="171"/>
      <c r="M386" s="170"/>
      <c r="N386" s="171"/>
      <c r="O386" s="83"/>
      <c r="P386" s="83"/>
    </row>
    <row r="387">
      <c r="A387" s="164"/>
      <c r="B387" s="45"/>
      <c r="C387" s="83"/>
      <c r="D387" s="83"/>
      <c r="E387" s="83"/>
      <c r="F387" s="165"/>
      <c r="G387" s="165"/>
      <c r="H387" s="52"/>
      <c r="I387" s="170"/>
      <c r="J387" s="171"/>
      <c r="K387" s="170"/>
      <c r="L387" s="171"/>
      <c r="M387" s="170"/>
      <c r="N387" s="171"/>
      <c r="O387" s="83"/>
      <c r="P387" s="83"/>
    </row>
    <row r="388">
      <c r="A388" s="164"/>
      <c r="B388" s="45"/>
      <c r="C388" s="83"/>
      <c r="D388" s="83"/>
      <c r="E388" s="83"/>
      <c r="F388" s="165"/>
      <c r="G388" s="165"/>
      <c r="H388" s="52"/>
      <c r="I388" s="170"/>
      <c r="J388" s="171"/>
      <c r="K388" s="170"/>
      <c r="L388" s="171"/>
      <c r="M388" s="170"/>
      <c r="N388" s="171"/>
      <c r="O388" s="83"/>
      <c r="P388" s="83"/>
    </row>
    <row r="389">
      <c r="A389" s="164"/>
      <c r="B389" s="45"/>
      <c r="C389" s="83"/>
      <c r="D389" s="83"/>
      <c r="E389" s="83"/>
      <c r="F389" s="165"/>
      <c r="G389" s="165"/>
      <c r="H389" s="52"/>
      <c r="I389" s="170"/>
      <c r="J389" s="171"/>
      <c r="K389" s="170"/>
      <c r="L389" s="171"/>
      <c r="M389" s="170"/>
      <c r="N389" s="171"/>
      <c r="O389" s="83"/>
      <c r="P389" s="83"/>
    </row>
    <row r="390">
      <c r="A390" s="164"/>
      <c r="B390" s="45"/>
      <c r="C390" s="83"/>
      <c r="D390" s="83"/>
      <c r="E390" s="83"/>
      <c r="F390" s="165"/>
      <c r="G390" s="165"/>
      <c r="H390" s="52"/>
      <c r="I390" s="170"/>
      <c r="J390" s="171"/>
      <c r="K390" s="170"/>
      <c r="L390" s="171"/>
      <c r="M390" s="170"/>
      <c r="N390" s="171"/>
      <c r="O390" s="83"/>
      <c r="P390" s="83"/>
    </row>
    <row r="391">
      <c r="A391" s="164"/>
      <c r="B391" s="45"/>
      <c r="C391" s="83"/>
      <c r="D391" s="83"/>
      <c r="E391" s="83"/>
      <c r="F391" s="165"/>
      <c r="G391" s="165"/>
      <c r="H391" s="52"/>
      <c r="I391" s="170"/>
      <c r="J391" s="171"/>
      <c r="K391" s="170"/>
      <c r="L391" s="171"/>
      <c r="M391" s="170"/>
      <c r="N391" s="171"/>
      <c r="O391" s="83"/>
      <c r="P391" s="83"/>
    </row>
    <row r="392">
      <c r="A392" s="164"/>
      <c r="B392" s="45"/>
      <c r="C392" s="83"/>
      <c r="D392" s="83"/>
      <c r="E392" s="83"/>
      <c r="F392" s="165"/>
      <c r="G392" s="165"/>
      <c r="H392" s="52"/>
      <c r="I392" s="170"/>
      <c r="J392" s="171"/>
      <c r="K392" s="170"/>
      <c r="L392" s="171"/>
      <c r="M392" s="170"/>
      <c r="N392" s="171"/>
      <c r="O392" s="83"/>
      <c r="P392" s="83"/>
    </row>
    <row r="393">
      <c r="A393" s="164"/>
      <c r="B393" s="45"/>
      <c r="C393" s="83"/>
      <c r="D393" s="83"/>
      <c r="E393" s="83"/>
      <c r="F393" s="165"/>
      <c r="G393" s="165"/>
      <c r="H393" s="52"/>
      <c r="I393" s="170"/>
      <c r="J393" s="171"/>
      <c r="K393" s="170"/>
      <c r="L393" s="171"/>
      <c r="M393" s="170"/>
      <c r="N393" s="171"/>
      <c r="O393" s="83"/>
      <c r="P393" s="83"/>
    </row>
    <row r="394">
      <c r="A394" s="164"/>
      <c r="B394" s="45"/>
      <c r="C394" s="83"/>
      <c r="D394" s="83"/>
      <c r="E394" s="83"/>
      <c r="F394" s="165"/>
      <c r="G394" s="165"/>
      <c r="H394" s="52"/>
      <c r="I394" s="170"/>
      <c r="J394" s="171"/>
      <c r="K394" s="170"/>
      <c r="L394" s="171"/>
      <c r="M394" s="170"/>
      <c r="N394" s="171"/>
      <c r="O394" s="83"/>
      <c r="P394" s="83"/>
    </row>
    <row r="395">
      <c r="A395" s="164"/>
      <c r="B395" s="45"/>
      <c r="C395" s="83"/>
      <c r="D395" s="83"/>
      <c r="E395" s="83"/>
      <c r="F395" s="165"/>
      <c r="G395" s="165"/>
      <c r="H395" s="52"/>
      <c r="I395" s="170"/>
      <c r="J395" s="171"/>
      <c r="K395" s="170"/>
      <c r="L395" s="171"/>
      <c r="M395" s="170"/>
      <c r="N395" s="171"/>
      <c r="O395" s="83"/>
      <c r="P395" s="83"/>
    </row>
    <row r="396">
      <c r="A396" s="164"/>
      <c r="B396" s="45"/>
      <c r="C396" s="83"/>
      <c r="D396" s="83"/>
      <c r="E396" s="83"/>
      <c r="F396" s="165"/>
      <c r="G396" s="165"/>
      <c r="H396" s="52"/>
      <c r="I396" s="170"/>
      <c r="J396" s="171"/>
      <c r="K396" s="170"/>
      <c r="L396" s="171"/>
      <c r="M396" s="170"/>
      <c r="N396" s="171"/>
      <c r="O396" s="83"/>
      <c r="P396" s="83"/>
    </row>
    <row r="397">
      <c r="A397" s="164"/>
      <c r="B397" s="45"/>
      <c r="C397" s="83"/>
      <c r="D397" s="83"/>
      <c r="E397" s="83"/>
      <c r="F397" s="165"/>
      <c r="G397" s="165"/>
      <c r="H397" s="52"/>
      <c r="I397" s="170"/>
      <c r="J397" s="171"/>
      <c r="K397" s="170"/>
      <c r="L397" s="171"/>
      <c r="M397" s="170"/>
      <c r="N397" s="171"/>
      <c r="O397" s="83"/>
      <c r="P397" s="83"/>
    </row>
    <row r="398">
      <c r="A398" s="164"/>
      <c r="B398" s="45"/>
      <c r="C398" s="83"/>
      <c r="D398" s="83"/>
      <c r="E398" s="83"/>
      <c r="F398" s="165"/>
      <c r="G398" s="165"/>
      <c r="H398" s="52"/>
      <c r="I398" s="170"/>
      <c r="J398" s="171"/>
      <c r="K398" s="170"/>
      <c r="L398" s="171"/>
      <c r="M398" s="170"/>
      <c r="N398" s="171"/>
      <c r="O398" s="83"/>
      <c r="P398" s="83"/>
    </row>
    <row r="399">
      <c r="A399" s="164"/>
      <c r="B399" s="45"/>
      <c r="C399" s="83"/>
      <c r="D399" s="83"/>
      <c r="E399" s="83"/>
      <c r="F399" s="165"/>
      <c r="G399" s="165"/>
      <c r="H399" s="52"/>
      <c r="I399" s="170"/>
      <c r="J399" s="171"/>
      <c r="K399" s="170"/>
      <c r="L399" s="171"/>
      <c r="M399" s="170"/>
      <c r="N399" s="171"/>
      <c r="O399" s="83"/>
      <c r="P399" s="83"/>
    </row>
    <row r="400">
      <c r="A400" s="164"/>
      <c r="B400" s="45"/>
      <c r="C400" s="83"/>
      <c r="D400" s="83"/>
      <c r="E400" s="83"/>
      <c r="F400" s="165"/>
      <c r="G400" s="165"/>
      <c r="H400" s="52"/>
      <c r="I400" s="170"/>
      <c r="J400" s="171"/>
      <c r="K400" s="170"/>
      <c r="L400" s="171"/>
      <c r="M400" s="170"/>
      <c r="N400" s="171"/>
      <c r="O400" s="83"/>
      <c r="P400" s="83"/>
    </row>
    <row r="401">
      <c r="A401" s="164"/>
      <c r="B401" s="45"/>
      <c r="C401" s="83"/>
      <c r="D401" s="83"/>
      <c r="E401" s="83"/>
      <c r="F401" s="165"/>
      <c r="G401" s="165"/>
      <c r="H401" s="52"/>
      <c r="I401" s="170"/>
      <c r="J401" s="171"/>
      <c r="K401" s="170"/>
      <c r="L401" s="171"/>
      <c r="M401" s="170"/>
      <c r="N401" s="171"/>
      <c r="O401" s="83"/>
      <c r="P401" s="83"/>
    </row>
    <row r="402">
      <c r="A402" s="164"/>
      <c r="B402" s="45"/>
      <c r="C402" s="83"/>
      <c r="D402" s="83"/>
      <c r="E402" s="83"/>
      <c r="F402" s="165"/>
      <c r="G402" s="165"/>
      <c r="H402" s="52"/>
      <c r="I402" s="170"/>
      <c r="J402" s="171"/>
      <c r="K402" s="170"/>
      <c r="L402" s="171"/>
      <c r="M402" s="170"/>
      <c r="N402" s="171"/>
      <c r="O402" s="83"/>
      <c r="P402" s="83"/>
    </row>
    <row r="403">
      <c r="A403" s="164"/>
      <c r="B403" s="45"/>
      <c r="C403" s="83"/>
      <c r="D403" s="83"/>
      <c r="E403" s="83"/>
      <c r="F403" s="165"/>
      <c r="G403" s="165"/>
      <c r="H403" s="52"/>
      <c r="I403" s="170"/>
      <c r="J403" s="171"/>
      <c r="K403" s="170"/>
      <c r="L403" s="171"/>
      <c r="M403" s="170"/>
      <c r="N403" s="171"/>
      <c r="O403" s="83"/>
      <c r="P403" s="83"/>
    </row>
    <row r="404">
      <c r="A404" s="164"/>
      <c r="B404" s="45"/>
      <c r="C404" s="83"/>
      <c r="D404" s="83"/>
      <c r="E404" s="83"/>
      <c r="F404" s="165"/>
      <c r="G404" s="165"/>
      <c r="H404" s="52"/>
      <c r="I404" s="170"/>
      <c r="J404" s="171"/>
      <c r="K404" s="170"/>
      <c r="L404" s="171"/>
      <c r="M404" s="170"/>
      <c r="N404" s="171"/>
      <c r="O404" s="83"/>
      <c r="P404" s="83"/>
    </row>
    <row r="405">
      <c r="A405" s="164"/>
      <c r="B405" s="45"/>
      <c r="C405" s="83"/>
      <c r="D405" s="83"/>
      <c r="E405" s="83"/>
      <c r="F405" s="165"/>
      <c r="G405" s="165"/>
      <c r="H405" s="52"/>
      <c r="I405" s="170"/>
      <c r="J405" s="171"/>
      <c r="K405" s="170"/>
      <c r="L405" s="171"/>
      <c r="M405" s="170"/>
      <c r="N405" s="171"/>
      <c r="O405" s="83"/>
      <c r="P405" s="83"/>
    </row>
    <row r="406">
      <c r="A406" s="164"/>
      <c r="B406" s="45"/>
      <c r="C406" s="83"/>
      <c r="D406" s="83"/>
      <c r="E406" s="83"/>
      <c r="F406" s="165"/>
      <c r="G406" s="165"/>
      <c r="H406" s="52"/>
      <c r="I406" s="170"/>
      <c r="J406" s="171"/>
      <c r="K406" s="170"/>
      <c r="L406" s="171"/>
      <c r="M406" s="170"/>
      <c r="N406" s="171"/>
      <c r="O406" s="83"/>
      <c r="P406" s="83"/>
    </row>
    <row r="407">
      <c r="A407" s="164"/>
      <c r="B407" s="45"/>
      <c r="C407" s="83"/>
      <c r="D407" s="83"/>
      <c r="E407" s="83"/>
      <c r="F407" s="165"/>
      <c r="G407" s="165"/>
      <c r="H407" s="52"/>
      <c r="I407" s="170"/>
      <c r="J407" s="171"/>
      <c r="K407" s="170"/>
      <c r="L407" s="171"/>
      <c r="M407" s="170"/>
      <c r="N407" s="171"/>
      <c r="O407" s="83"/>
      <c r="P407" s="83"/>
    </row>
    <row r="408">
      <c r="A408" s="164"/>
      <c r="B408" s="45"/>
      <c r="C408" s="83"/>
      <c r="D408" s="83"/>
      <c r="E408" s="83"/>
      <c r="F408" s="165"/>
      <c r="G408" s="165"/>
      <c r="H408" s="52"/>
      <c r="I408" s="170"/>
      <c r="J408" s="171"/>
      <c r="K408" s="170"/>
      <c r="L408" s="171"/>
      <c r="M408" s="170"/>
      <c r="N408" s="171"/>
      <c r="O408" s="83"/>
      <c r="P408" s="83"/>
    </row>
    <row r="409">
      <c r="A409" s="164"/>
      <c r="B409" s="45"/>
      <c r="C409" s="83"/>
      <c r="D409" s="83"/>
      <c r="E409" s="83"/>
      <c r="F409" s="165"/>
      <c r="G409" s="165"/>
      <c r="H409" s="52"/>
      <c r="I409" s="170"/>
      <c r="J409" s="171"/>
      <c r="K409" s="170"/>
      <c r="L409" s="171"/>
      <c r="M409" s="170"/>
      <c r="N409" s="171"/>
      <c r="O409" s="83"/>
      <c r="P409" s="83"/>
    </row>
    <row r="410">
      <c r="A410" s="164"/>
      <c r="B410" s="45"/>
      <c r="C410" s="83"/>
      <c r="D410" s="83"/>
      <c r="E410" s="83"/>
      <c r="F410" s="165"/>
      <c r="G410" s="165"/>
      <c r="H410" s="52"/>
      <c r="I410" s="170"/>
      <c r="J410" s="171"/>
      <c r="K410" s="170"/>
      <c r="L410" s="171"/>
      <c r="M410" s="170"/>
      <c r="N410" s="171"/>
      <c r="O410" s="83"/>
      <c r="P410" s="83"/>
    </row>
    <row r="411">
      <c r="A411" s="164"/>
      <c r="B411" s="45"/>
      <c r="C411" s="83"/>
      <c r="D411" s="83"/>
      <c r="E411" s="83"/>
      <c r="F411" s="165"/>
      <c r="G411" s="165"/>
      <c r="H411" s="52"/>
      <c r="I411" s="170"/>
      <c r="J411" s="171"/>
      <c r="K411" s="170"/>
      <c r="L411" s="171"/>
      <c r="M411" s="170"/>
      <c r="N411" s="171"/>
      <c r="O411" s="83"/>
      <c r="P411" s="83"/>
    </row>
    <row r="412">
      <c r="A412" s="164"/>
      <c r="B412" s="45"/>
      <c r="C412" s="83"/>
      <c r="D412" s="83"/>
      <c r="E412" s="83"/>
      <c r="F412" s="165"/>
      <c r="G412" s="165"/>
      <c r="H412" s="52"/>
      <c r="I412" s="170"/>
      <c r="J412" s="171"/>
      <c r="K412" s="170"/>
      <c r="L412" s="171"/>
      <c r="M412" s="170"/>
      <c r="N412" s="171"/>
      <c r="O412" s="83"/>
      <c r="P412" s="83"/>
    </row>
    <row r="413">
      <c r="A413" s="164"/>
      <c r="B413" s="45"/>
      <c r="C413" s="83"/>
      <c r="D413" s="83"/>
      <c r="E413" s="83"/>
      <c r="F413" s="165"/>
      <c r="G413" s="165"/>
      <c r="H413" s="52"/>
      <c r="I413" s="170"/>
      <c r="J413" s="171"/>
      <c r="K413" s="170"/>
      <c r="L413" s="171"/>
      <c r="M413" s="170"/>
      <c r="N413" s="171"/>
      <c r="O413" s="83"/>
      <c r="P413" s="83"/>
    </row>
    <row r="414">
      <c r="A414" s="164"/>
      <c r="B414" s="45"/>
      <c r="C414" s="83"/>
      <c r="D414" s="83"/>
      <c r="E414" s="83"/>
      <c r="F414" s="165"/>
      <c r="G414" s="165"/>
      <c r="H414" s="52"/>
      <c r="I414" s="170"/>
      <c r="J414" s="171"/>
      <c r="K414" s="170"/>
      <c r="L414" s="171"/>
      <c r="M414" s="170"/>
      <c r="N414" s="171"/>
      <c r="O414" s="83"/>
      <c r="P414" s="83"/>
    </row>
    <row r="415">
      <c r="A415" s="164"/>
      <c r="B415" s="45"/>
      <c r="C415" s="83"/>
      <c r="D415" s="83"/>
      <c r="E415" s="83"/>
      <c r="F415" s="165"/>
      <c r="G415" s="165"/>
      <c r="H415" s="52"/>
      <c r="I415" s="170"/>
      <c r="J415" s="171"/>
      <c r="K415" s="170"/>
      <c r="L415" s="171"/>
      <c r="M415" s="170"/>
      <c r="N415" s="171"/>
      <c r="O415" s="83"/>
      <c r="P415" s="83"/>
    </row>
    <row r="416">
      <c r="A416" s="164"/>
      <c r="B416" s="45"/>
      <c r="C416" s="83"/>
      <c r="D416" s="83"/>
      <c r="E416" s="83"/>
      <c r="F416" s="165"/>
      <c r="G416" s="165"/>
      <c r="H416" s="52"/>
      <c r="I416" s="170"/>
      <c r="J416" s="171"/>
      <c r="K416" s="170"/>
      <c r="L416" s="171"/>
      <c r="M416" s="170"/>
      <c r="N416" s="171"/>
      <c r="O416" s="83"/>
      <c r="P416" s="83"/>
    </row>
    <row r="417">
      <c r="A417" s="164"/>
      <c r="B417" s="45"/>
      <c r="C417" s="83"/>
      <c r="D417" s="83"/>
      <c r="E417" s="83"/>
      <c r="F417" s="165"/>
      <c r="G417" s="165"/>
      <c r="H417" s="52"/>
      <c r="I417" s="170"/>
      <c r="J417" s="171"/>
      <c r="K417" s="170"/>
      <c r="L417" s="171"/>
      <c r="M417" s="170"/>
      <c r="N417" s="171"/>
      <c r="O417" s="83"/>
      <c r="P417" s="83"/>
    </row>
    <row r="418">
      <c r="A418" s="164"/>
      <c r="B418" s="45"/>
      <c r="C418" s="83"/>
      <c r="D418" s="83"/>
      <c r="E418" s="83"/>
      <c r="F418" s="165"/>
      <c r="G418" s="165"/>
      <c r="H418" s="52"/>
      <c r="I418" s="170"/>
      <c r="J418" s="171"/>
      <c r="K418" s="170"/>
      <c r="L418" s="171"/>
      <c r="M418" s="170"/>
      <c r="N418" s="171"/>
      <c r="O418" s="83"/>
      <c r="P418" s="83"/>
    </row>
    <row r="419">
      <c r="A419" s="164"/>
      <c r="B419" s="45"/>
      <c r="C419" s="83"/>
      <c r="D419" s="83"/>
      <c r="E419" s="83"/>
      <c r="F419" s="165"/>
      <c r="G419" s="165"/>
      <c r="H419" s="52"/>
      <c r="I419" s="170"/>
      <c r="J419" s="171"/>
      <c r="K419" s="170"/>
      <c r="L419" s="171"/>
      <c r="M419" s="170"/>
      <c r="N419" s="171"/>
      <c r="O419" s="83"/>
      <c r="P419" s="83"/>
    </row>
    <row r="420">
      <c r="A420" s="164"/>
      <c r="B420" s="45"/>
      <c r="C420" s="83"/>
      <c r="D420" s="83"/>
      <c r="E420" s="83"/>
      <c r="F420" s="165"/>
      <c r="G420" s="165"/>
      <c r="H420" s="52"/>
      <c r="I420" s="170"/>
      <c r="J420" s="171"/>
      <c r="K420" s="170"/>
      <c r="L420" s="171"/>
      <c r="M420" s="170"/>
      <c r="N420" s="171"/>
      <c r="O420" s="83"/>
      <c r="P420" s="83"/>
    </row>
    <row r="421">
      <c r="A421" s="164"/>
      <c r="B421" s="45"/>
      <c r="C421" s="83"/>
      <c r="D421" s="83"/>
      <c r="E421" s="83"/>
      <c r="F421" s="165"/>
      <c r="G421" s="165"/>
      <c r="H421" s="52"/>
      <c r="I421" s="170"/>
      <c r="J421" s="171"/>
      <c r="K421" s="170"/>
      <c r="L421" s="171"/>
      <c r="M421" s="170"/>
      <c r="N421" s="171"/>
      <c r="O421" s="83"/>
      <c r="P421" s="83"/>
    </row>
    <row r="422">
      <c r="A422" s="164"/>
      <c r="B422" s="45"/>
      <c r="C422" s="83"/>
      <c r="D422" s="83"/>
      <c r="E422" s="83"/>
      <c r="F422" s="165"/>
      <c r="G422" s="165"/>
      <c r="H422" s="52"/>
      <c r="I422" s="170"/>
      <c r="J422" s="171"/>
      <c r="K422" s="170"/>
      <c r="L422" s="171"/>
      <c r="M422" s="170"/>
      <c r="N422" s="171"/>
      <c r="O422" s="83"/>
      <c r="P422" s="83"/>
    </row>
    <row r="423">
      <c r="A423" s="164"/>
      <c r="B423" s="45"/>
      <c r="C423" s="83"/>
      <c r="D423" s="83"/>
      <c r="E423" s="83"/>
      <c r="F423" s="165"/>
      <c r="G423" s="165"/>
      <c r="H423" s="52"/>
      <c r="I423" s="170"/>
      <c r="J423" s="171"/>
      <c r="K423" s="170"/>
      <c r="L423" s="171"/>
      <c r="M423" s="170"/>
      <c r="N423" s="171"/>
      <c r="O423" s="83"/>
      <c r="P423" s="83"/>
    </row>
    <row r="424">
      <c r="A424" s="164"/>
      <c r="B424" s="45"/>
      <c r="C424" s="83"/>
      <c r="D424" s="83"/>
      <c r="E424" s="83"/>
      <c r="F424" s="165"/>
      <c r="G424" s="165"/>
      <c r="H424" s="52"/>
      <c r="I424" s="170"/>
      <c r="J424" s="171"/>
      <c r="K424" s="170"/>
      <c r="L424" s="171"/>
      <c r="M424" s="170"/>
      <c r="N424" s="171"/>
      <c r="O424" s="83"/>
      <c r="P424" s="83"/>
    </row>
    <row r="425">
      <c r="A425" s="164"/>
      <c r="B425" s="45"/>
      <c r="C425" s="83"/>
      <c r="D425" s="83"/>
      <c r="E425" s="83"/>
      <c r="F425" s="165"/>
      <c r="G425" s="165"/>
      <c r="H425" s="52"/>
      <c r="I425" s="170"/>
      <c r="J425" s="171"/>
      <c r="K425" s="170"/>
      <c r="L425" s="171"/>
      <c r="M425" s="170"/>
      <c r="N425" s="171"/>
      <c r="O425" s="83"/>
      <c r="P425" s="83"/>
    </row>
    <row r="426">
      <c r="A426" s="164"/>
      <c r="B426" s="45"/>
      <c r="C426" s="83"/>
      <c r="D426" s="83"/>
      <c r="E426" s="83"/>
      <c r="F426" s="165"/>
      <c r="G426" s="165"/>
      <c r="H426" s="52"/>
      <c r="I426" s="170"/>
      <c r="J426" s="171"/>
      <c r="K426" s="170"/>
      <c r="L426" s="171"/>
      <c r="M426" s="170"/>
      <c r="N426" s="171"/>
      <c r="O426" s="83"/>
      <c r="P426" s="83"/>
    </row>
    <row r="427">
      <c r="A427" s="164"/>
      <c r="B427" s="45"/>
      <c r="C427" s="83"/>
      <c r="D427" s="83"/>
      <c r="E427" s="83"/>
      <c r="F427" s="165"/>
      <c r="G427" s="165"/>
      <c r="H427" s="52"/>
      <c r="I427" s="170"/>
      <c r="J427" s="171"/>
      <c r="K427" s="170"/>
      <c r="L427" s="171"/>
      <c r="M427" s="170"/>
      <c r="N427" s="171"/>
      <c r="O427" s="83"/>
      <c r="P427" s="83"/>
    </row>
    <row r="428">
      <c r="A428" s="164"/>
      <c r="B428" s="45"/>
      <c r="C428" s="83"/>
      <c r="D428" s="83"/>
      <c r="E428" s="83"/>
      <c r="F428" s="165"/>
      <c r="G428" s="165"/>
      <c r="H428" s="52"/>
      <c r="I428" s="170"/>
      <c r="J428" s="171"/>
      <c r="K428" s="170"/>
      <c r="L428" s="171"/>
      <c r="M428" s="170"/>
      <c r="N428" s="171"/>
      <c r="O428" s="83"/>
      <c r="P428" s="83"/>
    </row>
    <row r="429">
      <c r="A429" s="164"/>
      <c r="B429" s="45"/>
      <c r="C429" s="83"/>
      <c r="D429" s="83"/>
      <c r="E429" s="83"/>
      <c r="F429" s="165"/>
      <c r="G429" s="165"/>
      <c r="H429" s="52"/>
      <c r="I429" s="170"/>
      <c r="J429" s="171"/>
      <c r="K429" s="170"/>
      <c r="L429" s="171"/>
      <c r="M429" s="170"/>
      <c r="N429" s="171"/>
      <c r="O429" s="83"/>
      <c r="P429" s="83"/>
    </row>
    <row r="430">
      <c r="A430" s="164"/>
      <c r="B430" s="45"/>
      <c r="C430" s="83"/>
      <c r="D430" s="83"/>
      <c r="E430" s="83"/>
      <c r="F430" s="165"/>
      <c r="G430" s="165"/>
      <c r="H430" s="52"/>
      <c r="I430" s="170"/>
      <c r="J430" s="171"/>
      <c r="K430" s="170"/>
      <c r="L430" s="171"/>
      <c r="M430" s="170"/>
      <c r="N430" s="171"/>
      <c r="O430" s="83"/>
      <c r="P430" s="83"/>
    </row>
    <row r="431">
      <c r="A431" s="164"/>
      <c r="B431" s="45"/>
      <c r="C431" s="83"/>
      <c r="D431" s="83"/>
      <c r="E431" s="83"/>
      <c r="F431" s="165"/>
      <c r="G431" s="165"/>
      <c r="H431" s="52"/>
      <c r="I431" s="170"/>
      <c r="J431" s="171"/>
      <c r="K431" s="170"/>
      <c r="L431" s="171"/>
      <c r="M431" s="170"/>
      <c r="N431" s="171"/>
      <c r="O431" s="83"/>
      <c r="P431" s="83"/>
    </row>
    <row r="432">
      <c r="A432" s="164"/>
      <c r="B432" s="45"/>
      <c r="C432" s="83"/>
      <c r="D432" s="83"/>
      <c r="E432" s="83"/>
      <c r="F432" s="165"/>
      <c r="G432" s="165"/>
      <c r="H432" s="52"/>
      <c r="I432" s="170"/>
      <c r="J432" s="171"/>
      <c r="K432" s="170"/>
      <c r="L432" s="171"/>
      <c r="M432" s="170"/>
      <c r="N432" s="171"/>
      <c r="O432" s="83"/>
      <c r="P432" s="83"/>
    </row>
    <row r="433">
      <c r="A433" s="164"/>
      <c r="B433" s="45"/>
      <c r="C433" s="83"/>
      <c r="D433" s="83"/>
      <c r="E433" s="83"/>
      <c r="F433" s="165"/>
      <c r="G433" s="165"/>
      <c r="H433" s="52"/>
      <c r="I433" s="170"/>
      <c r="J433" s="171"/>
      <c r="K433" s="170"/>
      <c r="L433" s="171"/>
      <c r="M433" s="170"/>
      <c r="N433" s="171"/>
      <c r="O433" s="83"/>
      <c r="P433" s="83"/>
    </row>
    <row r="434">
      <c r="A434" s="164"/>
      <c r="B434" s="45"/>
      <c r="C434" s="83"/>
      <c r="D434" s="83"/>
      <c r="E434" s="83"/>
      <c r="F434" s="165"/>
      <c r="G434" s="165"/>
      <c r="H434" s="52"/>
      <c r="I434" s="170"/>
      <c r="J434" s="171"/>
      <c r="K434" s="170"/>
      <c r="L434" s="171"/>
      <c r="M434" s="170"/>
      <c r="N434" s="171"/>
      <c r="O434" s="83"/>
      <c r="P434" s="83"/>
    </row>
    <row r="435">
      <c r="A435" s="164"/>
      <c r="B435" s="45"/>
      <c r="C435" s="83"/>
      <c r="D435" s="83"/>
      <c r="E435" s="83"/>
      <c r="F435" s="165"/>
      <c r="G435" s="165"/>
      <c r="H435" s="52"/>
      <c r="I435" s="170"/>
      <c r="J435" s="171"/>
      <c r="K435" s="170"/>
      <c r="L435" s="171"/>
      <c r="M435" s="170"/>
      <c r="N435" s="171"/>
      <c r="O435" s="83"/>
      <c r="P435" s="83"/>
    </row>
    <row r="436">
      <c r="A436" s="164"/>
      <c r="B436" s="45"/>
      <c r="C436" s="83"/>
      <c r="D436" s="83"/>
      <c r="E436" s="83"/>
      <c r="F436" s="165"/>
      <c r="G436" s="165"/>
      <c r="H436" s="52"/>
      <c r="I436" s="170"/>
      <c r="J436" s="171"/>
      <c r="K436" s="170"/>
      <c r="L436" s="171"/>
      <c r="M436" s="170"/>
      <c r="N436" s="171"/>
      <c r="O436" s="83"/>
      <c r="P436" s="83"/>
    </row>
    <row r="437">
      <c r="A437" s="164"/>
      <c r="B437" s="45"/>
      <c r="C437" s="83"/>
      <c r="D437" s="83"/>
      <c r="E437" s="83"/>
      <c r="F437" s="165"/>
      <c r="G437" s="165"/>
      <c r="H437" s="52"/>
      <c r="I437" s="170"/>
      <c r="J437" s="171"/>
      <c r="K437" s="170"/>
      <c r="L437" s="171"/>
      <c r="M437" s="170"/>
      <c r="N437" s="171"/>
      <c r="O437" s="83"/>
      <c r="P437" s="83"/>
    </row>
    <row r="438">
      <c r="A438" s="164"/>
      <c r="B438" s="45"/>
      <c r="C438" s="83"/>
      <c r="D438" s="83"/>
      <c r="E438" s="83"/>
      <c r="F438" s="165"/>
      <c r="G438" s="165"/>
      <c r="H438" s="52"/>
      <c r="I438" s="170"/>
      <c r="J438" s="171"/>
      <c r="K438" s="170"/>
      <c r="L438" s="171"/>
      <c r="M438" s="170"/>
      <c r="N438" s="171"/>
      <c r="O438" s="83"/>
      <c r="P438" s="83"/>
    </row>
    <row r="439">
      <c r="A439" s="164"/>
      <c r="B439" s="45"/>
      <c r="C439" s="83"/>
      <c r="D439" s="83"/>
      <c r="E439" s="83"/>
      <c r="F439" s="165"/>
      <c r="G439" s="165"/>
      <c r="H439" s="52"/>
      <c r="I439" s="170"/>
      <c r="J439" s="171"/>
      <c r="K439" s="170"/>
      <c r="L439" s="171"/>
      <c r="M439" s="170"/>
      <c r="N439" s="171"/>
      <c r="O439" s="83"/>
      <c r="P439" s="83"/>
    </row>
    <row r="440">
      <c r="A440" s="164"/>
      <c r="B440" s="45"/>
      <c r="C440" s="83"/>
      <c r="D440" s="83"/>
      <c r="E440" s="83"/>
      <c r="F440" s="165"/>
      <c r="G440" s="165"/>
      <c r="H440" s="52"/>
      <c r="I440" s="170"/>
      <c r="J440" s="171"/>
      <c r="K440" s="170"/>
      <c r="L440" s="171"/>
      <c r="M440" s="170"/>
      <c r="N440" s="171"/>
      <c r="O440" s="83"/>
      <c r="P440" s="83"/>
    </row>
    <row r="441">
      <c r="A441" s="164"/>
      <c r="B441" s="45"/>
      <c r="C441" s="83"/>
      <c r="D441" s="83"/>
      <c r="E441" s="83"/>
      <c r="F441" s="165"/>
      <c r="G441" s="165"/>
      <c r="H441" s="52"/>
      <c r="I441" s="170"/>
      <c r="J441" s="171"/>
      <c r="K441" s="170"/>
      <c r="L441" s="171"/>
      <c r="M441" s="170"/>
      <c r="N441" s="171"/>
      <c r="O441" s="83"/>
      <c r="P441" s="83"/>
    </row>
    <row r="442">
      <c r="A442" s="164"/>
      <c r="B442" s="45"/>
      <c r="C442" s="83"/>
      <c r="D442" s="83"/>
      <c r="E442" s="83"/>
      <c r="F442" s="165"/>
      <c r="G442" s="165"/>
      <c r="H442" s="52"/>
      <c r="I442" s="170"/>
      <c r="J442" s="171"/>
      <c r="K442" s="170"/>
      <c r="L442" s="171"/>
      <c r="M442" s="170"/>
      <c r="N442" s="171"/>
      <c r="O442" s="83"/>
      <c r="P442" s="83"/>
    </row>
    <row r="443">
      <c r="A443" s="164"/>
      <c r="B443" s="45"/>
      <c r="C443" s="83"/>
      <c r="D443" s="83"/>
      <c r="E443" s="83"/>
      <c r="F443" s="165"/>
      <c r="G443" s="165"/>
      <c r="H443" s="52"/>
      <c r="I443" s="170"/>
      <c r="J443" s="171"/>
      <c r="K443" s="170"/>
      <c r="L443" s="171"/>
      <c r="M443" s="170"/>
      <c r="N443" s="171"/>
      <c r="O443" s="83"/>
      <c r="P443" s="83"/>
    </row>
    <row r="444">
      <c r="A444" s="164"/>
      <c r="B444" s="45"/>
      <c r="C444" s="83"/>
      <c r="D444" s="83"/>
      <c r="E444" s="83"/>
      <c r="F444" s="165"/>
      <c r="G444" s="165"/>
      <c r="H444" s="52"/>
      <c r="I444" s="170"/>
      <c r="J444" s="171"/>
      <c r="K444" s="170"/>
      <c r="L444" s="171"/>
      <c r="M444" s="170"/>
      <c r="N444" s="171"/>
      <c r="O444" s="83"/>
      <c r="P444" s="83"/>
    </row>
    <row r="445">
      <c r="A445" s="164"/>
      <c r="B445" s="45"/>
      <c r="C445" s="83"/>
      <c r="D445" s="83"/>
      <c r="E445" s="83"/>
      <c r="F445" s="165"/>
      <c r="G445" s="165"/>
      <c r="H445" s="52"/>
      <c r="I445" s="170"/>
      <c r="J445" s="171"/>
      <c r="K445" s="170"/>
      <c r="L445" s="171"/>
      <c r="M445" s="170"/>
      <c r="N445" s="171"/>
      <c r="O445" s="83"/>
      <c r="P445" s="83"/>
    </row>
    <row r="446">
      <c r="A446" s="164"/>
      <c r="B446" s="45"/>
      <c r="C446" s="83"/>
      <c r="D446" s="83"/>
      <c r="E446" s="83"/>
      <c r="F446" s="165"/>
      <c r="G446" s="165"/>
      <c r="H446" s="52"/>
      <c r="I446" s="170"/>
      <c r="J446" s="171"/>
      <c r="K446" s="170"/>
      <c r="L446" s="171"/>
      <c r="M446" s="170"/>
      <c r="N446" s="171"/>
      <c r="O446" s="83"/>
      <c r="P446" s="83"/>
    </row>
    <row r="447">
      <c r="A447" s="164"/>
      <c r="B447" s="45"/>
      <c r="C447" s="83"/>
      <c r="D447" s="83"/>
      <c r="E447" s="83"/>
      <c r="F447" s="165"/>
      <c r="G447" s="165"/>
      <c r="H447" s="52"/>
      <c r="I447" s="170"/>
      <c r="J447" s="171"/>
      <c r="K447" s="170"/>
      <c r="L447" s="171"/>
      <c r="M447" s="170"/>
      <c r="N447" s="171"/>
      <c r="O447" s="83"/>
      <c r="P447" s="83"/>
    </row>
    <row r="448">
      <c r="A448" s="164"/>
      <c r="B448" s="45"/>
      <c r="C448" s="83"/>
      <c r="D448" s="83"/>
      <c r="E448" s="83"/>
      <c r="F448" s="165"/>
      <c r="G448" s="165"/>
      <c r="H448" s="52"/>
      <c r="I448" s="170"/>
      <c r="J448" s="171"/>
      <c r="K448" s="170"/>
      <c r="L448" s="171"/>
      <c r="M448" s="170"/>
      <c r="N448" s="171"/>
      <c r="O448" s="83"/>
      <c r="P448" s="83"/>
    </row>
    <row r="449">
      <c r="A449" s="164"/>
      <c r="B449" s="45"/>
      <c r="C449" s="83"/>
      <c r="D449" s="83"/>
      <c r="E449" s="83"/>
      <c r="F449" s="165"/>
      <c r="G449" s="165"/>
      <c r="H449" s="52"/>
      <c r="I449" s="170"/>
      <c r="J449" s="171"/>
      <c r="K449" s="170"/>
      <c r="L449" s="171"/>
      <c r="M449" s="170"/>
      <c r="N449" s="171"/>
      <c r="O449" s="83"/>
      <c r="P449" s="83"/>
    </row>
    <row r="450">
      <c r="A450" s="164"/>
      <c r="B450" s="45"/>
      <c r="C450" s="83"/>
      <c r="D450" s="83"/>
      <c r="E450" s="83"/>
      <c r="F450" s="165"/>
      <c r="G450" s="165"/>
      <c r="H450" s="52"/>
      <c r="I450" s="170"/>
      <c r="J450" s="171"/>
      <c r="K450" s="170"/>
      <c r="L450" s="171"/>
      <c r="M450" s="170"/>
      <c r="N450" s="171"/>
      <c r="O450" s="83"/>
      <c r="P450" s="83"/>
    </row>
    <row r="451">
      <c r="A451" s="164"/>
      <c r="B451" s="45"/>
      <c r="C451" s="83"/>
      <c r="D451" s="83"/>
      <c r="E451" s="83"/>
      <c r="F451" s="165"/>
      <c r="G451" s="165"/>
      <c r="H451" s="52"/>
      <c r="I451" s="170"/>
      <c r="J451" s="171"/>
      <c r="K451" s="170"/>
      <c r="L451" s="171"/>
      <c r="M451" s="170"/>
      <c r="N451" s="171"/>
      <c r="O451" s="83"/>
      <c r="P451" s="83"/>
    </row>
    <row r="452">
      <c r="A452" s="164"/>
      <c r="B452" s="45"/>
      <c r="C452" s="83"/>
      <c r="D452" s="83"/>
      <c r="E452" s="83"/>
      <c r="F452" s="165"/>
      <c r="G452" s="165"/>
      <c r="H452" s="52"/>
      <c r="I452" s="170"/>
      <c r="J452" s="171"/>
      <c r="K452" s="170"/>
      <c r="L452" s="171"/>
      <c r="M452" s="170"/>
      <c r="N452" s="171"/>
      <c r="O452" s="83"/>
      <c r="P452" s="83"/>
    </row>
    <row r="453">
      <c r="A453" s="164"/>
      <c r="B453" s="45"/>
      <c r="C453" s="83"/>
      <c r="D453" s="83"/>
      <c r="E453" s="83"/>
      <c r="F453" s="165"/>
      <c r="G453" s="165"/>
      <c r="H453" s="52"/>
      <c r="I453" s="170"/>
      <c r="J453" s="171"/>
      <c r="K453" s="170"/>
      <c r="L453" s="171"/>
      <c r="M453" s="170"/>
      <c r="N453" s="171"/>
      <c r="O453" s="83"/>
      <c r="P453" s="83"/>
    </row>
    <row r="454">
      <c r="A454" s="164"/>
      <c r="B454" s="45"/>
      <c r="C454" s="83"/>
      <c r="D454" s="83"/>
      <c r="E454" s="83"/>
      <c r="F454" s="165"/>
      <c r="G454" s="165"/>
      <c r="H454" s="52"/>
      <c r="I454" s="170"/>
      <c r="J454" s="171"/>
      <c r="K454" s="170"/>
      <c r="L454" s="171"/>
      <c r="M454" s="170"/>
      <c r="N454" s="171"/>
      <c r="O454" s="83"/>
      <c r="P454" s="83"/>
    </row>
    <row r="455">
      <c r="A455" s="164"/>
      <c r="B455" s="45"/>
      <c r="C455" s="83"/>
      <c r="D455" s="83"/>
      <c r="E455" s="83"/>
      <c r="F455" s="165"/>
      <c r="G455" s="165"/>
      <c r="H455" s="52"/>
      <c r="I455" s="170"/>
      <c r="J455" s="171"/>
      <c r="K455" s="170"/>
      <c r="L455" s="171"/>
      <c r="M455" s="170"/>
      <c r="N455" s="171"/>
      <c r="O455" s="83"/>
      <c r="P455" s="83"/>
    </row>
    <row r="456">
      <c r="A456" s="164"/>
      <c r="B456" s="45"/>
      <c r="C456" s="83"/>
      <c r="D456" s="83"/>
      <c r="E456" s="83"/>
      <c r="F456" s="165"/>
      <c r="G456" s="165"/>
      <c r="H456" s="52"/>
      <c r="I456" s="170"/>
      <c r="J456" s="171"/>
      <c r="K456" s="170"/>
      <c r="L456" s="171"/>
      <c r="M456" s="170"/>
      <c r="N456" s="171"/>
      <c r="O456" s="83"/>
      <c r="P456" s="83"/>
    </row>
    <row r="457">
      <c r="A457" s="164"/>
      <c r="B457" s="45"/>
      <c r="C457" s="83"/>
      <c r="D457" s="83"/>
      <c r="E457" s="83"/>
      <c r="F457" s="165"/>
      <c r="G457" s="165"/>
      <c r="H457" s="52"/>
      <c r="I457" s="170"/>
      <c r="J457" s="171"/>
      <c r="K457" s="170"/>
      <c r="L457" s="171"/>
      <c r="M457" s="170"/>
      <c r="N457" s="171"/>
      <c r="O457" s="83"/>
      <c r="P457" s="83"/>
    </row>
    <row r="458">
      <c r="A458" s="164"/>
      <c r="B458" s="45"/>
      <c r="C458" s="83"/>
      <c r="D458" s="83"/>
      <c r="E458" s="83"/>
      <c r="F458" s="165"/>
      <c r="G458" s="165"/>
      <c r="H458" s="52"/>
      <c r="I458" s="170"/>
      <c r="J458" s="171"/>
      <c r="K458" s="170"/>
      <c r="L458" s="171"/>
      <c r="M458" s="170"/>
      <c r="N458" s="171"/>
      <c r="O458" s="83"/>
      <c r="P458" s="83"/>
    </row>
    <row r="459">
      <c r="A459" s="164"/>
      <c r="B459" s="45"/>
      <c r="C459" s="83"/>
      <c r="D459" s="83"/>
      <c r="E459" s="83"/>
      <c r="F459" s="165"/>
      <c r="G459" s="165"/>
      <c r="H459" s="52"/>
      <c r="I459" s="170"/>
      <c r="J459" s="171"/>
      <c r="K459" s="170"/>
      <c r="L459" s="171"/>
      <c r="M459" s="170"/>
      <c r="N459" s="171"/>
      <c r="O459" s="83"/>
      <c r="P459" s="83"/>
    </row>
    <row r="460">
      <c r="A460" s="164"/>
      <c r="B460" s="45"/>
      <c r="C460" s="83"/>
      <c r="D460" s="83"/>
      <c r="E460" s="83"/>
      <c r="F460" s="165"/>
      <c r="G460" s="165"/>
      <c r="H460" s="52"/>
      <c r="I460" s="170"/>
      <c r="J460" s="171"/>
      <c r="K460" s="170"/>
      <c r="L460" s="171"/>
      <c r="M460" s="170"/>
      <c r="N460" s="171"/>
      <c r="O460" s="83"/>
      <c r="P460" s="83"/>
    </row>
    <row r="461">
      <c r="A461" s="164"/>
      <c r="B461" s="45"/>
      <c r="C461" s="83"/>
      <c r="D461" s="83"/>
      <c r="E461" s="83"/>
      <c r="F461" s="165"/>
      <c r="G461" s="165"/>
      <c r="H461" s="52"/>
      <c r="I461" s="170"/>
      <c r="J461" s="171"/>
      <c r="K461" s="170"/>
      <c r="L461" s="171"/>
      <c r="M461" s="170"/>
      <c r="N461" s="171"/>
      <c r="O461" s="83"/>
      <c r="P461" s="83"/>
    </row>
    <row r="462">
      <c r="A462" s="164"/>
      <c r="B462" s="45"/>
      <c r="C462" s="83"/>
      <c r="D462" s="83"/>
      <c r="E462" s="83"/>
      <c r="F462" s="165"/>
      <c r="G462" s="165"/>
      <c r="H462" s="52"/>
      <c r="I462" s="170"/>
      <c r="J462" s="171"/>
      <c r="K462" s="170"/>
      <c r="L462" s="171"/>
      <c r="M462" s="170"/>
      <c r="N462" s="171"/>
      <c r="O462" s="83"/>
      <c r="P462" s="83"/>
    </row>
    <row r="463">
      <c r="A463" s="164"/>
      <c r="B463" s="45"/>
      <c r="C463" s="83"/>
      <c r="D463" s="83"/>
      <c r="E463" s="83"/>
      <c r="F463" s="165"/>
      <c r="G463" s="165"/>
      <c r="H463" s="52"/>
      <c r="I463" s="170"/>
      <c r="J463" s="171"/>
      <c r="K463" s="170"/>
      <c r="L463" s="171"/>
      <c r="M463" s="170"/>
      <c r="N463" s="171"/>
      <c r="O463" s="83"/>
      <c r="P463" s="83"/>
    </row>
    <row r="464">
      <c r="A464" s="164"/>
      <c r="B464" s="45"/>
      <c r="C464" s="83"/>
      <c r="D464" s="83"/>
      <c r="E464" s="83"/>
      <c r="F464" s="165"/>
      <c r="G464" s="165"/>
      <c r="H464" s="52"/>
      <c r="I464" s="170"/>
      <c r="J464" s="171"/>
      <c r="K464" s="170"/>
      <c r="L464" s="171"/>
      <c r="M464" s="170"/>
      <c r="N464" s="171"/>
      <c r="O464" s="83"/>
      <c r="P464" s="83"/>
    </row>
    <row r="465">
      <c r="A465" s="164"/>
      <c r="B465" s="45"/>
      <c r="C465" s="83"/>
      <c r="D465" s="83"/>
      <c r="E465" s="83"/>
      <c r="F465" s="165"/>
      <c r="G465" s="165"/>
      <c r="H465" s="52"/>
      <c r="I465" s="170"/>
      <c r="J465" s="171"/>
      <c r="K465" s="170"/>
      <c r="L465" s="171"/>
      <c r="M465" s="170"/>
      <c r="N465" s="171"/>
      <c r="O465" s="83"/>
      <c r="P465" s="83"/>
    </row>
    <row r="466">
      <c r="A466" s="164"/>
      <c r="B466" s="45"/>
      <c r="C466" s="83"/>
      <c r="D466" s="83"/>
      <c r="E466" s="83"/>
      <c r="F466" s="165"/>
      <c r="G466" s="165"/>
      <c r="H466" s="52"/>
      <c r="I466" s="170"/>
      <c r="J466" s="171"/>
      <c r="K466" s="170"/>
      <c r="L466" s="171"/>
      <c r="M466" s="170"/>
      <c r="N466" s="171"/>
      <c r="O466" s="83"/>
      <c r="P466" s="83"/>
    </row>
    <row r="467">
      <c r="A467" s="164"/>
      <c r="B467" s="45"/>
      <c r="C467" s="83"/>
      <c r="D467" s="83"/>
      <c r="E467" s="83"/>
      <c r="F467" s="165"/>
      <c r="G467" s="165"/>
      <c r="H467" s="52"/>
      <c r="I467" s="170"/>
      <c r="J467" s="171"/>
      <c r="K467" s="170"/>
      <c r="L467" s="171"/>
      <c r="M467" s="170"/>
      <c r="N467" s="171"/>
      <c r="O467" s="83"/>
      <c r="P467" s="83"/>
    </row>
    <row r="468">
      <c r="A468" s="164"/>
      <c r="B468" s="45"/>
      <c r="C468" s="83"/>
      <c r="D468" s="83"/>
      <c r="E468" s="83"/>
      <c r="F468" s="165"/>
      <c r="G468" s="165"/>
      <c r="H468" s="52"/>
      <c r="I468" s="170"/>
      <c r="J468" s="171"/>
      <c r="K468" s="170"/>
      <c r="L468" s="171"/>
      <c r="M468" s="170"/>
      <c r="N468" s="171"/>
      <c r="O468" s="83"/>
      <c r="P468" s="83"/>
    </row>
    <row r="469">
      <c r="A469" s="164"/>
      <c r="B469" s="45"/>
      <c r="C469" s="83"/>
      <c r="D469" s="83"/>
      <c r="E469" s="83"/>
      <c r="F469" s="165"/>
      <c r="G469" s="165"/>
      <c r="H469" s="52"/>
      <c r="I469" s="170"/>
      <c r="J469" s="171"/>
      <c r="K469" s="170"/>
      <c r="L469" s="171"/>
      <c r="M469" s="170"/>
      <c r="N469" s="171"/>
      <c r="O469" s="83"/>
      <c r="P469" s="83"/>
    </row>
    <row r="470">
      <c r="A470" s="164"/>
      <c r="B470" s="45"/>
      <c r="C470" s="83"/>
      <c r="D470" s="83"/>
      <c r="E470" s="83"/>
      <c r="F470" s="165"/>
      <c r="G470" s="165"/>
      <c r="H470" s="52"/>
      <c r="I470" s="170"/>
      <c r="J470" s="171"/>
      <c r="K470" s="170"/>
      <c r="L470" s="171"/>
      <c r="M470" s="170"/>
      <c r="N470" s="171"/>
      <c r="O470" s="83"/>
      <c r="P470" s="83"/>
    </row>
    <row r="471">
      <c r="A471" s="164"/>
      <c r="B471" s="45"/>
      <c r="C471" s="83"/>
      <c r="D471" s="83"/>
      <c r="E471" s="83"/>
      <c r="F471" s="165"/>
      <c r="G471" s="165"/>
      <c r="H471" s="52"/>
      <c r="I471" s="170"/>
      <c r="J471" s="171"/>
      <c r="K471" s="170"/>
      <c r="L471" s="171"/>
      <c r="M471" s="170"/>
      <c r="N471" s="171"/>
      <c r="O471" s="83"/>
      <c r="P471" s="83"/>
    </row>
    <row r="472">
      <c r="A472" s="164"/>
      <c r="B472" s="45"/>
      <c r="C472" s="83"/>
      <c r="D472" s="83"/>
      <c r="E472" s="83"/>
      <c r="F472" s="165"/>
      <c r="G472" s="165"/>
      <c r="H472" s="52"/>
      <c r="I472" s="170"/>
      <c r="J472" s="171"/>
      <c r="K472" s="170"/>
      <c r="L472" s="171"/>
      <c r="M472" s="170"/>
      <c r="N472" s="171"/>
      <c r="O472" s="83"/>
      <c r="P472" s="83"/>
    </row>
    <row r="473">
      <c r="A473" s="164"/>
      <c r="B473" s="45"/>
      <c r="C473" s="83"/>
      <c r="D473" s="83"/>
      <c r="E473" s="83"/>
      <c r="F473" s="165"/>
      <c r="G473" s="165"/>
      <c r="H473" s="52"/>
      <c r="I473" s="170"/>
      <c r="J473" s="171"/>
      <c r="K473" s="170"/>
      <c r="L473" s="171"/>
      <c r="M473" s="170"/>
      <c r="N473" s="171"/>
      <c r="O473" s="83"/>
      <c r="P473" s="83"/>
    </row>
    <row r="474">
      <c r="A474" s="164"/>
      <c r="B474" s="45"/>
      <c r="C474" s="83"/>
      <c r="D474" s="83"/>
      <c r="E474" s="83"/>
      <c r="F474" s="165"/>
      <c r="G474" s="165"/>
      <c r="H474" s="52"/>
      <c r="I474" s="170"/>
      <c r="J474" s="171"/>
      <c r="K474" s="170"/>
      <c r="L474" s="171"/>
      <c r="M474" s="170"/>
      <c r="N474" s="171"/>
      <c r="O474" s="83"/>
      <c r="P474" s="83"/>
    </row>
    <row r="475">
      <c r="A475" s="164"/>
      <c r="B475" s="45"/>
      <c r="C475" s="83"/>
      <c r="D475" s="83"/>
      <c r="E475" s="83"/>
      <c r="F475" s="165"/>
      <c r="G475" s="165"/>
      <c r="H475" s="52"/>
      <c r="I475" s="170"/>
      <c r="J475" s="171"/>
      <c r="K475" s="170"/>
      <c r="L475" s="171"/>
      <c r="M475" s="170"/>
      <c r="N475" s="171"/>
      <c r="O475" s="83"/>
      <c r="P475" s="83"/>
    </row>
    <row r="476">
      <c r="A476" s="164"/>
      <c r="B476" s="45"/>
      <c r="C476" s="83"/>
      <c r="D476" s="83"/>
      <c r="E476" s="83"/>
      <c r="F476" s="165"/>
      <c r="G476" s="165"/>
      <c r="H476" s="52"/>
      <c r="I476" s="170"/>
      <c r="J476" s="171"/>
      <c r="K476" s="170"/>
      <c r="L476" s="171"/>
      <c r="M476" s="170"/>
      <c r="N476" s="171"/>
      <c r="O476" s="83"/>
      <c r="P476" s="83"/>
    </row>
    <row r="477">
      <c r="A477" s="164"/>
      <c r="B477" s="45"/>
      <c r="C477" s="83"/>
      <c r="D477" s="83"/>
      <c r="E477" s="83"/>
      <c r="F477" s="165"/>
      <c r="G477" s="165"/>
      <c r="H477" s="52"/>
      <c r="I477" s="170"/>
      <c r="J477" s="171"/>
      <c r="K477" s="170"/>
      <c r="L477" s="171"/>
      <c r="M477" s="170"/>
      <c r="N477" s="171"/>
      <c r="O477" s="83"/>
      <c r="P477" s="83"/>
    </row>
    <row r="478">
      <c r="A478" s="164"/>
      <c r="B478" s="45"/>
      <c r="C478" s="83"/>
      <c r="D478" s="83"/>
      <c r="E478" s="83"/>
      <c r="F478" s="165"/>
      <c r="G478" s="165"/>
      <c r="H478" s="52"/>
      <c r="I478" s="170"/>
      <c r="J478" s="171"/>
      <c r="K478" s="170"/>
      <c r="L478" s="171"/>
      <c r="M478" s="170"/>
      <c r="N478" s="171"/>
      <c r="O478" s="83"/>
      <c r="P478" s="83"/>
    </row>
    <row r="479">
      <c r="A479" s="164"/>
      <c r="B479" s="45"/>
      <c r="C479" s="83"/>
      <c r="D479" s="83"/>
      <c r="E479" s="83"/>
      <c r="F479" s="165"/>
      <c r="G479" s="165"/>
      <c r="H479" s="52"/>
      <c r="I479" s="170"/>
      <c r="J479" s="171"/>
      <c r="K479" s="170"/>
      <c r="L479" s="171"/>
      <c r="M479" s="170"/>
      <c r="N479" s="171"/>
      <c r="O479" s="83"/>
      <c r="P479" s="83"/>
    </row>
    <row r="480">
      <c r="A480" s="164"/>
      <c r="B480" s="45"/>
      <c r="C480" s="83"/>
      <c r="D480" s="83"/>
      <c r="E480" s="83"/>
      <c r="F480" s="165"/>
      <c r="G480" s="165"/>
      <c r="H480" s="52"/>
      <c r="I480" s="170"/>
      <c r="J480" s="171"/>
      <c r="K480" s="170"/>
      <c r="L480" s="171"/>
      <c r="M480" s="170"/>
      <c r="N480" s="171"/>
      <c r="O480" s="83"/>
      <c r="P480" s="83"/>
    </row>
    <row r="481">
      <c r="A481" s="164"/>
      <c r="B481" s="45"/>
      <c r="C481" s="83"/>
      <c r="D481" s="83"/>
      <c r="E481" s="83"/>
      <c r="F481" s="165"/>
      <c r="G481" s="165"/>
      <c r="H481" s="52"/>
      <c r="I481" s="170"/>
      <c r="J481" s="171"/>
      <c r="K481" s="170"/>
      <c r="L481" s="171"/>
      <c r="M481" s="170"/>
      <c r="N481" s="171"/>
      <c r="O481" s="83"/>
      <c r="P481" s="83"/>
    </row>
    <row r="482">
      <c r="A482" s="164"/>
      <c r="B482" s="45"/>
      <c r="C482" s="83"/>
      <c r="D482" s="83"/>
      <c r="E482" s="83"/>
      <c r="F482" s="165"/>
      <c r="G482" s="165"/>
      <c r="H482" s="52"/>
      <c r="I482" s="170"/>
      <c r="J482" s="171"/>
      <c r="K482" s="170"/>
      <c r="L482" s="171"/>
      <c r="M482" s="170"/>
      <c r="N482" s="171"/>
      <c r="O482" s="83"/>
      <c r="P482" s="83"/>
    </row>
    <row r="483">
      <c r="A483" s="164"/>
      <c r="B483" s="45"/>
      <c r="C483" s="83"/>
      <c r="D483" s="83"/>
      <c r="E483" s="83"/>
      <c r="F483" s="165"/>
      <c r="G483" s="165"/>
      <c r="H483" s="52"/>
      <c r="I483" s="170"/>
      <c r="J483" s="171"/>
      <c r="K483" s="170"/>
      <c r="L483" s="171"/>
      <c r="M483" s="170"/>
      <c r="N483" s="171"/>
      <c r="O483" s="83"/>
      <c r="P483" s="83"/>
    </row>
    <row r="484">
      <c r="A484" s="164"/>
      <c r="B484" s="45"/>
      <c r="C484" s="83"/>
      <c r="D484" s="83"/>
      <c r="E484" s="83"/>
      <c r="F484" s="165"/>
      <c r="G484" s="165"/>
      <c r="H484" s="52"/>
      <c r="I484" s="170"/>
      <c r="J484" s="171"/>
      <c r="K484" s="170"/>
      <c r="L484" s="171"/>
      <c r="M484" s="170"/>
      <c r="N484" s="171"/>
      <c r="O484" s="83"/>
      <c r="P484" s="83"/>
    </row>
    <row r="485">
      <c r="A485" s="164"/>
      <c r="B485" s="45"/>
      <c r="C485" s="83"/>
      <c r="D485" s="83"/>
      <c r="E485" s="83"/>
      <c r="F485" s="165"/>
      <c r="G485" s="165"/>
      <c r="H485" s="52"/>
      <c r="I485" s="170"/>
      <c r="J485" s="171"/>
      <c r="K485" s="170"/>
      <c r="L485" s="171"/>
      <c r="M485" s="170"/>
      <c r="N485" s="171"/>
      <c r="O485" s="83"/>
      <c r="P485" s="83"/>
    </row>
    <row r="486">
      <c r="A486" s="164"/>
      <c r="B486" s="45"/>
      <c r="C486" s="83"/>
      <c r="D486" s="83"/>
      <c r="E486" s="83"/>
      <c r="F486" s="165"/>
      <c r="G486" s="165"/>
      <c r="H486" s="52"/>
      <c r="I486" s="170"/>
      <c r="J486" s="171"/>
      <c r="K486" s="170"/>
      <c r="L486" s="171"/>
      <c r="M486" s="170"/>
      <c r="N486" s="171"/>
      <c r="O486" s="83"/>
      <c r="P486" s="83"/>
    </row>
    <row r="487">
      <c r="A487" s="164"/>
      <c r="B487" s="45"/>
      <c r="C487" s="83"/>
      <c r="D487" s="83"/>
      <c r="E487" s="83"/>
      <c r="F487" s="165"/>
      <c r="G487" s="165"/>
      <c r="H487" s="52"/>
      <c r="I487" s="170"/>
      <c r="J487" s="171"/>
      <c r="K487" s="170"/>
      <c r="L487" s="171"/>
      <c r="M487" s="170"/>
      <c r="N487" s="171"/>
      <c r="O487" s="83"/>
      <c r="P487" s="83"/>
    </row>
    <row r="488">
      <c r="A488" s="164"/>
      <c r="B488" s="45"/>
      <c r="C488" s="83"/>
      <c r="D488" s="83"/>
      <c r="E488" s="83"/>
      <c r="F488" s="165"/>
      <c r="G488" s="165"/>
      <c r="H488" s="52"/>
      <c r="I488" s="170"/>
      <c r="J488" s="171"/>
      <c r="K488" s="170"/>
      <c r="L488" s="171"/>
      <c r="M488" s="170"/>
      <c r="N488" s="171"/>
      <c r="O488" s="83"/>
      <c r="P488" s="83"/>
    </row>
    <row r="489">
      <c r="A489" s="164"/>
      <c r="B489" s="45"/>
      <c r="C489" s="83"/>
      <c r="D489" s="83"/>
      <c r="E489" s="83"/>
      <c r="F489" s="165"/>
      <c r="G489" s="165"/>
      <c r="H489" s="52"/>
      <c r="I489" s="170"/>
      <c r="J489" s="171"/>
      <c r="K489" s="170"/>
      <c r="L489" s="171"/>
      <c r="M489" s="170"/>
      <c r="N489" s="171"/>
      <c r="O489" s="83"/>
      <c r="P489" s="83"/>
    </row>
    <row r="490">
      <c r="A490" s="164"/>
      <c r="B490" s="45"/>
      <c r="C490" s="83"/>
      <c r="D490" s="83"/>
      <c r="E490" s="83"/>
      <c r="F490" s="165"/>
      <c r="G490" s="165"/>
      <c r="H490" s="52"/>
      <c r="I490" s="170"/>
      <c r="J490" s="171"/>
      <c r="K490" s="170"/>
      <c r="L490" s="171"/>
      <c r="M490" s="170"/>
      <c r="N490" s="171"/>
      <c r="O490" s="83"/>
      <c r="P490" s="83"/>
    </row>
    <row r="491">
      <c r="A491" s="164"/>
      <c r="B491" s="45"/>
      <c r="C491" s="83"/>
      <c r="D491" s="83"/>
      <c r="E491" s="83"/>
      <c r="F491" s="165"/>
      <c r="G491" s="165"/>
      <c r="H491" s="52"/>
      <c r="I491" s="170"/>
      <c r="J491" s="171"/>
      <c r="K491" s="170"/>
      <c r="L491" s="171"/>
      <c r="M491" s="170"/>
      <c r="N491" s="171"/>
      <c r="O491" s="83"/>
      <c r="P491" s="83"/>
    </row>
    <row r="492">
      <c r="A492" s="164"/>
      <c r="B492" s="45"/>
      <c r="C492" s="83"/>
      <c r="D492" s="83"/>
      <c r="E492" s="83"/>
      <c r="F492" s="165"/>
      <c r="G492" s="165"/>
      <c r="H492" s="52"/>
      <c r="I492" s="170"/>
      <c r="J492" s="171"/>
      <c r="K492" s="170"/>
      <c r="L492" s="171"/>
      <c r="M492" s="170"/>
      <c r="N492" s="171"/>
      <c r="O492" s="83"/>
      <c r="P492" s="83"/>
    </row>
    <row r="493">
      <c r="A493" s="164"/>
      <c r="B493" s="45"/>
      <c r="C493" s="83"/>
      <c r="D493" s="83"/>
      <c r="E493" s="83"/>
      <c r="F493" s="165"/>
      <c r="G493" s="165"/>
      <c r="H493" s="52"/>
      <c r="I493" s="170"/>
      <c r="J493" s="171"/>
      <c r="K493" s="170"/>
      <c r="L493" s="171"/>
      <c r="M493" s="170"/>
      <c r="N493" s="171"/>
      <c r="O493" s="83"/>
      <c r="P493" s="83"/>
    </row>
    <row r="494">
      <c r="A494" s="164"/>
      <c r="B494" s="45"/>
      <c r="C494" s="83"/>
      <c r="D494" s="83"/>
      <c r="E494" s="83"/>
      <c r="F494" s="165"/>
      <c r="G494" s="165"/>
      <c r="H494" s="52"/>
      <c r="I494" s="170"/>
      <c r="J494" s="171"/>
      <c r="K494" s="170"/>
      <c r="L494" s="171"/>
      <c r="M494" s="170"/>
      <c r="N494" s="171"/>
      <c r="O494" s="83"/>
      <c r="P494" s="83"/>
    </row>
    <row r="495">
      <c r="A495" s="164"/>
      <c r="B495" s="45"/>
      <c r="C495" s="83"/>
      <c r="D495" s="83"/>
      <c r="E495" s="83"/>
      <c r="F495" s="165"/>
      <c r="G495" s="165"/>
      <c r="H495" s="52"/>
      <c r="I495" s="170"/>
      <c r="J495" s="171"/>
      <c r="K495" s="170"/>
      <c r="L495" s="171"/>
      <c r="M495" s="170"/>
      <c r="N495" s="171"/>
      <c r="O495" s="83"/>
      <c r="P495" s="83"/>
    </row>
    <row r="496">
      <c r="A496" s="164"/>
      <c r="B496" s="45"/>
      <c r="C496" s="83"/>
      <c r="D496" s="83"/>
      <c r="E496" s="83"/>
      <c r="F496" s="165"/>
      <c r="G496" s="165"/>
      <c r="H496" s="52"/>
      <c r="I496" s="170"/>
      <c r="J496" s="171"/>
      <c r="K496" s="170"/>
      <c r="L496" s="171"/>
      <c r="M496" s="170"/>
      <c r="N496" s="171"/>
      <c r="O496" s="83"/>
      <c r="P496" s="83"/>
    </row>
    <row r="497">
      <c r="A497" s="164"/>
      <c r="B497" s="45"/>
      <c r="C497" s="83"/>
      <c r="D497" s="83"/>
      <c r="E497" s="83"/>
      <c r="F497" s="165"/>
      <c r="G497" s="165"/>
      <c r="H497" s="52"/>
      <c r="I497" s="170"/>
      <c r="J497" s="171"/>
      <c r="K497" s="170"/>
      <c r="L497" s="171"/>
      <c r="M497" s="170"/>
      <c r="N497" s="171"/>
      <c r="O497" s="83"/>
      <c r="P497" s="83"/>
    </row>
    <row r="498">
      <c r="A498" s="164"/>
      <c r="B498" s="45"/>
      <c r="C498" s="83"/>
      <c r="D498" s="83"/>
      <c r="E498" s="83"/>
      <c r="F498" s="165"/>
      <c r="G498" s="165"/>
      <c r="H498" s="52"/>
      <c r="I498" s="170"/>
      <c r="J498" s="171"/>
      <c r="K498" s="170"/>
      <c r="L498" s="171"/>
      <c r="M498" s="170"/>
      <c r="N498" s="171"/>
      <c r="O498" s="83"/>
      <c r="P498" s="83"/>
    </row>
    <row r="499">
      <c r="A499" s="164"/>
      <c r="B499" s="45"/>
      <c r="C499" s="83"/>
      <c r="D499" s="83"/>
      <c r="E499" s="83"/>
      <c r="F499" s="165"/>
      <c r="G499" s="165"/>
      <c r="H499" s="52"/>
      <c r="I499" s="170"/>
      <c r="J499" s="171"/>
      <c r="K499" s="170"/>
      <c r="L499" s="171"/>
      <c r="M499" s="170"/>
      <c r="N499" s="171"/>
      <c r="O499" s="83"/>
      <c r="P499" s="83"/>
    </row>
    <row r="500">
      <c r="A500" s="164"/>
      <c r="B500" s="45"/>
      <c r="C500" s="83"/>
      <c r="D500" s="83"/>
      <c r="E500" s="83"/>
      <c r="F500" s="165"/>
      <c r="G500" s="165"/>
      <c r="H500" s="52"/>
      <c r="I500" s="170"/>
      <c r="J500" s="171"/>
      <c r="K500" s="170"/>
      <c r="L500" s="171"/>
      <c r="M500" s="170"/>
      <c r="N500" s="171"/>
      <c r="O500" s="83"/>
      <c r="P500" s="83"/>
    </row>
    <row r="501">
      <c r="A501" s="164"/>
      <c r="B501" s="45"/>
      <c r="C501" s="83"/>
      <c r="D501" s="83"/>
      <c r="E501" s="83"/>
      <c r="F501" s="165"/>
      <c r="G501" s="165"/>
      <c r="H501" s="52"/>
      <c r="I501" s="170"/>
      <c r="J501" s="171"/>
      <c r="K501" s="170"/>
      <c r="L501" s="171"/>
      <c r="M501" s="170"/>
      <c r="N501" s="171"/>
      <c r="O501" s="83"/>
      <c r="P501" s="83"/>
    </row>
    <row r="502">
      <c r="A502" s="164"/>
      <c r="B502" s="45"/>
      <c r="C502" s="83"/>
      <c r="D502" s="83"/>
      <c r="E502" s="83"/>
      <c r="F502" s="165"/>
      <c r="G502" s="165"/>
      <c r="H502" s="52"/>
      <c r="I502" s="170"/>
      <c r="J502" s="171"/>
      <c r="K502" s="170"/>
      <c r="L502" s="171"/>
      <c r="M502" s="170"/>
      <c r="N502" s="171"/>
      <c r="O502" s="83"/>
      <c r="P502" s="83"/>
    </row>
    <row r="503">
      <c r="A503" s="164"/>
      <c r="B503" s="45"/>
      <c r="C503" s="83"/>
      <c r="D503" s="83"/>
      <c r="E503" s="83"/>
      <c r="F503" s="165"/>
      <c r="G503" s="165"/>
      <c r="H503" s="52"/>
      <c r="I503" s="170"/>
      <c r="J503" s="171"/>
      <c r="K503" s="170"/>
      <c r="L503" s="171"/>
      <c r="M503" s="170"/>
      <c r="N503" s="171"/>
      <c r="O503" s="83"/>
      <c r="P503" s="83"/>
    </row>
    <row r="504">
      <c r="A504" s="164"/>
      <c r="B504" s="45"/>
      <c r="C504" s="83"/>
      <c r="D504" s="83"/>
      <c r="E504" s="83"/>
      <c r="F504" s="165"/>
      <c r="G504" s="165"/>
      <c r="H504" s="52"/>
      <c r="I504" s="170"/>
      <c r="J504" s="171"/>
      <c r="K504" s="170"/>
      <c r="L504" s="171"/>
      <c r="M504" s="170"/>
      <c r="N504" s="171"/>
      <c r="O504" s="83"/>
      <c r="P504" s="83"/>
    </row>
    <row r="505">
      <c r="A505" s="164"/>
      <c r="B505" s="45"/>
      <c r="C505" s="83"/>
      <c r="D505" s="83"/>
      <c r="E505" s="83"/>
      <c r="F505" s="165"/>
      <c r="G505" s="165"/>
      <c r="H505" s="52"/>
      <c r="I505" s="170"/>
      <c r="J505" s="171"/>
      <c r="K505" s="170"/>
      <c r="L505" s="171"/>
      <c r="M505" s="170"/>
      <c r="N505" s="171"/>
      <c r="O505" s="83"/>
      <c r="P505" s="83"/>
    </row>
    <row r="506">
      <c r="A506" s="164"/>
      <c r="B506" s="45"/>
      <c r="C506" s="83"/>
      <c r="D506" s="83"/>
      <c r="E506" s="83"/>
      <c r="F506" s="165"/>
      <c r="G506" s="165"/>
      <c r="H506" s="52"/>
      <c r="I506" s="170"/>
      <c r="J506" s="171"/>
      <c r="K506" s="170"/>
      <c r="L506" s="171"/>
      <c r="M506" s="170"/>
      <c r="N506" s="171"/>
      <c r="O506" s="83"/>
      <c r="P506" s="83"/>
    </row>
    <row r="507">
      <c r="A507" s="164"/>
      <c r="B507" s="45"/>
      <c r="C507" s="83"/>
      <c r="D507" s="83"/>
      <c r="E507" s="83"/>
      <c r="F507" s="165"/>
      <c r="G507" s="165"/>
      <c r="H507" s="52"/>
      <c r="I507" s="170"/>
      <c r="J507" s="171"/>
      <c r="K507" s="170"/>
      <c r="L507" s="171"/>
      <c r="M507" s="170"/>
      <c r="N507" s="171"/>
      <c r="O507" s="83"/>
      <c r="P507" s="83"/>
    </row>
    <row r="508">
      <c r="A508" s="164"/>
      <c r="B508" s="45"/>
      <c r="C508" s="83"/>
      <c r="D508" s="83"/>
      <c r="E508" s="83"/>
      <c r="F508" s="165"/>
      <c r="G508" s="165"/>
      <c r="H508" s="52"/>
      <c r="I508" s="170"/>
      <c r="J508" s="171"/>
      <c r="K508" s="170"/>
      <c r="L508" s="171"/>
      <c r="M508" s="170"/>
      <c r="N508" s="171"/>
      <c r="O508" s="83"/>
      <c r="P508" s="83"/>
    </row>
    <row r="509">
      <c r="A509" s="164"/>
      <c r="B509" s="45"/>
      <c r="C509" s="83"/>
      <c r="D509" s="83"/>
      <c r="E509" s="83"/>
      <c r="F509" s="165"/>
      <c r="G509" s="165"/>
      <c r="H509" s="52"/>
      <c r="I509" s="170"/>
      <c r="J509" s="171"/>
      <c r="K509" s="170"/>
      <c r="L509" s="171"/>
      <c r="M509" s="170"/>
      <c r="N509" s="171"/>
      <c r="O509" s="83"/>
      <c r="P509" s="83"/>
    </row>
    <row r="510">
      <c r="A510" s="164"/>
      <c r="B510" s="45"/>
      <c r="C510" s="83"/>
      <c r="D510" s="83"/>
      <c r="E510" s="83"/>
      <c r="F510" s="165"/>
      <c r="G510" s="165"/>
      <c r="H510" s="52"/>
      <c r="I510" s="170"/>
      <c r="J510" s="171"/>
      <c r="K510" s="170"/>
      <c r="L510" s="171"/>
      <c r="M510" s="170"/>
      <c r="N510" s="171"/>
      <c r="O510" s="83"/>
      <c r="P510" s="83"/>
    </row>
    <row r="511">
      <c r="A511" s="164"/>
      <c r="B511" s="45"/>
      <c r="C511" s="83"/>
      <c r="D511" s="83"/>
      <c r="E511" s="83"/>
      <c r="F511" s="165"/>
      <c r="G511" s="165"/>
      <c r="H511" s="52"/>
      <c r="I511" s="170"/>
      <c r="J511" s="171"/>
      <c r="K511" s="170"/>
      <c r="L511" s="171"/>
      <c r="M511" s="170"/>
      <c r="N511" s="171"/>
      <c r="O511" s="83"/>
      <c r="P511" s="83"/>
    </row>
    <row r="512">
      <c r="A512" s="164"/>
      <c r="B512" s="45"/>
      <c r="C512" s="83"/>
      <c r="D512" s="83"/>
      <c r="E512" s="83"/>
      <c r="F512" s="165"/>
      <c r="G512" s="165"/>
      <c r="H512" s="52"/>
      <c r="I512" s="170"/>
      <c r="J512" s="171"/>
      <c r="K512" s="170"/>
      <c r="L512" s="171"/>
      <c r="M512" s="170"/>
      <c r="N512" s="171"/>
      <c r="O512" s="83"/>
      <c r="P512" s="83"/>
    </row>
    <row r="513">
      <c r="A513" s="164"/>
      <c r="B513" s="45"/>
      <c r="C513" s="83"/>
      <c r="D513" s="83"/>
      <c r="E513" s="83"/>
      <c r="F513" s="165"/>
      <c r="G513" s="165"/>
      <c r="H513" s="52"/>
      <c r="I513" s="170"/>
      <c r="J513" s="171"/>
      <c r="K513" s="170"/>
      <c r="L513" s="171"/>
      <c r="M513" s="170"/>
      <c r="N513" s="171"/>
      <c r="O513" s="83"/>
      <c r="P513" s="83"/>
    </row>
    <row r="514">
      <c r="A514" s="164"/>
      <c r="B514" s="45"/>
      <c r="C514" s="83"/>
      <c r="D514" s="83"/>
      <c r="E514" s="83"/>
      <c r="F514" s="165"/>
      <c r="G514" s="165"/>
      <c r="H514" s="52"/>
      <c r="I514" s="170"/>
      <c r="J514" s="171"/>
      <c r="K514" s="170"/>
      <c r="L514" s="171"/>
      <c r="M514" s="170"/>
      <c r="N514" s="171"/>
      <c r="O514" s="83"/>
      <c r="P514" s="83"/>
    </row>
    <row r="515">
      <c r="A515" s="164"/>
      <c r="B515" s="45"/>
      <c r="C515" s="83"/>
      <c r="D515" s="83"/>
      <c r="E515" s="83"/>
      <c r="F515" s="165"/>
      <c r="G515" s="165"/>
      <c r="H515" s="52"/>
      <c r="I515" s="170"/>
      <c r="J515" s="171"/>
      <c r="K515" s="170"/>
      <c r="L515" s="171"/>
      <c r="M515" s="170"/>
      <c r="N515" s="171"/>
      <c r="O515" s="83"/>
      <c r="P515" s="83"/>
    </row>
    <row r="516">
      <c r="A516" s="164"/>
      <c r="B516" s="45"/>
      <c r="C516" s="83"/>
      <c r="D516" s="83"/>
      <c r="E516" s="83"/>
      <c r="F516" s="165"/>
      <c r="G516" s="165"/>
      <c r="H516" s="52"/>
      <c r="I516" s="170"/>
      <c r="J516" s="171"/>
      <c r="K516" s="170"/>
      <c r="L516" s="171"/>
      <c r="M516" s="170"/>
      <c r="N516" s="171"/>
      <c r="O516" s="83"/>
      <c r="P516" s="83"/>
    </row>
    <row r="517">
      <c r="A517" s="164"/>
      <c r="B517" s="45"/>
      <c r="C517" s="83"/>
      <c r="D517" s="83"/>
      <c r="E517" s="83"/>
      <c r="F517" s="165"/>
      <c r="G517" s="165"/>
      <c r="H517" s="52"/>
      <c r="I517" s="170"/>
      <c r="J517" s="171"/>
      <c r="K517" s="170"/>
      <c r="L517" s="171"/>
      <c r="M517" s="170"/>
      <c r="N517" s="171"/>
      <c r="O517" s="83"/>
      <c r="P517" s="83"/>
    </row>
    <row r="518">
      <c r="A518" s="164"/>
      <c r="B518" s="45"/>
      <c r="C518" s="83"/>
      <c r="D518" s="83"/>
      <c r="E518" s="83"/>
      <c r="F518" s="165"/>
      <c r="G518" s="165"/>
      <c r="H518" s="52"/>
      <c r="I518" s="170"/>
      <c r="J518" s="171"/>
      <c r="K518" s="170"/>
      <c r="L518" s="171"/>
      <c r="M518" s="170"/>
      <c r="N518" s="171"/>
      <c r="O518" s="83"/>
      <c r="P518" s="83"/>
    </row>
    <row r="519">
      <c r="A519" s="164"/>
      <c r="B519" s="45"/>
      <c r="C519" s="83"/>
      <c r="D519" s="83"/>
      <c r="E519" s="83"/>
      <c r="F519" s="165"/>
      <c r="G519" s="165"/>
      <c r="H519" s="52"/>
      <c r="I519" s="170"/>
      <c r="J519" s="171"/>
      <c r="K519" s="170"/>
      <c r="L519" s="171"/>
      <c r="M519" s="170"/>
      <c r="N519" s="171"/>
      <c r="O519" s="83"/>
      <c r="P519" s="83"/>
    </row>
    <row r="520">
      <c r="A520" s="164"/>
      <c r="B520" s="45"/>
      <c r="C520" s="83"/>
      <c r="D520" s="83"/>
      <c r="E520" s="83"/>
      <c r="F520" s="165"/>
      <c r="G520" s="165"/>
      <c r="H520" s="52"/>
      <c r="I520" s="170"/>
      <c r="J520" s="171"/>
      <c r="K520" s="170"/>
      <c r="L520" s="171"/>
      <c r="M520" s="170"/>
      <c r="N520" s="171"/>
      <c r="O520" s="83"/>
      <c r="P520" s="83"/>
    </row>
    <row r="521">
      <c r="A521" s="164"/>
      <c r="B521" s="45"/>
      <c r="C521" s="83"/>
      <c r="D521" s="83"/>
      <c r="E521" s="83"/>
      <c r="F521" s="165"/>
      <c r="G521" s="165"/>
      <c r="H521" s="52"/>
      <c r="I521" s="170"/>
      <c r="J521" s="171"/>
      <c r="K521" s="170"/>
      <c r="L521" s="171"/>
      <c r="M521" s="170"/>
      <c r="N521" s="171"/>
      <c r="O521" s="83"/>
      <c r="P521" s="83"/>
    </row>
    <row r="522">
      <c r="A522" s="164"/>
      <c r="B522" s="45"/>
      <c r="C522" s="83"/>
      <c r="D522" s="83"/>
      <c r="E522" s="83"/>
      <c r="F522" s="165"/>
      <c r="G522" s="165"/>
      <c r="H522" s="52"/>
      <c r="I522" s="170"/>
      <c r="J522" s="171"/>
      <c r="K522" s="170"/>
      <c r="L522" s="171"/>
      <c r="M522" s="170"/>
      <c r="N522" s="171"/>
      <c r="O522" s="83"/>
      <c r="P522" s="83"/>
    </row>
    <row r="523">
      <c r="A523" s="164"/>
      <c r="B523" s="45"/>
      <c r="C523" s="83"/>
      <c r="D523" s="83"/>
      <c r="E523" s="83"/>
      <c r="F523" s="165"/>
      <c r="G523" s="165"/>
      <c r="H523" s="52"/>
      <c r="I523" s="170"/>
      <c r="J523" s="171"/>
      <c r="K523" s="170"/>
      <c r="L523" s="171"/>
      <c r="M523" s="170"/>
      <c r="N523" s="171"/>
      <c r="O523" s="83"/>
      <c r="P523" s="83"/>
    </row>
    <row r="524">
      <c r="A524" s="164"/>
      <c r="B524" s="45"/>
      <c r="C524" s="83"/>
      <c r="D524" s="83"/>
      <c r="E524" s="83"/>
      <c r="F524" s="165"/>
      <c r="G524" s="165"/>
      <c r="H524" s="52"/>
      <c r="I524" s="170"/>
      <c r="J524" s="171"/>
      <c r="K524" s="170"/>
      <c r="L524" s="171"/>
      <c r="M524" s="170"/>
      <c r="N524" s="171"/>
      <c r="O524" s="83"/>
      <c r="P524" s="83"/>
    </row>
    <row r="525">
      <c r="A525" s="164"/>
      <c r="B525" s="45"/>
      <c r="C525" s="83"/>
      <c r="D525" s="83"/>
      <c r="E525" s="83"/>
      <c r="F525" s="165"/>
      <c r="G525" s="165"/>
      <c r="H525" s="52"/>
      <c r="I525" s="170"/>
      <c r="J525" s="171"/>
      <c r="K525" s="170"/>
      <c r="L525" s="171"/>
      <c r="M525" s="170"/>
      <c r="N525" s="171"/>
      <c r="O525" s="83"/>
      <c r="P525" s="83"/>
    </row>
    <row r="526">
      <c r="A526" s="164"/>
      <c r="B526" s="45"/>
      <c r="C526" s="83"/>
      <c r="D526" s="83"/>
      <c r="E526" s="83"/>
      <c r="F526" s="165"/>
      <c r="G526" s="165"/>
      <c r="H526" s="52"/>
      <c r="I526" s="170"/>
      <c r="J526" s="171"/>
      <c r="K526" s="170"/>
      <c r="L526" s="171"/>
      <c r="M526" s="170"/>
      <c r="N526" s="171"/>
      <c r="O526" s="83"/>
      <c r="P526" s="83"/>
    </row>
    <row r="527">
      <c r="A527" s="164"/>
      <c r="B527" s="45"/>
      <c r="C527" s="83"/>
      <c r="D527" s="83"/>
      <c r="E527" s="83"/>
      <c r="F527" s="165"/>
      <c r="G527" s="165"/>
      <c r="H527" s="52"/>
      <c r="I527" s="170"/>
      <c r="J527" s="171"/>
      <c r="K527" s="170"/>
      <c r="L527" s="171"/>
      <c r="M527" s="170"/>
      <c r="N527" s="171"/>
      <c r="O527" s="83"/>
      <c r="P527" s="83"/>
    </row>
    <row r="528">
      <c r="A528" s="164"/>
      <c r="B528" s="45"/>
      <c r="C528" s="83"/>
      <c r="D528" s="83"/>
      <c r="E528" s="83"/>
      <c r="F528" s="165"/>
      <c r="G528" s="165"/>
      <c r="H528" s="52"/>
      <c r="I528" s="170"/>
      <c r="J528" s="171"/>
      <c r="K528" s="170"/>
      <c r="L528" s="171"/>
      <c r="M528" s="170"/>
      <c r="N528" s="171"/>
      <c r="O528" s="83"/>
      <c r="P528" s="83"/>
    </row>
    <row r="529">
      <c r="A529" s="164"/>
      <c r="B529" s="45"/>
      <c r="C529" s="83"/>
      <c r="D529" s="83"/>
      <c r="E529" s="83"/>
      <c r="F529" s="165"/>
      <c r="G529" s="165"/>
      <c r="H529" s="52"/>
      <c r="I529" s="170"/>
      <c r="J529" s="171"/>
      <c r="K529" s="170"/>
      <c r="L529" s="171"/>
      <c r="M529" s="170"/>
      <c r="N529" s="171"/>
      <c r="O529" s="83"/>
      <c r="P529" s="83"/>
    </row>
    <row r="530">
      <c r="A530" s="164"/>
      <c r="B530" s="45"/>
      <c r="C530" s="83"/>
      <c r="D530" s="83"/>
      <c r="E530" s="83"/>
      <c r="F530" s="165"/>
      <c r="G530" s="165"/>
      <c r="H530" s="52"/>
      <c r="I530" s="170"/>
      <c r="J530" s="171"/>
      <c r="K530" s="170"/>
      <c r="L530" s="171"/>
      <c r="M530" s="170"/>
      <c r="N530" s="171"/>
      <c r="O530" s="83"/>
      <c r="P530" s="83"/>
    </row>
    <row r="531">
      <c r="A531" s="164"/>
      <c r="B531" s="45"/>
      <c r="C531" s="83"/>
      <c r="D531" s="83"/>
      <c r="E531" s="83"/>
      <c r="F531" s="165"/>
      <c r="G531" s="165"/>
      <c r="H531" s="52"/>
      <c r="I531" s="170"/>
      <c r="J531" s="171"/>
      <c r="K531" s="170"/>
      <c r="L531" s="171"/>
      <c r="M531" s="170"/>
      <c r="N531" s="171"/>
      <c r="O531" s="83"/>
      <c r="P531" s="83"/>
    </row>
    <row r="532">
      <c r="A532" s="164"/>
      <c r="B532" s="45"/>
      <c r="C532" s="83"/>
      <c r="D532" s="83"/>
      <c r="E532" s="83"/>
      <c r="F532" s="165"/>
      <c r="G532" s="165"/>
      <c r="H532" s="52"/>
      <c r="I532" s="170"/>
      <c r="J532" s="171"/>
      <c r="K532" s="170"/>
      <c r="L532" s="171"/>
      <c r="M532" s="170"/>
      <c r="N532" s="171"/>
      <c r="O532" s="83"/>
      <c r="P532" s="83"/>
    </row>
    <row r="533">
      <c r="A533" s="164"/>
      <c r="B533" s="45"/>
      <c r="C533" s="83"/>
      <c r="D533" s="83"/>
      <c r="E533" s="83"/>
      <c r="F533" s="165"/>
      <c r="G533" s="165"/>
      <c r="H533" s="52"/>
      <c r="I533" s="170"/>
      <c r="J533" s="171"/>
      <c r="K533" s="170"/>
      <c r="L533" s="171"/>
      <c r="M533" s="170"/>
      <c r="N533" s="171"/>
      <c r="O533" s="83"/>
      <c r="P533" s="83"/>
    </row>
    <row r="534">
      <c r="A534" s="164"/>
      <c r="B534" s="45"/>
      <c r="C534" s="83"/>
      <c r="D534" s="83"/>
      <c r="E534" s="83"/>
      <c r="F534" s="165"/>
      <c r="G534" s="165"/>
      <c r="H534" s="52"/>
      <c r="I534" s="170"/>
      <c r="J534" s="171"/>
      <c r="K534" s="170"/>
      <c r="L534" s="171"/>
      <c r="M534" s="170"/>
      <c r="N534" s="171"/>
      <c r="O534" s="83"/>
      <c r="P534" s="83"/>
    </row>
    <row r="535">
      <c r="A535" s="164"/>
      <c r="B535" s="45"/>
      <c r="C535" s="83"/>
      <c r="D535" s="83"/>
      <c r="E535" s="83"/>
      <c r="F535" s="165"/>
      <c r="G535" s="165"/>
      <c r="H535" s="52"/>
      <c r="I535" s="170"/>
      <c r="J535" s="171"/>
      <c r="K535" s="170"/>
      <c r="L535" s="171"/>
      <c r="M535" s="170"/>
      <c r="N535" s="171"/>
      <c r="O535" s="83"/>
      <c r="P535" s="83"/>
    </row>
    <row r="536">
      <c r="A536" s="164"/>
      <c r="B536" s="45"/>
      <c r="C536" s="83"/>
      <c r="D536" s="83"/>
      <c r="E536" s="83"/>
      <c r="F536" s="165"/>
      <c r="G536" s="165"/>
      <c r="H536" s="52"/>
      <c r="I536" s="170"/>
      <c r="J536" s="171"/>
      <c r="K536" s="170"/>
      <c r="L536" s="171"/>
      <c r="M536" s="170"/>
      <c r="N536" s="171"/>
      <c r="O536" s="83"/>
      <c r="P536" s="83"/>
    </row>
    <row r="537">
      <c r="A537" s="164"/>
      <c r="B537" s="45"/>
      <c r="C537" s="83"/>
      <c r="D537" s="83"/>
      <c r="E537" s="83"/>
      <c r="F537" s="165"/>
      <c r="G537" s="165"/>
      <c r="H537" s="52"/>
      <c r="I537" s="170"/>
      <c r="J537" s="171"/>
      <c r="K537" s="170"/>
      <c r="L537" s="171"/>
      <c r="M537" s="170"/>
      <c r="N537" s="171"/>
      <c r="O537" s="83"/>
      <c r="P537" s="83"/>
    </row>
    <row r="538">
      <c r="A538" s="164"/>
      <c r="B538" s="45"/>
      <c r="C538" s="83"/>
      <c r="D538" s="83"/>
      <c r="E538" s="83"/>
      <c r="F538" s="165"/>
      <c r="G538" s="165"/>
      <c r="H538" s="52"/>
      <c r="I538" s="170"/>
      <c r="J538" s="171"/>
      <c r="K538" s="170"/>
      <c r="L538" s="171"/>
      <c r="M538" s="170"/>
      <c r="N538" s="171"/>
      <c r="O538" s="83"/>
      <c r="P538" s="83"/>
    </row>
    <row r="539">
      <c r="A539" s="164"/>
      <c r="B539" s="45"/>
      <c r="C539" s="83"/>
      <c r="D539" s="83"/>
      <c r="E539" s="83"/>
      <c r="F539" s="165"/>
      <c r="G539" s="165"/>
      <c r="H539" s="52"/>
      <c r="I539" s="170"/>
      <c r="J539" s="171"/>
      <c r="K539" s="170"/>
      <c r="L539" s="171"/>
      <c r="M539" s="170"/>
      <c r="N539" s="171"/>
      <c r="O539" s="83"/>
      <c r="P539" s="83"/>
    </row>
    <row r="540">
      <c r="A540" s="164"/>
      <c r="B540" s="45"/>
      <c r="C540" s="83"/>
      <c r="D540" s="83"/>
      <c r="E540" s="83"/>
      <c r="F540" s="165"/>
      <c r="G540" s="165"/>
      <c r="H540" s="52"/>
      <c r="I540" s="170"/>
      <c r="J540" s="171"/>
      <c r="K540" s="170"/>
      <c r="L540" s="171"/>
      <c r="M540" s="170"/>
      <c r="N540" s="171"/>
      <c r="O540" s="83"/>
      <c r="P540" s="83"/>
    </row>
    <row r="541">
      <c r="A541" s="164"/>
      <c r="B541" s="45"/>
      <c r="C541" s="83"/>
      <c r="D541" s="83"/>
      <c r="E541" s="83"/>
      <c r="F541" s="165"/>
      <c r="G541" s="165"/>
      <c r="H541" s="52"/>
      <c r="I541" s="170"/>
      <c r="J541" s="171"/>
      <c r="K541" s="170"/>
      <c r="L541" s="171"/>
      <c r="M541" s="170"/>
      <c r="N541" s="171"/>
      <c r="O541" s="83"/>
      <c r="P541" s="83"/>
    </row>
    <row r="542">
      <c r="A542" s="164"/>
      <c r="B542" s="45"/>
      <c r="C542" s="83"/>
      <c r="D542" s="83"/>
      <c r="E542" s="83"/>
      <c r="F542" s="165"/>
      <c r="G542" s="165"/>
      <c r="H542" s="52"/>
      <c r="I542" s="170"/>
      <c r="J542" s="171"/>
      <c r="K542" s="170"/>
      <c r="L542" s="171"/>
      <c r="M542" s="170"/>
      <c r="N542" s="171"/>
      <c r="O542" s="83"/>
      <c r="P542" s="83"/>
    </row>
    <row r="543">
      <c r="A543" s="164"/>
      <c r="B543" s="45"/>
      <c r="C543" s="83"/>
      <c r="D543" s="83"/>
      <c r="E543" s="83"/>
      <c r="F543" s="165"/>
      <c r="G543" s="165"/>
      <c r="H543" s="52"/>
      <c r="I543" s="170"/>
      <c r="J543" s="171"/>
      <c r="K543" s="170"/>
      <c r="L543" s="171"/>
      <c r="M543" s="170"/>
      <c r="N543" s="171"/>
      <c r="O543" s="83"/>
      <c r="P543" s="83"/>
    </row>
    <row r="544">
      <c r="A544" s="164"/>
      <c r="B544" s="45"/>
      <c r="C544" s="83"/>
      <c r="D544" s="83"/>
      <c r="E544" s="83"/>
      <c r="F544" s="165"/>
      <c r="G544" s="165"/>
      <c r="H544" s="52"/>
      <c r="I544" s="170"/>
      <c r="J544" s="171"/>
      <c r="K544" s="170"/>
      <c r="L544" s="171"/>
      <c r="M544" s="170"/>
      <c r="N544" s="171"/>
      <c r="O544" s="83"/>
      <c r="P544" s="83"/>
    </row>
    <row r="545">
      <c r="A545" s="164"/>
      <c r="B545" s="45"/>
      <c r="C545" s="83"/>
      <c r="D545" s="83"/>
      <c r="E545" s="83"/>
      <c r="F545" s="165"/>
      <c r="G545" s="165"/>
      <c r="H545" s="52"/>
      <c r="I545" s="170"/>
      <c r="J545" s="171"/>
      <c r="K545" s="170"/>
      <c r="L545" s="171"/>
      <c r="M545" s="170"/>
      <c r="N545" s="171"/>
      <c r="O545" s="83"/>
      <c r="P545" s="83"/>
    </row>
    <row r="546">
      <c r="A546" s="164"/>
      <c r="B546" s="45"/>
      <c r="C546" s="83"/>
      <c r="D546" s="83"/>
      <c r="E546" s="83"/>
      <c r="F546" s="165"/>
      <c r="G546" s="165"/>
      <c r="H546" s="52"/>
      <c r="I546" s="170"/>
      <c r="J546" s="171"/>
      <c r="K546" s="170"/>
      <c r="L546" s="171"/>
      <c r="M546" s="170"/>
      <c r="N546" s="171"/>
      <c r="O546" s="83"/>
      <c r="P546" s="83"/>
    </row>
    <row r="547">
      <c r="A547" s="164"/>
      <c r="B547" s="45"/>
      <c r="C547" s="83"/>
      <c r="D547" s="83"/>
      <c r="E547" s="83"/>
      <c r="F547" s="165"/>
      <c r="G547" s="165"/>
      <c r="H547" s="52"/>
      <c r="I547" s="170"/>
      <c r="J547" s="171"/>
      <c r="K547" s="170"/>
      <c r="L547" s="171"/>
      <c r="M547" s="170"/>
      <c r="N547" s="171"/>
      <c r="O547" s="83"/>
      <c r="P547" s="83"/>
    </row>
    <row r="548">
      <c r="A548" s="164"/>
      <c r="B548" s="45"/>
      <c r="C548" s="83"/>
      <c r="D548" s="83"/>
      <c r="E548" s="83"/>
      <c r="F548" s="165"/>
      <c r="G548" s="165"/>
      <c r="H548" s="52"/>
      <c r="I548" s="170"/>
      <c r="J548" s="171"/>
      <c r="K548" s="170"/>
      <c r="L548" s="171"/>
      <c r="M548" s="170"/>
      <c r="N548" s="171"/>
      <c r="O548" s="83"/>
      <c r="P548" s="83"/>
    </row>
    <row r="549">
      <c r="A549" s="164"/>
      <c r="B549" s="45"/>
      <c r="C549" s="83"/>
      <c r="D549" s="83"/>
      <c r="E549" s="83"/>
      <c r="F549" s="165"/>
      <c r="G549" s="165"/>
      <c r="H549" s="52"/>
      <c r="I549" s="170"/>
      <c r="J549" s="171"/>
      <c r="K549" s="170"/>
      <c r="L549" s="171"/>
      <c r="M549" s="170"/>
      <c r="N549" s="171"/>
      <c r="O549" s="83"/>
      <c r="P549" s="83"/>
    </row>
    <row r="550">
      <c r="A550" s="164"/>
      <c r="B550" s="45"/>
      <c r="C550" s="83"/>
      <c r="D550" s="83"/>
      <c r="E550" s="83"/>
      <c r="F550" s="165"/>
      <c r="G550" s="165"/>
      <c r="H550" s="52"/>
      <c r="I550" s="170"/>
      <c r="J550" s="171"/>
      <c r="K550" s="170"/>
      <c r="L550" s="171"/>
      <c r="M550" s="170"/>
      <c r="N550" s="171"/>
      <c r="O550" s="83"/>
      <c r="P550" s="83"/>
    </row>
    <row r="551">
      <c r="A551" s="164"/>
      <c r="B551" s="45"/>
      <c r="C551" s="83"/>
      <c r="D551" s="83"/>
      <c r="E551" s="83"/>
      <c r="F551" s="165"/>
      <c r="G551" s="165"/>
      <c r="H551" s="52"/>
      <c r="I551" s="170"/>
      <c r="J551" s="171"/>
      <c r="K551" s="170"/>
      <c r="L551" s="171"/>
      <c r="M551" s="170"/>
      <c r="N551" s="171"/>
      <c r="O551" s="83"/>
      <c r="P551" s="83"/>
    </row>
    <row r="552">
      <c r="A552" s="164"/>
      <c r="B552" s="45"/>
      <c r="C552" s="83"/>
      <c r="D552" s="83"/>
      <c r="E552" s="83"/>
      <c r="F552" s="165"/>
      <c r="G552" s="165"/>
      <c r="H552" s="52"/>
      <c r="I552" s="170"/>
      <c r="J552" s="171"/>
      <c r="K552" s="170"/>
      <c r="L552" s="171"/>
      <c r="M552" s="170"/>
      <c r="N552" s="171"/>
      <c r="O552" s="83"/>
      <c r="P552" s="83"/>
    </row>
    <row r="553">
      <c r="A553" s="164"/>
      <c r="B553" s="45"/>
      <c r="C553" s="83"/>
      <c r="D553" s="83"/>
      <c r="E553" s="83"/>
      <c r="F553" s="165"/>
      <c r="G553" s="165"/>
      <c r="H553" s="52"/>
      <c r="I553" s="170"/>
      <c r="J553" s="171"/>
      <c r="K553" s="170"/>
      <c r="L553" s="171"/>
      <c r="M553" s="170"/>
      <c r="N553" s="171"/>
      <c r="O553" s="83"/>
      <c r="P553" s="83"/>
    </row>
    <row r="554">
      <c r="A554" s="164"/>
      <c r="B554" s="45"/>
      <c r="C554" s="83"/>
      <c r="D554" s="83"/>
      <c r="E554" s="83"/>
      <c r="F554" s="165"/>
      <c r="G554" s="165"/>
      <c r="H554" s="52"/>
      <c r="I554" s="170"/>
      <c r="J554" s="171"/>
      <c r="K554" s="170"/>
      <c r="L554" s="171"/>
      <c r="M554" s="170"/>
      <c r="N554" s="171"/>
      <c r="O554" s="83"/>
      <c r="P554" s="83"/>
    </row>
    <row r="555">
      <c r="A555" s="164"/>
      <c r="B555" s="45"/>
      <c r="C555" s="83"/>
      <c r="D555" s="83"/>
      <c r="E555" s="83"/>
      <c r="F555" s="165"/>
      <c r="G555" s="165"/>
      <c r="H555" s="52"/>
      <c r="I555" s="170"/>
      <c r="J555" s="171"/>
      <c r="K555" s="170"/>
      <c r="L555" s="171"/>
      <c r="M555" s="170"/>
      <c r="N555" s="171"/>
      <c r="O555" s="83"/>
      <c r="P555" s="83"/>
    </row>
    <row r="556">
      <c r="A556" s="164"/>
      <c r="B556" s="45"/>
      <c r="C556" s="83"/>
      <c r="D556" s="83"/>
      <c r="E556" s="83"/>
      <c r="F556" s="165"/>
      <c r="G556" s="165"/>
      <c r="H556" s="52"/>
      <c r="I556" s="170"/>
      <c r="J556" s="171"/>
      <c r="K556" s="170"/>
      <c r="L556" s="171"/>
      <c r="M556" s="170"/>
      <c r="N556" s="171"/>
      <c r="O556" s="83"/>
      <c r="P556" s="83"/>
    </row>
    <row r="557">
      <c r="A557" s="164"/>
      <c r="B557" s="45"/>
      <c r="C557" s="83"/>
      <c r="D557" s="83"/>
      <c r="E557" s="83"/>
      <c r="F557" s="165"/>
      <c r="G557" s="165"/>
      <c r="H557" s="52"/>
      <c r="I557" s="170"/>
      <c r="J557" s="171"/>
      <c r="K557" s="170"/>
      <c r="L557" s="171"/>
      <c r="M557" s="170"/>
      <c r="N557" s="171"/>
      <c r="O557" s="83"/>
      <c r="P557" s="83"/>
    </row>
    <row r="558">
      <c r="A558" s="164"/>
      <c r="B558" s="45"/>
      <c r="C558" s="83"/>
      <c r="D558" s="83"/>
      <c r="E558" s="83"/>
      <c r="F558" s="165"/>
      <c r="G558" s="165"/>
      <c r="H558" s="52"/>
      <c r="I558" s="170"/>
      <c r="J558" s="171"/>
      <c r="K558" s="170"/>
      <c r="L558" s="171"/>
      <c r="M558" s="170"/>
      <c r="N558" s="171"/>
      <c r="O558" s="83"/>
      <c r="P558" s="83"/>
    </row>
    <row r="559">
      <c r="A559" s="164"/>
      <c r="B559" s="45"/>
      <c r="C559" s="83"/>
      <c r="D559" s="83"/>
      <c r="E559" s="83"/>
      <c r="F559" s="165"/>
      <c r="G559" s="165"/>
      <c r="H559" s="52"/>
      <c r="I559" s="170"/>
      <c r="J559" s="171"/>
      <c r="K559" s="170"/>
      <c r="L559" s="171"/>
      <c r="M559" s="170"/>
      <c r="N559" s="171"/>
      <c r="O559" s="83"/>
      <c r="P559" s="83"/>
    </row>
    <row r="560">
      <c r="A560" s="164"/>
      <c r="B560" s="45"/>
      <c r="C560" s="83"/>
      <c r="D560" s="83"/>
      <c r="E560" s="83"/>
      <c r="F560" s="165"/>
      <c r="G560" s="165"/>
      <c r="H560" s="52"/>
      <c r="I560" s="170"/>
      <c r="J560" s="171"/>
      <c r="K560" s="170"/>
      <c r="L560" s="171"/>
      <c r="M560" s="170"/>
      <c r="N560" s="171"/>
      <c r="O560" s="83"/>
      <c r="P560" s="83"/>
    </row>
    <row r="561">
      <c r="A561" s="164"/>
      <c r="B561" s="45"/>
      <c r="C561" s="83"/>
      <c r="D561" s="83"/>
      <c r="E561" s="83"/>
      <c r="F561" s="165"/>
      <c r="G561" s="165"/>
      <c r="H561" s="52"/>
      <c r="I561" s="170"/>
      <c r="J561" s="171"/>
      <c r="K561" s="170"/>
      <c r="L561" s="171"/>
      <c r="M561" s="170"/>
      <c r="N561" s="171"/>
      <c r="O561" s="83"/>
      <c r="P561" s="83"/>
    </row>
    <row r="562">
      <c r="A562" s="164"/>
      <c r="B562" s="45"/>
      <c r="C562" s="83"/>
      <c r="D562" s="83"/>
      <c r="E562" s="83"/>
      <c r="F562" s="165"/>
      <c r="G562" s="165"/>
      <c r="H562" s="52"/>
      <c r="I562" s="170"/>
      <c r="J562" s="171"/>
      <c r="K562" s="170"/>
      <c r="L562" s="171"/>
      <c r="M562" s="170"/>
      <c r="N562" s="171"/>
      <c r="O562" s="83"/>
      <c r="P562" s="83"/>
    </row>
    <row r="563">
      <c r="A563" s="164"/>
      <c r="B563" s="45"/>
      <c r="C563" s="83"/>
      <c r="D563" s="83"/>
      <c r="E563" s="83"/>
      <c r="F563" s="165"/>
      <c r="G563" s="165"/>
      <c r="H563" s="52"/>
      <c r="I563" s="170"/>
      <c r="J563" s="171"/>
      <c r="K563" s="170"/>
      <c r="L563" s="171"/>
      <c r="M563" s="170"/>
      <c r="N563" s="171"/>
      <c r="O563" s="83"/>
      <c r="P563" s="83"/>
    </row>
    <row r="564">
      <c r="A564" s="164"/>
      <c r="B564" s="45"/>
      <c r="C564" s="83"/>
      <c r="D564" s="83"/>
      <c r="E564" s="83"/>
      <c r="F564" s="165"/>
      <c r="G564" s="165"/>
      <c r="H564" s="52"/>
      <c r="I564" s="170"/>
      <c r="J564" s="171"/>
      <c r="K564" s="170"/>
      <c r="L564" s="171"/>
      <c r="M564" s="170"/>
      <c r="N564" s="171"/>
      <c r="O564" s="83"/>
      <c r="P564" s="83"/>
    </row>
    <row r="565">
      <c r="A565" s="164"/>
      <c r="B565" s="45"/>
      <c r="C565" s="83"/>
      <c r="D565" s="83"/>
      <c r="E565" s="83"/>
      <c r="F565" s="165"/>
      <c r="G565" s="165"/>
      <c r="H565" s="52"/>
      <c r="I565" s="170"/>
      <c r="J565" s="171"/>
      <c r="K565" s="170"/>
      <c r="L565" s="171"/>
      <c r="M565" s="170"/>
      <c r="N565" s="171"/>
      <c r="O565" s="83"/>
      <c r="P565" s="83"/>
    </row>
    <row r="566">
      <c r="A566" s="164"/>
      <c r="B566" s="45"/>
      <c r="C566" s="83"/>
      <c r="D566" s="83"/>
      <c r="E566" s="83"/>
      <c r="F566" s="165"/>
      <c r="G566" s="165"/>
      <c r="H566" s="52"/>
      <c r="I566" s="170"/>
      <c r="J566" s="171"/>
      <c r="K566" s="170"/>
      <c r="L566" s="171"/>
      <c r="M566" s="170"/>
      <c r="N566" s="171"/>
      <c r="O566" s="83"/>
      <c r="P566" s="83"/>
    </row>
    <row r="567">
      <c r="A567" s="164"/>
      <c r="B567" s="45"/>
      <c r="C567" s="83"/>
      <c r="D567" s="83"/>
      <c r="E567" s="83"/>
      <c r="F567" s="165"/>
      <c r="G567" s="165"/>
      <c r="H567" s="52"/>
      <c r="I567" s="170"/>
      <c r="J567" s="171"/>
      <c r="K567" s="170"/>
      <c r="L567" s="171"/>
      <c r="M567" s="170"/>
      <c r="N567" s="171"/>
      <c r="O567" s="83"/>
      <c r="P567" s="83"/>
    </row>
    <row r="568">
      <c r="A568" s="164"/>
      <c r="B568" s="45"/>
      <c r="C568" s="83"/>
      <c r="D568" s="83"/>
      <c r="E568" s="83"/>
      <c r="F568" s="165"/>
      <c r="G568" s="165"/>
      <c r="H568" s="52"/>
      <c r="I568" s="170"/>
      <c r="J568" s="171"/>
      <c r="K568" s="170"/>
      <c r="L568" s="171"/>
      <c r="M568" s="170"/>
      <c r="N568" s="171"/>
      <c r="O568" s="83"/>
      <c r="P568" s="83"/>
    </row>
    <row r="569">
      <c r="A569" s="164"/>
      <c r="B569" s="45"/>
      <c r="C569" s="83"/>
      <c r="D569" s="83"/>
      <c r="E569" s="83"/>
      <c r="F569" s="165"/>
      <c r="G569" s="165"/>
      <c r="H569" s="52"/>
      <c r="I569" s="170"/>
      <c r="J569" s="171"/>
      <c r="K569" s="170"/>
      <c r="L569" s="171"/>
      <c r="M569" s="170"/>
      <c r="N569" s="171"/>
      <c r="O569" s="83"/>
      <c r="P569" s="83"/>
    </row>
    <row r="570">
      <c r="A570" s="164"/>
      <c r="B570" s="45"/>
      <c r="C570" s="83"/>
      <c r="D570" s="83"/>
      <c r="E570" s="83"/>
      <c r="F570" s="165"/>
      <c r="G570" s="165"/>
      <c r="H570" s="52"/>
      <c r="I570" s="170"/>
      <c r="J570" s="171"/>
      <c r="K570" s="170"/>
      <c r="L570" s="171"/>
      <c r="M570" s="170"/>
      <c r="N570" s="171"/>
      <c r="O570" s="83"/>
      <c r="P570" s="83"/>
    </row>
    <row r="571">
      <c r="A571" s="164"/>
      <c r="B571" s="45"/>
      <c r="C571" s="83"/>
      <c r="D571" s="83"/>
      <c r="E571" s="83"/>
      <c r="F571" s="165"/>
      <c r="G571" s="165"/>
      <c r="H571" s="52"/>
      <c r="I571" s="170"/>
      <c r="J571" s="171"/>
      <c r="K571" s="170"/>
      <c r="L571" s="171"/>
      <c r="M571" s="170"/>
      <c r="N571" s="171"/>
      <c r="O571" s="83"/>
      <c r="P571" s="83"/>
    </row>
    <row r="572">
      <c r="A572" s="164"/>
      <c r="B572" s="45"/>
      <c r="C572" s="83"/>
      <c r="D572" s="83"/>
      <c r="E572" s="83"/>
      <c r="F572" s="165"/>
      <c r="G572" s="165"/>
      <c r="H572" s="52"/>
      <c r="I572" s="170"/>
      <c r="J572" s="171"/>
      <c r="K572" s="170"/>
      <c r="L572" s="171"/>
      <c r="M572" s="170"/>
      <c r="N572" s="171"/>
      <c r="O572" s="83"/>
      <c r="P572" s="83"/>
    </row>
    <row r="573">
      <c r="A573" s="164"/>
      <c r="B573" s="45"/>
      <c r="C573" s="83"/>
      <c r="D573" s="83"/>
      <c r="E573" s="83"/>
      <c r="F573" s="165"/>
      <c r="G573" s="165"/>
      <c r="H573" s="52"/>
      <c r="I573" s="170"/>
      <c r="J573" s="171"/>
      <c r="K573" s="170"/>
      <c r="L573" s="171"/>
      <c r="M573" s="170"/>
      <c r="N573" s="171"/>
      <c r="O573" s="83"/>
      <c r="P573" s="83"/>
    </row>
    <row r="574">
      <c r="A574" s="164"/>
      <c r="B574" s="45"/>
      <c r="C574" s="83"/>
      <c r="D574" s="83"/>
      <c r="E574" s="83"/>
      <c r="F574" s="165"/>
      <c r="G574" s="165"/>
      <c r="H574" s="52"/>
      <c r="I574" s="170"/>
      <c r="J574" s="171"/>
      <c r="K574" s="170"/>
      <c r="L574" s="171"/>
      <c r="M574" s="170"/>
      <c r="N574" s="171"/>
      <c r="O574" s="83"/>
      <c r="P574" s="83"/>
    </row>
    <row r="575">
      <c r="A575" s="164"/>
      <c r="B575" s="45"/>
      <c r="C575" s="83"/>
      <c r="D575" s="83"/>
      <c r="E575" s="83"/>
      <c r="F575" s="165"/>
      <c r="G575" s="165"/>
      <c r="H575" s="52"/>
      <c r="I575" s="170"/>
      <c r="J575" s="171"/>
      <c r="K575" s="170"/>
      <c r="L575" s="171"/>
      <c r="M575" s="170"/>
      <c r="N575" s="171"/>
      <c r="O575" s="83"/>
      <c r="P575" s="83"/>
    </row>
    <row r="576">
      <c r="A576" s="164"/>
      <c r="B576" s="45"/>
      <c r="C576" s="83"/>
      <c r="D576" s="83"/>
      <c r="E576" s="83"/>
      <c r="F576" s="165"/>
      <c r="G576" s="165"/>
      <c r="H576" s="52"/>
      <c r="I576" s="170"/>
      <c r="J576" s="171"/>
      <c r="K576" s="170"/>
      <c r="L576" s="171"/>
      <c r="M576" s="170"/>
      <c r="N576" s="171"/>
      <c r="O576" s="83"/>
      <c r="P576" s="83"/>
    </row>
    <row r="577">
      <c r="A577" s="164"/>
      <c r="B577" s="45"/>
      <c r="C577" s="83"/>
      <c r="D577" s="83"/>
      <c r="E577" s="83"/>
      <c r="F577" s="165"/>
      <c r="G577" s="165"/>
      <c r="H577" s="52"/>
      <c r="I577" s="170"/>
      <c r="J577" s="171"/>
      <c r="K577" s="170"/>
      <c r="L577" s="171"/>
      <c r="M577" s="170"/>
      <c r="N577" s="171"/>
      <c r="O577" s="83"/>
      <c r="P577" s="83"/>
    </row>
    <row r="578">
      <c r="A578" s="164"/>
      <c r="B578" s="45"/>
      <c r="C578" s="83"/>
      <c r="D578" s="83"/>
      <c r="E578" s="83"/>
      <c r="F578" s="165"/>
      <c r="G578" s="165"/>
      <c r="H578" s="52"/>
      <c r="I578" s="170"/>
      <c r="J578" s="171"/>
      <c r="K578" s="170"/>
      <c r="L578" s="171"/>
      <c r="M578" s="170"/>
      <c r="N578" s="171"/>
      <c r="O578" s="83"/>
      <c r="P578" s="83"/>
    </row>
    <row r="579">
      <c r="A579" s="164"/>
      <c r="B579" s="45"/>
      <c r="C579" s="83"/>
      <c r="D579" s="83"/>
      <c r="E579" s="83"/>
      <c r="F579" s="165"/>
      <c r="G579" s="165"/>
      <c r="H579" s="52"/>
      <c r="I579" s="170"/>
      <c r="J579" s="171"/>
      <c r="K579" s="170"/>
      <c r="L579" s="171"/>
      <c r="M579" s="170"/>
      <c r="N579" s="171"/>
      <c r="O579" s="83"/>
      <c r="P579" s="83"/>
    </row>
    <row r="580">
      <c r="A580" s="164"/>
      <c r="B580" s="45"/>
      <c r="C580" s="83"/>
      <c r="D580" s="83"/>
      <c r="E580" s="83"/>
      <c r="F580" s="165"/>
      <c r="G580" s="165"/>
      <c r="H580" s="52"/>
      <c r="I580" s="170"/>
      <c r="J580" s="171"/>
      <c r="K580" s="170"/>
      <c r="L580" s="171"/>
      <c r="M580" s="170"/>
      <c r="N580" s="171"/>
      <c r="O580" s="83"/>
      <c r="P580" s="83"/>
    </row>
    <row r="581">
      <c r="A581" s="164"/>
      <c r="B581" s="45"/>
      <c r="C581" s="83"/>
      <c r="D581" s="83"/>
      <c r="E581" s="83"/>
      <c r="F581" s="165"/>
      <c r="G581" s="165"/>
      <c r="H581" s="52"/>
      <c r="I581" s="170"/>
      <c r="J581" s="171"/>
      <c r="K581" s="170"/>
      <c r="L581" s="171"/>
      <c r="M581" s="170"/>
      <c r="N581" s="171"/>
      <c r="O581" s="83"/>
      <c r="P581" s="83"/>
    </row>
    <row r="582">
      <c r="A582" s="164"/>
      <c r="B582" s="45"/>
      <c r="C582" s="83"/>
      <c r="D582" s="83"/>
      <c r="E582" s="83"/>
      <c r="F582" s="165"/>
      <c r="G582" s="165"/>
      <c r="H582" s="52"/>
      <c r="I582" s="170"/>
      <c r="J582" s="171"/>
      <c r="K582" s="170"/>
      <c r="L582" s="171"/>
      <c r="M582" s="170"/>
      <c r="N582" s="171"/>
      <c r="O582" s="83"/>
      <c r="P582" s="83"/>
    </row>
    <row r="583">
      <c r="A583" s="164"/>
      <c r="B583" s="45"/>
      <c r="C583" s="83"/>
      <c r="D583" s="83"/>
      <c r="E583" s="83"/>
      <c r="F583" s="165"/>
      <c r="G583" s="165"/>
      <c r="H583" s="52"/>
      <c r="I583" s="170"/>
      <c r="J583" s="171"/>
      <c r="K583" s="170"/>
      <c r="L583" s="171"/>
      <c r="M583" s="170"/>
      <c r="N583" s="171"/>
      <c r="O583" s="83"/>
      <c r="P583" s="83"/>
    </row>
    <row r="584">
      <c r="A584" s="164"/>
      <c r="B584" s="45"/>
      <c r="C584" s="83"/>
      <c r="D584" s="83"/>
      <c r="E584" s="83"/>
      <c r="F584" s="165"/>
      <c r="G584" s="165"/>
      <c r="H584" s="52"/>
      <c r="I584" s="170"/>
      <c r="J584" s="171"/>
      <c r="K584" s="170"/>
      <c r="L584" s="171"/>
      <c r="M584" s="170"/>
      <c r="N584" s="171"/>
      <c r="O584" s="83"/>
      <c r="P584" s="83"/>
    </row>
    <row r="585">
      <c r="A585" s="164"/>
      <c r="B585" s="45"/>
      <c r="C585" s="83"/>
      <c r="D585" s="83"/>
      <c r="E585" s="83"/>
      <c r="F585" s="165"/>
      <c r="G585" s="165"/>
      <c r="H585" s="52"/>
      <c r="I585" s="170"/>
      <c r="J585" s="171"/>
      <c r="K585" s="170"/>
      <c r="L585" s="171"/>
      <c r="M585" s="170"/>
      <c r="N585" s="171"/>
      <c r="O585" s="83"/>
      <c r="P585" s="83"/>
    </row>
    <row r="586">
      <c r="A586" s="164"/>
      <c r="B586" s="45"/>
      <c r="C586" s="83"/>
      <c r="D586" s="83"/>
      <c r="E586" s="83"/>
      <c r="F586" s="165"/>
      <c r="G586" s="165"/>
      <c r="H586" s="52"/>
      <c r="I586" s="170"/>
      <c r="J586" s="171"/>
      <c r="K586" s="170"/>
      <c r="L586" s="171"/>
      <c r="M586" s="170"/>
      <c r="N586" s="171"/>
      <c r="O586" s="83"/>
      <c r="P586" s="83"/>
    </row>
    <row r="587">
      <c r="A587" s="164"/>
      <c r="B587" s="45"/>
      <c r="C587" s="83"/>
      <c r="D587" s="83"/>
      <c r="E587" s="83"/>
      <c r="F587" s="165"/>
      <c r="G587" s="165"/>
      <c r="H587" s="52"/>
      <c r="I587" s="170"/>
      <c r="J587" s="171"/>
      <c r="K587" s="170"/>
      <c r="L587" s="171"/>
      <c r="M587" s="170"/>
      <c r="N587" s="171"/>
      <c r="O587" s="83"/>
      <c r="P587" s="83"/>
    </row>
    <row r="588">
      <c r="A588" s="164"/>
      <c r="B588" s="45"/>
      <c r="C588" s="83"/>
      <c r="D588" s="83"/>
      <c r="E588" s="83"/>
      <c r="F588" s="165"/>
      <c r="G588" s="165"/>
      <c r="H588" s="52"/>
      <c r="I588" s="170"/>
      <c r="J588" s="171"/>
      <c r="K588" s="170"/>
      <c r="L588" s="171"/>
      <c r="M588" s="170"/>
      <c r="N588" s="171"/>
      <c r="O588" s="83"/>
      <c r="P588" s="83"/>
    </row>
    <row r="589">
      <c r="A589" s="164"/>
      <c r="B589" s="45"/>
      <c r="C589" s="83"/>
      <c r="D589" s="83"/>
      <c r="E589" s="83"/>
      <c r="F589" s="165"/>
      <c r="G589" s="165"/>
      <c r="H589" s="52"/>
      <c r="I589" s="170"/>
      <c r="J589" s="171"/>
      <c r="K589" s="170"/>
      <c r="L589" s="171"/>
      <c r="M589" s="170"/>
      <c r="N589" s="171"/>
      <c r="O589" s="83"/>
      <c r="P589" s="83"/>
    </row>
    <row r="590">
      <c r="A590" s="164"/>
      <c r="B590" s="45"/>
      <c r="C590" s="83"/>
      <c r="D590" s="83"/>
      <c r="E590" s="83"/>
      <c r="F590" s="165"/>
      <c r="G590" s="165"/>
      <c r="H590" s="52"/>
      <c r="I590" s="170"/>
      <c r="J590" s="171"/>
      <c r="K590" s="170"/>
      <c r="L590" s="171"/>
      <c r="M590" s="170"/>
      <c r="N590" s="171"/>
      <c r="O590" s="83"/>
      <c r="P590" s="83"/>
    </row>
    <row r="591">
      <c r="A591" s="164"/>
      <c r="B591" s="45"/>
      <c r="C591" s="83"/>
      <c r="D591" s="83"/>
      <c r="E591" s="83"/>
      <c r="F591" s="165"/>
      <c r="G591" s="165"/>
      <c r="H591" s="52"/>
      <c r="I591" s="170"/>
      <c r="J591" s="171"/>
      <c r="K591" s="170"/>
      <c r="L591" s="171"/>
      <c r="M591" s="170"/>
      <c r="N591" s="171"/>
      <c r="O591" s="83"/>
      <c r="P591" s="83"/>
    </row>
    <row r="592">
      <c r="A592" s="164"/>
      <c r="B592" s="45"/>
      <c r="C592" s="83"/>
      <c r="D592" s="83"/>
      <c r="E592" s="83"/>
      <c r="F592" s="165"/>
      <c r="G592" s="165"/>
      <c r="H592" s="52"/>
      <c r="I592" s="170"/>
      <c r="J592" s="171"/>
      <c r="K592" s="170"/>
      <c r="L592" s="171"/>
      <c r="M592" s="170"/>
      <c r="N592" s="171"/>
      <c r="O592" s="83"/>
      <c r="P592" s="83"/>
    </row>
    <row r="593">
      <c r="A593" s="164"/>
      <c r="B593" s="45"/>
      <c r="C593" s="83"/>
      <c r="D593" s="83"/>
      <c r="E593" s="83"/>
      <c r="F593" s="165"/>
      <c r="G593" s="165"/>
      <c r="H593" s="52"/>
      <c r="I593" s="170"/>
      <c r="J593" s="171"/>
      <c r="K593" s="170"/>
      <c r="L593" s="171"/>
      <c r="M593" s="170"/>
      <c r="N593" s="171"/>
      <c r="O593" s="83"/>
      <c r="P593" s="83"/>
    </row>
    <row r="594">
      <c r="A594" s="164"/>
      <c r="B594" s="45"/>
      <c r="C594" s="83"/>
      <c r="D594" s="83"/>
      <c r="E594" s="83"/>
      <c r="F594" s="165"/>
      <c r="G594" s="165"/>
      <c r="H594" s="52"/>
      <c r="I594" s="170"/>
      <c r="J594" s="171"/>
      <c r="K594" s="170"/>
      <c r="L594" s="171"/>
      <c r="M594" s="170"/>
      <c r="N594" s="171"/>
      <c r="O594" s="83"/>
      <c r="P594" s="83"/>
    </row>
    <row r="595">
      <c r="A595" s="164"/>
      <c r="B595" s="45"/>
      <c r="C595" s="83"/>
      <c r="D595" s="83"/>
      <c r="E595" s="83"/>
      <c r="F595" s="165"/>
      <c r="G595" s="165"/>
      <c r="H595" s="52"/>
      <c r="I595" s="170"/>
      <c r="J595" s="171"/>
      <c r="K595" s="170"/>
      <c r="L595" s="171"/>
      <c r="M595" s="170"/>
      <c r="N595" s="171"/>
      <c r="O595" s="83"/>
      <c r="P595" s="83"/>
    </row>
    <row r="596">
      <c r="A596" s="164"/>
      <c r="B596" s="45"/>
      <c r="C596" s="83"/>
      <c r="D596" s="83"/>
      <c r="E596" s="83"/>
      <c r="F596" s="165"/>
      <c r="G596" s="165"/>
      <c r="H596" s="52"/>
      <c r="I596" s="170"/>
      <c r="J596" s="171"/>
      <c r="K596" s="170"/>
      <c r="L596" s="171"/>
      <c r="M596" s="170"/>
      <c r="N596" s="171"/>
      <c r="O596" s="83"/>
      <c r="P596" s="83"/>
    </row>
    <row r="597">
      <c r="A597" s="164"/>
      <c r="B597" s="45"/>
      <c r="C597" s="83"/>
      <c r="D597" s="83"/>
      <c r="E597" s="83"/>
      <c r="F597" s="165"/>
      <c r="G597" s="165"/>
      <c r="H597" s="52"/>
      <c r="I597" s="170"/>
      <c r="J597" s="171"/>
      <c r="K597" s="170"/>
      <c r="L597" s="171"/>
      <c r="M597" s="170"/>
      <c r="N597" s="171"/>
      <c r="O597" s="83"/>
      <c r="P597" s="83"/>
    </row>
    <row r="598">
      <c r="A598" s="164"/>
      <c r="B598" s="45"/>
      <c r="C598" s="83"/>
      <c r="D598" s="83"/>
      <c r="E598" s="83"/>
      <c r="F598" s="165"/>
      <c r="G598" s="165"/>
      <c r="H598" s="52"/>
      <c r="I598" s="170"/>
      <c r="J598" s="171"/>
      <c r="K598" s="170"/>
      <c r="L598" s="171"/>
      <c r="M598" s="170"/>
      <c r="N598" s="171"/>
      <c r="O598" s="83"/>
      <c r="P598" s="83"/>
    </row>
    <row r="599">
      <c r="A599" s="164"/>
      <c r="B599" s="45"/>
      <c r="C599" s="83"/>
      <c r="D599" s="83"/>
      <c r="E599" s="83"/>
      <c r="F599" s="165"/>
      <c r="G599" s="165"/>
      <c r="H599" s="52"/>
      <c r="I599" s="170"/>
      <c r="J599" s="171"/>
      <c r="K599" s="170"/>
      <c r="L599" s="171"/>
      <c r="M599" s="170"/>
      <c r="N599" s="171"/>
      <c r="O599" s="83"/>
      <c r="P599" s="83"/>
    </row>
    <row r="600">
      <c r="A600" s="164"/>
      <c r="B600" s="45"/>
      <c r="C600" s="83"/>
      <c r="D600" s="83"/>
      <c r="E600" s="83"/>
      <c r="F600" s="165"/>
      <c r="G600" s="165"/>
      <c r="H600" s="52"/>
      <c r="I600" s="170"/>
      <c r="J600" s="171"/>
      <c r="K600" s="170"/>
      <c r="L600" s="171"/>
      <c r="M600" s="170"/>
      <c r="N600" s="171"/>
      <c r="O600" s="83"/>
      <c r="P600" s="83"/>
    </row>
    <row r="601">
      <c r="A601" s="164"/>
      <c r="B601" s="45"/>
      <c r="C601" s="83"/>
      <c r="D601" s="83"/>
      <c r="E601" s="83"/>
      <c r="F601" s="165"/>
      <c r="G601" s="165"/>
      <c r="H601" s="52"/>
      <c r="I601" s="170"/>
      <c r="J601" s="171"/>
      <c r="K601" s="170"/>
      <c r="L601" s="171"/>
      <c r="M601" s="170"/>
      <c r="N601" s="171"/>
      <c r="O601" s="83"/>
      <c r="P601" s="83"/>
    </row>
    <row r="602">
      <c r="A602" s="164"/>
      <c r="B602" s="45"/>
      <c r="C602" s="83"/>
      <c r="D602" s="83"/>
      <c r="E602" s="83"/>
      <c r="F602" s="165"/>
      <c r="G602" s="165"/>
      <c r="H602" s="52"/>
      <c r="I602" s="170"/>
      <c r="J602" s="171"/>
      <c r="K602" s="170"/>
      <c r="L602" s="171"/>
      <c r="M602" s="170"/>
      <c r="N602" s="171"/>
      <c r="O602" s="83"/>
      <c r="P602" s="83"/>
    </row>
    <row r="603">
      <c r="A603" s="164"/>
      <c r="B603" s="45"/>
      <c r="C603" s="83"/>
      <c r="D603" s="83"/>
      <c r="E603" s="83"/>
      <c r="F603" s="165"/>
      <c r="G603" s="165"/>
      <c r="H603" s="52"/>
      <c r="I603" s="170"/>
      <c r="J603" s="171"/>
      <c r="K603" s="170"/>
      <c r="L603" s="171"/>
      <c r="M603" s="170"/>
      <c r="N603" s="171"/>
      <c r="O603" s="83"/>
      <c r="P603" s="83"/>
    </row>
    <row r="604">
      <c r="A604" s="164"/>
      <c r="B604" s="45"/>
      <c r="C604" s="83"/>
      <c r="D604" s="83"/>
      <c r="E604" s="83"/>
      <c r="F604" s="165"/>
      <c r="G604" s="165"/>
      <c r="H604" s="52"/>
      <c r="I604" s="170"/>
      <c r="J604" s="171"/>
      <c r="K604" s="170"/>
      <c r="L604" s="171"/>
      <c r="M604" s="170"/>
      <c r="N604" s="171"/>
      <c r="O604" s="83"/>
      <c r="P604" s="83"/>
    </row>
    <row r="605">
      <c r="A605" s="164"/>
      <c r="B605" s="45"/>
      <c r="C605" s="83"/>
      <c r="D605" s="83"/>
      <c r="E605" s="83"/>
      <c r="F605" s="165"/>
      <c r="G605" s="165"/>
      <c r="H605" s="52"/>
      <c r="I605" s="170"/>
      <c r="J605" s="171"/>
      <c r="K605" s="170"/>
      <c r="L605" s="171"/>
      <c r="M605" s="170"/>
      <c r="N605" s="171"/>
      <c r="O605" s="83"/>
      <c r="P605" s="83"/>
    </row>
    <row r="606">
      <c r="A606" s="164"/>
      <c r="B606" s="45"/>
      <c r="C606" s="83"/>
      <c r="D606" s="83"/>
      <c r="E606" s="83"/>
      <c r="F606" s="165"/>
      <c r="G606" s="165"/>
      <c r="H606" s="52"/>
      <c r="I606" s="170"/>
      <c r="J606" s="171"/>
      <c r="K606" s="170"/>
      <c r="L606" s="171"/>
      <c r="M606" s="170"/>
      <c r="N606" s="171"/>
      <c r="O606" s="83"/>
      <c r="P606" s="83"/>
    </row>
    <row r="607">
      <c r="A607" s="164"/>
      <c r="B607" s="45"/>
      <c r="C607" s="83"/>
      <c r="D607" s="83"/>
      <c r="E607" s="83"/>
      <c r="F607" s="165"/>
      <c r="G607" s="165"/>
      <c r="H607" s="52"/>
      <c r="I607" s="170"/>
      <c r="J607" s="171"/>
      <c r="K607" s="170"/>
      <c r="L607" s="171"/>
      <c r="M607" s="170"/>
      <c r="N607" s="171"/>
      <c r="O607" s="83"/>
      <c r="P607" s="83"/>
    </row>
    <row r="608">
      <c r="A608" s="164"/>
      <c r="B608" s="45"/>
      <c r="C608" s="83"/>
      <c r="D608" s="83"/>
      <c r="E608" s="83"/>
      <c r="F608" s="165"/>
      <c r="G608" s="165"/>
      <c r="H608" s="52"/>
      <c r="I608" s="170"/>
      <c r="J608" s="171"/>
      <c r="K608" s="170"/>
      <c r="L608" s="171"/>
      <c r="M608" s="170"/>
      <c r="N608" s="171"/>
      <c r="O608" s="83"/>
      <c r="P608" s="83"/>
    </row>
    <row r="609">
      <c r="A609" s="164"/>
      <c r="B609" s="45"/>
      <c r="C609" s="83"/>
      <c r="D609" s="83"/>
      <c r="E609" s="83"/>
      <c r="F609" s="165"/>
      <c r="G609" s="165"/>
      <c r="H609" s="52"/>
      <c r="I609" s="170"/>
      <c r="J609" s="171"/>
      <c r="K609" s="170"/>
      <c r="L609" s="171"/>
      <c r="M609" s="170"/>
      <c r="N609" s="171"/>
      <c r="O609" s="83"/>
      <c r="P609" s="83"/>
    </row>
    <row r="610">
      <c r="A610" s="164"/>
      <c r="B610" s="45"/>
      <c r="C610" s="83"/>
      <c r="D610" s="83"/>
      <c r="E610" s="83"/>
      <c r="F610" s="165"/>
      <c r="G610" s="165"/>
      <c r="H610" s="52"/>
      <c r="I610" s="170"/>
      <c r="J610" s="171"/>
      <c r="K610" s="170"/>
      <c r="L610" s="171"/>
      <c r="M610" s="170"/>
      <c r="N610" s="171"/>
      <c r="O610" s="83"/>
      <c r="P610" s="83"/>
    </row>
    <row r="611">
      <c r="A611" s="164"/>
      <c r="B611" s="45"/>
      <c r="C611" s="83"/>
      <c r="D611" s="83"/>
      <c r="E611" s="83"/>
      <c r="F611" s="165"/>
      <c r="G611" s="165"/>
      <c r="H611" s="52"/>
      <c r="I611" s="170"/>
      <c r="J611" s="171"/>
      <c r="K611" s="170"/>
      <c r="L611" s="171"/>
      <c r="M611" s="170"/>
      <c r="N611" s="171"/>
      <c r="O611" s="83"/>
      <c r="P611" s="83"/>
    </row>
    <row r="612">
      <c r="A612" s="164"/>
      <c r="B612" s="45"/>
      <c r="C612" s="83"/>
      <c r="D612" s="83"/>
      <c r="E612" s="83"/>
      <c r="F612" s="165"/>
      <c r="G612" s="165"/>
      <c r="H612" s="52"/>
      <c r="I612" s="170"/>
      <c r="J612" s="171"/>
      <c r="K612" s="170"/>
      <c r="L612" s="171"/>
      <c r="M612" s="170"/>
      <c r="N612" s="171"/>
      <c r="O612" s="83"/>
      <c r="P612" s="83"/>
    </row>
    <row r="613">
      <c r="A613" s="164"/>
      <c r="B613" s="45"/>
      <c r="C613" s="83"/>
      <c r="D613" s="83"/>
      <c r="E613" s="83"/>
      <c r="F613" s="165"/>
      <c r="G613" s="165"/>
      <c r="H613" s="52"/>
      <c r="I613" s="170"/>
      <c r="J613" s="171"/>
      <c r="K613" s="170"/>
      <c r="L613" s="171"/>
      <c r="M613" s="170"/>
      <c r="N613" s="171"/>
      <c r="O613" s="83"/>
      <c r="P613" s="83"/>
    </row>
    <row r="614">
      <c r="A614" s="164"/>
      <c r="B614" s="45"/>
      <c r="C614" s="83"/>
      <c r="D614" s="83"/>
      <c r="E614" s="83"/>
      <c r="F614" s="165"/>
      <c r="G614" s="165"/>
      <c r="H614" s="52"/>
      <c r="I614" s="170"/>
      <c r="J614" s="171"/>
      <c r="K614" s="170"/>
      <c r="L614" s="171"/>
      <c r="M614" s="170"/>
      <c r="N614" s="171"/>
      <c r="O614" s="83"/>
      <c r="P614" s="83"/>
    </row>
    <row r="615">
      <c r="A615" s="164"/>
      <c r="B615" s="45"/>
      <c r="C615" s="83"/>
      <c r="D615" s="83"/>
      <c r="E615" s="83"/>
      <c r="F615" s="165"/>
      <c r="G615" s="165"/>
      <c r="H615" s="52"/>
      <c r="I615" s="170"/>
      <c r="J615" s="171"/>
      <c r="K615" s="170"/>
      <c r="L615" s="171"/>
      <c r="M615" s="170"/>
      <c r="N615" s="171"/>
      <c r="O615" s="83"/>
      <c r="P615" s="83"/>
    </row>
    <row r="616">
      <c r="A616" s="164"/>
      <c r="B616" s="45"/>
      <c r="C616" s="83"/>
      <c r="D616" s="83"/>
      <c r="E616" s="83"/>
      <c r="F616" s="165"/>
      <c r="G616" s="165"/>
      <c r="H616" s="52"/>
      <c r="I616" s="170"/>
      <c r="J616" s="171"/>
      <c r="K616" s="170"/>
      <c r="L616" s="171"/>
      <c r="M616" s="170"/>
      <c r="N616" s="171"/>
      <c r="O616" s="83"/>
      <c r="P616" s="83"/>
    </row>
    <row r="617">
      <c r="A617" s="164"/>
      <c r="B617" s="45"/>
      <c r="C617" s="83"/>
      <c r="D617" s="83"/>
      <c r="E617" s="83"/>
      <c r="F617" s="165"/>
      <c r="G617" s="165"/>
      <c r="H617" s="52"/>
      <c r="I617" s="170"/>
      <c r="J617" s="171"/>
      <c r="K617" s="170"/>
      <c r="L617" s="171"/>
      <c r="M617" s="170"/>
      <c r="N617" s="171"/>
      <c r="O617" s="83"/>
      <c r="P617" s="83"/>
    </row>
    <row r="618">
      <c r="A618" s="164"/>
      <c r="B618" s="45"/>
      <c r="C618" s="83"/>
      <c r="D618" s="83"/>
      <c r="E618" s="83"/>
      <c r="F618" s="165"/>
      <c r="G618" s="165"/>
      <c r="H618" s="52"/>
      <c r="I618" s="170"/>
      <c r="J618" s="171"/>
      <c r="K618" s="170"/>
      <c r="L618" s="171"/>
      <c r="M618" s="170"/>
      <c r="N618" s="171"/>
      <c r="O618" s="83"/>
      <c r="P618" s="83"/>
    </row>
    <row r="619">
      <c r="A619" s="164"/>
      <c r="B619" s="45"/>
      <c r="C619" s="83"/>
      <c r="D619" s="83"/>
      <c r="E619" s="83"/>
      <c r="F619" s="165"/>
      <c r="G619" s="165"/>
      <c r="H619" s="52"/>
      <c r="I619" s="170"/>
      <c r="J619" s="171"/>
      <c r="K619" s="170"/>
      <c r="L619" s="171"/>
      <c r="M619" s="170"/>
      <c r="N619" s="171"/>
      <c r="O619" s="83"/>
      <c r="P619" s="83"/>
    </row>
    <row r="620">
      <c r="A620" s="164"/>
      <c r="B620" s="45"/>
      <c r="C620" s="83"/>
      <c r="D620" s="83"/>
      <c r="E620" s="83"/>
      <c r="F620" s="165"/>
      <c r="G620" s="165"/>
      <c r="H620" s="52"/>
      <c r="I620" s="170"/>
      <c r="J620" s="171"/>
      <c r="K620" s="170"/>
      <c r="L620" s="171"/>
      <c r="M620" s="170"/>
      <c r="N620" s="171"/>
      <c r="O620" s="83"/>
      <c r="P620" s="83"/>
    </row>
    <row r="621">
      <c r="A621" s="164"/>
      <c r="B621" s="45"/>
      <c r="C621" s="83"/>
      <c r="D621" s="83"/>
      <c r="E621" s="83"/>
      <c r="F621" s="165"/>
      <c r="G621" s="165"/>
      <c r="H621" s="52"/>
      <c r="I621" s="170"/>
      <c r="J621" s="171"/>
      <c r="K621" s="170"/>
      <c r="L621" s="171"/>
      <c r="M621" s="170"/>
      <c r="N621" s="171"/>
      <c r="O621" s="83"/>
      <c r="P621" s="83"/>
    </row>
    <row r="622">
      <c r="A622" s="164"/>
      <c r="B622" s="45"/>
      <c r="C622" s="83"/>
      <c r="D622" s="83"/>
      <c r="E622" s="83"/>
      <c r="F622" s="165"/>
      <c r="G622" s="165"/>
      <c r="H622" s="52"/>
      <c r="I622" s="170"/>
      <c r="J622" s="171"/>
      <c r="K622" s="170"/>
      <c r="L622" s="171"/>
      <c r="M622" s="170"/>
      <c r="N622" s="171"/>
      <c r="O622" s="83"/>
      <c r="P622" s="83"/>
    </row>
    <row r="623">
      <c r="A623" s="164"/>
      <c r="B623" s="45"/>
      <c r="C623" s="83"/>
      <c r="D623" s="83"/>
      <c r="E623" s="83"/>
      <c r="F623" s="165"/>
      <c r="G623" s="165"/>
      <c r="H623" s="52"/>
      <c r="I623" s="170"/>
      <c r="J623" s="171"/>
      <c r="K623" s="170"/>
      <c r="L623" s="171"/>
      <c r="M623" s="170"/>
      <c r="N623" s="171"/>
      <c r="O623" s="83"/>
      <c r="P623" s="83"/>
    </row>
    <row r="624">
      <c r="A624" s="164"/>
      <c r="B624" s="45"/>
      <c r="C624" s="83"/>
      <c r="D624" s="83"/>
      <c r="E624" s="83"/>
      <c r="F624" s="165"/>
      <c r="G624" s="165"/>
      <c r="H624" s="52"/>
      <c r="I624" s="170"/>
      <c r="J624" s="171"/>
      <c r="K624" s="170"/>
      <c r="L624" s="171"/>
      <c r="M624" s="170"/>
      <c r="N624" s="171"/>
      <c r="O624" s="83"/>
      <c r="P624" s="83"/>
    </row>
    <row r="625">
      <c r="A625" s="164"/>
      <c r="B625" s="45"/>
      <c r="C625" s="83"/>
      <c r="D625" s="83"/>
      <c r="E625" s="83"/>
      <c r="F625" s="165"/>
      <c r="G625" s="165"/>
      <c r="H625" s="52"/>
      <c r="I625" s="170"/>
      <c r="J625" s="171"/>
      <c r="K625" s="170"/>
      <c r="L625" s="171"/>
      <c r="M625" s="170"/>
      <c r="N625" s="171"/>
      <c r="O625" s="83"/>
      <c r="P625" s="83"/>
    </row>
    <row r="626">
      <c r="A626" s="164"/>
      <c r="B626" s="45"/>
      <c r="C626" s="83"/>
      <c r="D626" s="83"/>
      <c r="E626" s="83"/>
      <c r="F626" s="165"/>
      <c r="G626" s="165"/>
      <c r="H626" s="52"/>
      <c r="I626" s="170"/>
      <c r="J626" s="171"/>
      <c r="K626" s="170"/>
      <c r="L626" s="171"/>
      <c r="M626" s="170"/>
      <c r="N626" s="171"/>
      <c r="O626" s="83"/>
      <c r="P626" s="83"/>
    </row>
    <row r="627">
      <c r="A627" s="164"/>
      <c r="B627" s="45"/>
      <c r="C627" s="83"/>
      <c r="D627" s="83"/>
      <c r="E627" s="83"/>
      <c r="F627" s="165"/>
      <c r="G627" s="165"/>
      <c r="H627" s="52"/>
      <c r="I627" s="170"/>
      <c r="J627" s="171"/>
      <c r="K627" s="170"/>
      <c r="L627" s="171"/>
      <c r="M627" s="170"/>
      <c r="N627" s="171"/>
      <c r="O627" s="83"/>
      <c r="P627" s="83"/>
    </row>
    <row r="628">
      <c r="A628" s="164"/>
      <c r="B628" s="45"/>
      <c r="C628" s="83"/>
      <c r="D628" s="83"/>
      <c r="E628" s="83"/>
      <c r="F628" s="165"/>
      <c r="G628" s="165"/>
      <c r="H628" s="52"/>
      <c r="I628" s="170"/>
      <c r="J628" s="171"/>
      <c r="K628" s="170"/>
      <c r="L628" s="171"/>
      <c r="M628" s="170"/>
      <c r="N628" s="171"/>
      <c r="O628" s="83"/>
      <c r="P628" s="83"/>
    </row>
    <row r="629">
      <c r="A629" s="164"/>
      <c r="B629" s="45"/>
      <c r="C629" s="83"/>
      <c r="D629" s="83"/>
      <c r="E629" s="83"/>
      <c r="F629" s="165"/>
      <c r="G629" s="165"/>
      <c r="H629" s="52"/>
      <c r="I629" s="170"/>
      <c r="J629" s="171"/>
      <c r="K629" s="170"/>
      <c r="L629" s="171"/>
      <c r="M629" s="170"/>
      <c r="N629" s="171"/>
      <c r="O629" s="83"/>
      <c r="P629" s="83"/>
    </row>
    <row r="630">
      <c r="A630" s="164"/>
      <c r="B630" s="45"/>
      <c r="C630" s="83"/>
      <c r="D630" s="83"/>
      <c r="E630" s="83"/>
      <c r="F630" s="165"/>
      <c r="G630" s="165"/>
      <c r="H630" s="52"/>
      <c r="I630" s="170"/>
      <c r="J630" s="171"/>
      <c r="K630" s="170"/>
      <c r="L630" s="171"/>
      <c r="M630" s="170"/>
      <c r="N630" s="171"/>
      <c r="O630" s="83"/>
      <c r="P630" s="83"/>
    </row>
    <row r="631">
      <c r="A631" s="164"/>
      <c r="B631" s="45"/>
      <c r="C631" s="83"/>
      <c r="D631" s="83"/>
      <c r="E631" s="83"/>
      <c r="F631" s="165"/>
      <c r="G631" s="165"/>
      <c r="H631" s="52"/>
      <c r="I631" s="170"/>
      <c r="J631" s="171"/>
      <c r="K631" s="170"/>
      <c r="L631" s="171"/>
      <c r="M631" s="170"/>
      <c r="N631" s="171"/>
      <c r="O631" s="83"/>
      <c r="P631" s="83"/>
    </row>
    <row r="632">
      <c r="A632" s="164"/>
      <c r="B632" s="45"/>
      <c r="C632" s="83"/>
      <c r="D632" s="83"/>
      <c r="E632" s="83"/>
      <c r="F632" s="165"/>
      <c r="G632" s="165"/>
      <c r="H632" s="52"/>
      <c r="I632" s="170"/>
      <c r="J632" s="171"/>
      <c r="K632" s="170"/>
      <c r="L632" s="171"/>
      <c r="M632" s="170"/>
      <c r="N632" s="171"/>
      <c r="O632" s="83"/>
      <c r="P632" s="83"/>
    </row>
    <row r="633">
      <c r="A633" s="164"/>
      <c r="B633" s="45"/>
      <c r="C633" s="83"/>
      <c r="D633" s="83"/>
      <c r="E633" s="83"/>
      <c r="F633" s="165"/>
      <c r="G633" s="165"/>
      <c r="H633" s="52"/>
      <c r="I633" s="170"/>
      <c r="J633" s="171"/>
      <c r="K633" s="170"/>
      <c r="L633" s="171"/>
      <c r="M633" s="170"/>
      <c r="N633" s="171"/>
      <c r="O633" s="83"/>
      <c r="P633" s="83"/>
    </row>
    <row r="634">
      <c r="A634" s="164"/>
      <c r="B634" s="45"/>
      <c r="C634" s="83"/>
      <c r="D634" s="83"/>
      <c r="E634" s="83"/>
      <c r="F634" s="165"/>
      <c r="G634" s="165"/>
      <c r="H634" s="52"/>
      <c r="I634" s="170"/>
      <c r="J634" s="171"/>
      <c r="K634" s="170"/>
      <c r="L634" s="171"/>
      <c r="M634" s="170"/>
      <c r="N634" s="171"/>
      <c r="O634" s="83"/>
      <c r="P634" s="83"/>
    </row>
    <row r="635">
      <c r="A635" s="164"/>
      <c r="B635" s="45"/>
      <c r="C635" s="83"/>
      <c r="D635" s="83"/>
      <c r="E635" s="83"/>
      <c r="F635" s="165"/>
      <c r="G635" s="165"/>
      <c r="H635" s="52"/>
      <c r="I635" s="170"/>
      <c r="J635" s="171"/>
      <c r="K635" s="170"/>
      <c r="L635" s="171"/>
      <c r="M635" s="170"/>
      <c r="N635" s="171"/>
      <c r="O635" s="83"/>
      <c r="P635" s="83"/>
    </row>
    <row r="636">
      <c r="A636" s="164"/>
      <c r="B636" s="45"/>
      <c r="C636" s="83"/>
      <c r="D636" s="83"/>
      <c r="E636" s="83"/>
      <c r="F636" s="165"/>
      <c r="G636" s="165"/>
      <c r="H636" s="52"/>
      <c r="I636" s="170"/>
      <c r="J636" s="171"/>
      <c r="K636" s="170"/>
      <c r="L636" s="171"/>
      <c r="M636" s="170"/>
      <c r="N636" s="171"/>
      <c r="O636" s="83"/>
      <c r="P636" s="83"/>
    </row>
    <row r="637">
      <c r="A637" s="164"/>
      <c r="B637" s="45"/>
      <c r="C637" s="83"/>
      <c r="D637" s="83"/>
      <c r="E637" s="83"/>
      <c r="F637" s="165"/>
      <c r="G637" s="165"/>
      <c r="H637" s="52"/>
      <c r="I637" s="170"/>
      <c r="J637" s="171"/>
      <c r="K637" s="170"/>
      <c r="L637" s="171"/>
      <c r="M637" s="170"/>
      <c r="N637" s="171"/>
      <c r="O637" s="83"/>
      <c r="P637" s="83"/>
    </row>
    <row r="638">
      <c r="A638" s="164"/>
      <c r="B638" s="45"/>
      <c r="C638" s="83"/>
      <c r="D638" s="83"/>
      <c r="E638" s="83"/>
      <c r="F638" s="165"/>
      <c r="G638" s="165"/>
      <c r="H638" s="52"/>
      <c r="I638" s="170"/>
      <c r="J638" s="171"/>
      <c r="K638" s="170"/>
      <c r="L638" s="171"/>
      <c r="M638" s="170"/>
      <c r="N638" s="171"/>
      <c r="O638" s="83"/>
      <c r="P638" s="83"/>
    </row>
    <row r="639">
      <c r="A639" s="164"/>
      <c r="B639" s="45"/>
      <c r="C639" s="83"/>
      <c r="D639" s="83"/>
      <c r="E639" s="83"/>
      <c r="F639" s="165"/>
      <c r="G639" s="165"/>
      <c r="H639" s="52"/>
      <c r="I639" s="170"/>
      <c r="J639" s="171"/>
      <c r="K639" s="170"/>
      <c r="L639" s="171"/>
      <c r="M639" s="170"/>
      <c r="N639" s="171"/>
      <c r="O639" s="83"/>
      <c r="P639" s="83"/>
    </row>
    <row r="640">
      <c r="A640" s="164"/>
      <c r="B640" s="45"/>
      <c r="C640" s="83"/>
      <c r="D640" s="83"/>
      <c r="E640" s="83"/>
      <c r="F640" s="165"/>
      <c r="G640" s="165"/>
      <c r="H640" s="52"/>
      <c r="I640" s="170"/>
      <c r="J640" s="171"/>
      <c r="K640" s="170"/>
      <c r="L640" s="171"/>
      <c r="M640" s="170"/>
      <c r="N640" s="171"/>
      <c r="O640" s="83"/>
      <c r="P640" s="83"/>
    </row>
    <row r="641">
      <c r="A641" s="164"/>
      <c r="B641" s="45"/>
      <c r="C641" s="83"/>
      <c r="D641" s="83"/>
      <c r="E641" s="83"/>
      <c r="F641" s="165"/>
      <c r="G641" s="165"/>
      <c r="H641" s="52"/>
      <c r="I641" s="170"/>
      <c r="J641" s="171"/>
      <c r="K641" s="170"/>
      <c r="L641" s="171"/>
      <c r="M641" s="170"/>
      <c r="N641" s="171"/>
      <c r="O641" s="83"/>
      <c r="P641" s="83"/>
    </row>
    <row r="642">
      <c r="A642" s="164"/>
      <c r="B642" s="45"/>
      <c r="C642" s="83"/>
      <c r="D642" s="83"/>
      <c r="E642" s="83"/>
      <c r="F642" s="165"/>
      <c r="G642" s="165"/>
      <c r="H642" s="52"/>
      <c r="I642" s="170"/>
      <c r="J642" s="171"/>
      <c r="K642" s="170"/>
      <c r="L642" s="171"/>
      <c r="M642" s="170"/>
      <c r="N642" s="171"/>
      <c r="O642" s="83"/>
      <c r="P642" s="83"/>
    </row>
    <row r="643">
      <c r="A643" s="164"/>
      <c r="B643" s="45"/>
      <c r="C643" s="83"/>
      <c r="D643" s="83"/>
      <c r="E643" s="83"/>
      <c r="F643" s="165"/>
      <c r="G643" s="165"/>
      <c r="H643" s="52"/>
      <c r="I643" s="170"/>
      <c r="J643" s="171"/>
      <c r="K643" s="170"/>
      <c r="L643" s="171"/>
      <c r="M643" s="170"/>
      <c r="N643" s="171"/>
      <c r="O643" s="83"/>
      <c r="P643" s="83"/>
    </row>
    <row r="644">
      <c r="A644" s="164"/>
      <c r="B644" s="45"/>
      <c r="C644" s="83"/>
      <c r="D644" s="83"/>
      <c r="E644" s="83"/>
      <c r="F644" s="165"/>
      <c r="G644" s="165"/>
      <c r="H644" s="52"/>
      <c r="I644" s="170"/>
      <c r="J644" s="171"/>
      <c r="K644" s="170"/>
      <c r="L644" s="171"/>
      <c r="M644" s="170"/>
      <c r="N644" s="171"/>
      <c r="O644" s="83"/>
      <c r="P644" s="83"/>
    </row>
    <row r="645">
      <c r="A645" s="164"/>
      <c r="B645" s="45"/>
      <c r="C645" s="83"/>
      <c r="D645" s="83"/>
      <c r="E645" s="83"/>
      <c r="F645" s="165"/>
      <c r="G645" s="165"/>
      <c r="H645" s="52"/>
      <c r="I645" s="170"/>
      <c r="J645" s="171"/>
      <c r="K645" s="170"/>
      <c r="L645" s="171"/>
      <c r="M645" s="170"/>
      <c r="N645" s="171"/>
      <c r="O645" s="83"/>
      <c r="P645" s="83"/>
    </row>
    <row r="646">
      <c r="A646" s="164"/>
      <c r="B646" s="45"/>
      <c r="C646" s="83"/>
      <c r="D646" s="83"/>
      <c r="E646" s="83"/>
      <c r="F646" s="165"/>
      <c r="G646" s="165"/>
      <c r="H646" s="52"/>
      <c r="I646" s="170"/>
      <c r="J646" s="171"/>
      <c r="K646" s="170"/>
      <c r="L646" s="171"/>
      <c r="M646" s="170"/>
      <c r="N646" s="171"/>
      <c r="O646" s="83"/>
      <c r="P646" s="83"/>
    </row>
    <row r="647">
      <c r="A647" s="164"/>
      <c r="B647" s="45"/>
      <c r="C647" s="83"/>
      <c r="D647" s="83"/>
      <c r="E647" s="83"/>
      <c r="F647" s="165"/>
      <c r="G647" s="165"/>
      <c r="H647" s="52"/>
      <c r="I647" s="170"/>
      <c r="J647" s="171"/>
      <c r="K647" s="170"/>
      <c r="L647" s="171"/>
      <c r="M647" s="170"/>
      <c r="N647" s="171"/>
      <c r="O647" s="83"/>
      <c r="P647" s="83"/>
    </row>
    <row r="648">
      <c r="A648" s="164"/>
      <c r="B648" s="45"/>
      <c r="C648" s="83"/>
      <c r="D648" s="83"/>
      <c r="E648" s="83"/>
      <c r="F648" s="165"/>
      <c r="G648" s="165"/>
      <c r="H648" s="52"/>
      <c r="I648" s="170"/>
      <c r="J648" s="171"/>
      <c r="K648" s="170"/>
      <c r="L648" s="171"/>
      <c r="M648" s="170"/>
      <c r="N648" s="171"/>
      <c r="O648" s="83"/>
      <c r="P648" s="83"/>
    </row>
    <row r="649">
      <c r="A649" s="164"/>
      <c r="B649" s="45"/>
      <c r="C649" s="83"/>
      <c r="D649" s="83"/>
      <c r="E649" s="83"/>
      <c r="F649" s="165"/>
      <c r="G649" s="165"/>
      <c r="H649" s="52"/>
      <c r="I649" s="170"/>
      <c r="J649" s="171"/>
      <c r="K649" s="170"/>
      <c r="L649" s="171"/>
      <c r="M649" s="170"/>
      <c r="N649" s="171"/>
      <c r="O649" s="83"/>
      <c r="P649" s="83"/>
    </row>
    <row r="650">
      <c r="A650" s="164"/>
      <c r="B650" s="45"/>
      <c r="C650" s="83"/>
      <c r="D650" s="83"/>
      <c r="E650" s="83"/>
      <c r="F650" s="165"/>
      <c r="G650" s="165"/>
      <c r="H650" s="52"/>
      <c r="I650" s="170"/>
      <c r="J650" s="171"/>
      <c r="K650" s="170"/>
      <c r="L650" s="171"/>
      <c r="M650" s="170"/>
      <c r="N650" s="171"/>
      <c r="O650" s="83"/>
      <c r="P650" s="83"/>
    </row>
    <row r="651">
      <c r="A651" s="164"/>
      <c r="B651" s="45"/>
      <c r="C651" s="83"/>
      <c r="D651" s="83"/>
      <c r="E651" s="83"/>
      <c r="F651" s="165"/>
      <c r="G651" s="165"/>
      <c r="H651" s="52"/>
      <c r="I651" s="170"/>
      <c r="J651" s="171"/>
      <c r="K651" s="170"/>
      <c r="L651" s="171"/>
      <c r="M651" s="170"/>
      <c r="N651" s="171"/>
      <c r="O651" s="83"/>
      <c r="P651" s="83"/>
    </row>
    <row r="652">
      <c r="A652" s="164"/>
      <c r="B652" s="45"/>
      <c r="C652" s="83"/>
      <c r="D652" s="83"/>
      <c r="E652" s="83"/>
      <c r="F652" s="165"/>
      <c r="G652" s="165"/>
      <c r="H652" s="52"/>
      <c r="I652" s="170"/>
      <c r="J652" s="171"/>
      <c r="K652" s="170"/>
      <c r="L652" s="171"/>
      <c r="M652" s="170"/>
      <c r="N652" s="171"/>
      <c r="O652" s="83"/>
      <c r="P652" s="83"/>
    </row>
    <row r="653">
      <c r="A653" s="164"/>
      <c r="B653" s="45"/>
      <c r="C653" s="83"/>
      <c r="D653" s="83"/>
      <c r="E653" s="83"/>
      <c r="F653" s="165"/>
      <c r="G653" s="165"/>
      <c r="H653" s="52"/>
      <c r="I653" s="170"/>
      <c r="J653" s="171"/>
      <c r="K653" s="170"/>
      <c r="L653" s="171"/>
      <c r="M653" s="170"/>
      <c r="N653" s="171"/>
      <c r="O653" s="83"/>
      <c r="P653" s="83"/>
    </row>
    <row r="654">
      <c r="A654" s="164"/>
      <c r="B654" s="45"/>
      <c r="C654" s="83"/>
      <c r="D654" s="83"/>
      <c r="E654" s="83"/>
      <c r="F654" s="165"/>
      <c r="G654" s="165"/>
      <c r="H654" s="52"/>
      <c r="I654" s="170"/>
      <c r="J654" s="171"/>
      <c r="K654" s="170"/>
      <c r="L654" s="171"/>
      <c r="M654" s="170"/>
      <c r="N654" s="171"/>
      <c r="O654" s="83"/>
      <c r="P654" s="83"/>
    </row>
    <row r="655">
      <c r="A655" s="164"/>
      <c r="B655" s="45"/>
      <c r="C655" s="83"/>
      <c r="D655" s="83"/>
      <c r="E655" s="83"/>
      <c r="F655" s="165"/>
      <c r="G655" s="165"/>
      <c r="H655" s="52"/>
      <c r="I655" s="170"/>
      <c r="J655" s="171"/>
      <c r="K655" s="170"/>
      <c r="L655" s="171"/>
      <c r="M655" s="170"/>
      <c r="N655" s="171"/>
      <c r="O655" s="83"/>
      <c r="P655" s="83"/>
    </row>
    <row r="656">
      <c r="A656" s="164"/>
      <c r="B656" s="45"/>
      <c r="C656" s="83"/>
      <c r="D656" s="83"/>
      <c r="E656" s="83"/>
      <c r="F656" s="165"/>
      <c r="G656" s="165"/>
      <c r="H656" s="52"/>
      <c r="I656" s="170"/>
      <c r="J656" s="171"/>
      <c r="K656" s="170"/>
      <c r="L656" s="171"/>
      <c r="M656" s="170"/>
      <c r="N656" s="171"/>
      <c r="O656" s="83"/>
      <c r="P656" s="83"/>
    </row>
    <row r="657">
      <c r="A657" s="164"/>
      <c r="B657" s="45"/>
      <c r="C657" s="83"/>
      <c r="D657" s="83"/>
      <c r="E657" s="83"/>
      <c r="F657" s="165"/>
      <c r="G657" s="165"/>
      <c r="H657" s="52"/>
      <c r="I657" s="170"/>
      <c r="J657" s="171"/>
      <c r="K657" s="170"/>
      <c r="L657" s="171"/>
      <c r="M657" s="170"/>
      <c r="N657" s="171"/>
      <c r="O657" s="83"/>
      <c r="P657" s="83"/>
    </row>
    <row r="658">
      <c r="A658" s="164"/>
      <c r="B658" s="45"/>
      <c r="C658" s="83"/>
      <c r="D658" s="83"/>
      <c r="E658" s="83"/>
      <c r="F658" s="165"/>
      <c r="G658" s="165"/>
      <c r="H658" s="52"/>
      <c r="I658" s="170"/>
      <c r="J658" s="171"/>
      <c r="K658" s="170"/>
      <c r="L658" s="171"/>
      <c r="M658" s="170"/>
      <c r="N658" s="171"/>
      <c r="O658" s="83"/>
      <c r="P658" s="83"/>
    </row>
    <row r="659">
      <c r="A659" s="164"/>
      <c r="B659" s="45"/>
      <c r="C659" s="83"/>
      <c r="D659" s="83"/>
      <c r="E659" s="83"/>
      <c r="F659" s="165"/>
      <c r="G659" s="165"/>
      <c r="H659" s="52"/>
      <c r="I659" s="170"/>
      <c r="J659" s="171"/>
      <c r="K659" s="170"/>
      <c r="L659" s="171"/>
      <c r="M659" s="170"/>
      <c r="N659" s="171"/>
      <c r="O659" s="83"/>
      <c r="P659" s="83"/>
    </row>
    <row r="660">
      <c r="A660" s="164"/>
      <c r="B660" s="45"/>
      <c r="C660" s="83"/>
      <c r="D660" s="83"/>
      <c r="E660" s="83"/>
      <c r="F660" s="165"/>
      <c r="G660" s="165"/>
      <c r="H660" s="52"/>
      <c r="I660" s="170"/>
      <c r="J660" s="171"/>
      <c r="K660" s="170"/>
      <c r="L660" s="171"/>
      <c r="M660" s="170"/>
      <c r="N660" s="171"/>
      <c r="O660" s="83"/>
      <c r="P660" s="83"/>
    </row>
    <row r="661">
      <c r="A661" s="164"/>
      <c r="B661" s="45"/>
      <c r="C661" s="83"/>
      <c r="D661" s="83"/>
      <c r="E661" s="83"/>
      <c r="F661" s="165"/>
      <c r="G661" s="165"/>
      <c r="H661" s="52"/>
      <c r="I661" s="170"/>
      <c r="J661" s="171"/>
      <c r="K661" s="170"/>
      <c r="L661" s="171"/>
      <c r="M661" s="170"/>
      <c r="N661" s="171"/>
      <c r="O661" s="83"/>
      <c r="P661" s="83"/>
    </row>
    <row r="662">
      <c r="A662" s="164"/>
      <c r="B662" s="45"/>
      <c r="C662" s="83"/>
      <c r="D662" s="83"/>
      <c r="E662" s="83"/>
      <c r="F662" s="165"/>
      <c r="G662" s="165"/>
      <c r="H662" s="52"/>
      <c r="I662" s="170"/>
      <c r="J662" s="171"/>
      <c r="K662" s="170"/>
      <c r="L662" s="171"/>
      <c r="M662" s="170"/>
      <c r="N662" s="171"/>
      <c r="O662" s="83"/>
      <c r="P662" s="83"/>
    </row>
    <row r="663">
      <c r="A663" s="164"/>
      <c r="B663" s="45"/>
      <c r="C663" s="83"/>
      <c r="D663" s="83"/>
      <c r="E663" s="83"/>
      <c r="F663" s="165"/>
      <c r="G663" s="165"/>
      <c r="H663" s="52"/>
      <c r="I663" s="170"/>
      <c r="J663" s="171"/>
      <c r="K663" s="170"/>
      <c r="L663" s="171"/>
      <c r="M663" s="170"/>
      <c r="N663" s="171"/>
      <c r="O663" s="83"/>
      <c r="P663" s="83"/>
    </row>
    <row r="664">
      <c r="A664" s="164"/>
      <c r="B664" s="45"/>
      <c r="C664" s="83"/>
      <c r="D664" s="83"/>
      <c r="E664" s="83"/>
      <c r="F664" s="165"/>
      <c r="G664" s="165"/>
      <c r="H664" s="52"/>
      <c r="I664" s="170"/>
      <c r="J664" s="171"/>
      <c r="K664" s="170"/>
      <c r="L664" s="171"/>
      <c r="M664" s="170"/>
      <c r="N664" s="171"/>
      <c r="O664" s="83"/>
      <c r="P664" s="83"/>
    </row>
    <row r="665">
      <c r="A665" s="164"/>
      <c r="B665" s="45"/>
      <c r="C665" s="83"/>
      <c r="D665" s="83"/>
      <c r="E665" s="83"/>
      <c r="F665" s="165"/>
      <c r="G665" s="165"/>
      <c r="H665" s="52"/>
      <c r="I665" s="170"/>
      <c r="J665" s="171"/>
      <c r="K665" s="170"/>
      <c r="L665" s="171"/>
      <c r="M665" s="170"/>
      <c r="N665" s="171"/>
      <c r="O665" s="83"/>
      <c r="P665" s="83"/>
    </row>
    <row r="666">
      <c r="A666" s="164"/>
      <c r="B666" s="45"/>
      <c r="C666" s="83"/>
      <c r="D666" s="83"/>
      <c r="E666" s="83"/>
      <c r="F666" s="165"/>
      <c r="G666" s="165"/>
      <c r="H666" s="52"/>
      <c r="I666" s="170"/>
      <c r="J666" s="171"/>
      <c r="K666" s="170"/>
      <c r="L666" s="171"/>
      <c r="M666" s="170"/>
      <c r="N666" s="171"/>
      <c r="O666" s="83"/>
      <c r="P666" s="83"/>
    </row>
    <row r="667">
      <c r="A667" s="164"/>
      <c r="B667" s="45"/>
      <c r="C667" s="83"/>
      <c r="D667" s="83"/>
      <c r="E667" s="83"/>
      <c r="F667" s="165"/>
      <c r="G667" s="165"/>
      <c r="H667" s="52"/>
      <c r="I667" s="170"/>
      <c r="J667" s="171"/>
      <c r="K667" s="170"/>
      <c r="L667" s="171"/>
      <c r="M667" s="170"/>
      <c r="N667" s="171"/>
      <c r="O667" s="83"/>
      <c r="P667" s="83"/>
    </row>
    <row r="668">
      <c r="A668" s="164"/>
      <c r="B668" s="45"/>
      <c r="C668" s="83"/>
      <c r="D668" s="83"/>
      <c r="E668" s="83"/>
      <c r="F668" s="165"/>
      <c r="G668" s="165"/>
      <c r="H668" s="52"/>
      <c r="I668" s="170"/>
      <c r="J668" s="171"/>
      <c r="K668" s="170"/>
      <c r="L668" s="171"/>
      <c r="M668" s="170"/>
      <c r="N668" s="171"/>
      <c r="O668" s="83"/>
      <c r="P668" s="83"/>
    </row>
    <row r="669">
      <c r="A669" s="164"/>
      <c r="B669" s="45"/>
      <c r="C669" s="83"/>
      <c r="D669" s="83"/>
      <c r="E669" s="83"/>
      <c r="F669" s="165"/>
      <c r="G669" s="165"/>
      <c r="H669" s="52"/>
      <c r="I669" s="170"/>
      <c r="J669" s="171"/>
      <c r="K669" s="170"/>
      <c r="L669" s="171"/>
      <c r="M669" s="170"/>
      <c r="N669" s="171"/>
      <c r="O669" s="83"/>
      <c r="P669" s="83"/>
    </row>
    <row r="670">
      <c r="A670" s="164"/>
      <c r="B670" s="45"/>
      <c r="C670" s="83"/>
      <c r="D670" s="83"/>
      <c r="E670" s="83"/>
      <c r="F670" s="165"/>
      <c r="G670" s="165"/>
      <c r="H670" s="52"/>
      <c r="I670" s="170"/>
      <c r="J670" s="171"/>
      <c r="K670" s="170"/>
      <c r="L670" s="171"/>
      <c r="M670" s="170"/>
      <c r="N670" s="171"/>
      <c r="O670" s="83"/>
      <c r="P670" s="83"/>
    </row>
    <row r="671">
      <c r="A671" s="164"/>
      <c r="B671" s="45"/>
      <c r="C671" s="83"/>
      <c r="D671" s="83"/>
      <c r="E671" s="83"/>
      <c r="F671" s="165"/>
      <c r="G671" s="165"/>
      <c r="H671" s="52"/>
      <c r="I671" s="170"/>
      <c r="J671" s="171"/>
      <c r="K671" s="170"/>
      <c r="L671" s="171"/>
      <c r="M671" s="170"/>
      <c r="N671" s="171"/>
      <c r="O671" s="83"/>
      <c r="P671" s="83"/>
    </row>
    <row r="672">
      <c r="A672" s="164"/>
      <c r="B672" s="45"/>
      <c r="C672" s="83"/>
      <c r="D672" s="83"/>
      <c r="E672" s="83"/>
      <c r="F672" s="165"/>
      <c r="G672" s="165"/>
      <c r="H672" s="52"/>
      <c r="I672" s="170"/>
      <c r="J672" s="171"/>
      <c r="K672" s="170"/>
      <c r="L672" s="171"/>
      <c r="M672" s="170"/>
      <c r="N672" s="171"/>
      <c r="O672" s="83"/>
      <c r="P672" s="83"/>
    </row>
    <row r="673">
      <c r="A673" s="164"/>
      <c r="B673" s="45"/>
      <c r="C673" s="83"/>
      <c r="D673" s="83"/>
      <c r="E673" s="83"/>
      <c r="F673" s="165"/>
      <c r="G673" s="165"/>
      <c r="H673" s="52"/>
      <c r="I673" s="170"/>
      <c r="J673" s="171"/>
      <c r="K673" s="170"/>
      <c r="L673" s="171"/>
      <c r="M673" s="170"/>
      <c r="N673" s="171"/>
      <c r="O673" s="83"/>
      <c r="P673" s="83"/>
    </row>
    <row r="674">
      <c r="A674" s="164"/>
      <c r="B674" s="45"/>
      <c r="C674" s="83"/>
      <c r="D674" s="83"/>
      <c r="E674" s="83"/>
      <c r="F674" s="165"/>
      <c r="G674" s="165"/>
      <c r="H674" s="52"/>
      <c r="I674" s="170"/>
      <c r="J674" s="171"/>
      <c r="K674" s="170"/>
      <c r="L674" s="171"/>
      <c r="M674" s="170"/>
      <c r="N674" s="171"/>
      <c r="O674" s="83"/>
      <c r="P674" s="83"/>
    </row>
    <row r="675">
      <c r="A675" s="164"/>
      <c r="B675" s="45"/>
      <c r="C675" s="83"/>
      <c r="D675" s="83"/>
      <c r="E675" s="83"/>
      <c r="F675" s="165"/>
      <c r="G675" s="165"/>
      <c r="H675" s="52"/>
      <c r="I675" s="170"/>
      <c r="J675" s="171"/>
      <c r="K675" s="170"/>
      <c r="L675" s="171"/>
      <c r="M675" s="170"/>
      <c r="N675" s="171"/>
      <c r="O675" s="83"/>
      <c r="P675" s="83"/>
    </row>
    <row r="676">
      <c r="A676" s="164"/>
      <c r="B676" s="45"/>
      <c r="C676" s="83"/>
      <c r="D676" s="83"/>
      <c r="E676" s="83"/>
      <c r="F676" s="165"/>
      <c r="G676" s="165"/>
      <c r="H676" s="52"/>
      <c r="I676" s="170"/>
      <c r="J676" s="171"/>
      <c r="K676" s="170"/>
      <c r="L676" s="171"/>
      <c r="M676" s="170"/>
      <c r="N676" s="171"/>
      <c r="O676" s="83"/>
      <c r="P676" s="83"/>
    </row>
    <row r="677">
      <c r="A677" s="164"/>
      <c r="B677" s="45"/>
      <c r="C677" s="83"/>
      <c r="D677" s="83"/>
      <c r="E677" s="83"/>
      <c r="F677" s="165"/>
      <c r="G677" s="165"/>
      <c r="H677" s="52"/>
      <c r="I677" s="170"/>
      <c r="J677" s="171"/>
      <c r="K677" s="170"/>
      <c r="L677" s="171"/>
      <c r="M677" s="170"/>
      <c r="N677" s="171"/>
      <c r="O677" s="83"/>
      <c r="P677" s="83"/>
    </row>
    <row r="678">
      <c r="A678" s="164"/>
      <c r="B678" s="45"/>
      <c r="C678" s="83"/>
      <c r="D678" s="83"/>
      <c r="E678" s="83"/>
      <c r="F678" s="165"/>
      <c r="G678" s="165"/>
      <c r="H678" s="52"/>
      <c r="I678" s="170"/>
      <c r="J678" s="171"/>
      <c r="K678" s="170"/>
      <c r="L678" s="171"/>
      <c r="M678" s="170"/>
      <c r="N678" s="171"/>
      <c r="O678" s="83"/>
      <c r="P678" s="83"/>
    </row>
    <row r="679">
      <c r="A679" s="164"/>
      <c r="B679" s="45"/>
      <c r="C679" s="83"/>
      <c r="D679" s="83"/>
      <c r="E679" s="83"/>
      <c r="F679" s="165"/>
      <c r="G679" s="165"/>
      <c r="H679" s="52"/>
      <c r="I679" s="170"/>
      <c r="J679" s="171"/>
      <c r="K679" s="170"/>
      <c r="L679" s="171"/>
      <c r="M679" s="170"/>
      <c r="N679" s="171"/>
      <c r="O679" s="83"/>
      <c r="P679" s="83"/>
    </row>
    <row r="680">
      <c r="A680" s="164"/>
      <c r="B680" s="45"/>
      <c r="C680" s="83"/>
      <c r="D680" s="83"/>
      <c r="E680" s="83"/>
      <c r="F680" s="165"/>
      <c r="G680" s="165"/>
      <c r="H680" s="52"/>
      <c r="I680" s="170"/>
      <c r="J680" s="171"/>
      <c r="K680" s="170"/>
      <c r="L680" s="171"/>
      <c r="M680" s="170"/>
      <c r="N680" s="171"/>
      <c r="O680" s="83"/>
      <c r="P680" s="83"/>
    </row>
    <row r="681">
      <c r="A681" s="164"/>
      <c r="B681" s="45"/>
      <c r="C681" s="83"/>
      <c r="D681" s="83"/>
      <c r="E681" s="83"/>
      <c r="F681" s="165"/>
      <c r="G681" s="165"/>
      <c r="H681" s="52"/>
      <c r="I681" s="170"/>
      <c r="J681" s="171"/>
      <c r="K681" s="170"/>
      <c r="L681" s="171"/>
      <c r="M681" s="170"/>
      <c r="N681" s="171"/>
      <c r="O681" s="83"/>
      <c r="P681" s="83"/>
    </row>
    <row r="682">
      <c r="A682" s="164"/>
      <c r="B682" s="45"/>
      <c r="C682" s="83"/>
      <c r="D682" s="83"/>
      <c r="E682" s="83"/>
      <c r="F682" s="165"/>
      <c r="G682" s="165"/>
      <c r="H682" s="52"/>
      <c r="I682" s="170"/>
      <c r="J682" s="171"/>
      <c r="K682" s="170"/>
      <c r="L682" s="171"/>
      <c r="M682" s="170"/>
      <c r="N682" s="171"/>
      <c r="O682" s="83"/>
      <c r="P682" s="83"/>
    </row>
    <row r="683">
      <c r="A683" s="164"/>
      <c r="B683" s="45"/>
      <c r="C683" s="83"/>
      <c r="D683" s="83"/>
      <c r="E683" s="83"/>
      <c r="F683" s="165"/>
      <c r="G683" s="165"/>
      <c r="H683" s="52"/>
      <c r="I683" s="170"/>
      <c r="J683" s="171"/>
      <c r="K683" s="170"/>
      <c r="L683" s="171"/>
      <c r="M683" s="170"/>
      <c r="N683" s="171"/>
      <c r="O683" s="83"/>
      <c r="P683" s="83"/>
    </row>
    <row r="684">
      <c r="A684" s="164"/>
      <c r="B684" s="45"/>
      <c r="C684" s="83"/>
      <c r="D684" s="83"/>
      <c r="E684" s="83"/>
      <c r="F684" s="165"/>
      <c r="G684" s="165"/>
      <c r="H684" s="52"/>
      <c r="I684" s="170"/>
      <c r="J684" s="171"/>
      <c r="K684" s="170"/>
      <c r="L684" s="171"/>
      <c r="M684" s="170"/>
      <c r="N684" s="171"/>
      <c r="O684" s="83"/>
      <c r="P684" s="83"/>
    </row>
    <row r="685">
      <c r="A685" s="164"/>
      <c r="B685" s="45"/>
      <c r="C685" s="83"/>
      <c r="D685" s="83"/>
      <c r="E685" s="83"/>
      <c r="F685" s="165"/>
      <c r="G685" s="165"/>
      <c r="H685" s="52"/>
      <c r="I685" s="170"/>
      <c r="J685" s="171"/>
      <c r="K685" s="170"/>
      <c r="L685" s="171"/>
      <c r="M685" s="170"/>
      <c r="N685" s="171"/>
      <c r="O685" s="83"/>
      <c r="P685" s="83"/>
    </row>
    <row r="686">
      <c r="A686" s="164"/>
      <c r="B686" s="45"/>
      <c r="C686" s="83"/>
      <c r="D686" s="83"/>
      <c r="E686" s="83"/>
      <c r="F686" s="165"/>
      <c r="G686" s="165"/>
      <c r="H686" s="52"/>
      <c r="I686" s="170"/>
      <c r="J686" s="171"/>
      <c r="K686" s="170"/>
      <c r="L686" s="171"/>
      <c r="M686" s="170"/>
      <c r="N686" s="171"/>
      <c r="O686" s="83"/>
      <c r="P686" s="83"/>
    </row>
    <row r="687">
      <c r="A687" s="164"/>
      <c r="B687" s="45"/>
      <c r="C687" s="83"/>
      <c r="D687" s="83"/>
      <c r="E687" s="83"/>
      <c r="F687" s="165"/>
      <c r="G687" s="165"/>
      <c r="H687" s="52"/>
      <c r="I687" s="170"/>
      <c r="J687" s="171"/>
      <c r="K687" s="170"/>
      <c r="L687" s="171"/>
      <c r="M687" s="170"/>
      <c r="N687" s="171"/>
      <c r="O687" s="83"/>
      <c r="P687" s="83"/>
    </row>
    <row r="688">
      <c r="A688" s="164"/>
      <c r="B688" s="45"/>
      <c r="C688" s="83"/>
      <c r="D688" s="83"/>
      <c r="E688" s="83"/>
      <c r="F688" s="165"/>
      <c r="G688" s="165"/>
      <c r="H688" s="52"/>
      <c r="I688" s="170"/>
      <c r="J688" s="171"/>
      <c r="K688" s="170"/>
      <c r="L688" s="171"/>
      <c r="M688" s="170"/>
      <c r="N688" s="171"/>
      <c r="O688" s="83"/>
      <c r="P688" s="83"/>
    </row>
    <row r="689">
      <c r="A689" s="164"/>
      <c r="B689" s="45"/>
      <c r="C689" s="83"/>
      <c r="D689" s="83"/>
      <c r="E689" s="83"/>
      <c r="F689" s="165"/>
      <c r="G689" s="165"/>
      <c r="H689" s="52"/>
      <c r="I689" s="170"/>
      <c r="J689" s="171"/>
      <c r="K689" s="170"/>
      <c r="L689" s="171"/>
      <c r="M689" s="170"/>
      <c r="N689" s="171"/>
      <c r="O689" s="83"/>
      <c r="P689" s="83"/>
    </row>
    <row r="690">
      <c r="A690" s="164"/>
      <c r="B690" s="45"/>
      <c r="C690" s="83"/>
      <c r="D690" s="83"/>
      <c r="E690" s="83"/>
      <c r="F690" s="165"/>
      <c r="G690" s="165"/>
      <c r="H690" s="52"/>
      <c r="I690" s="170"/>
      <c r="J690" s="171"/>
      <c r="K690" s="170"/>
      <c r="L690" s="171"/>
      <c r="M690" s="170"/>
      <c r="N690" s="171"/>
      <c r="O690" s="83"/>
      <c r="P690" s="83"/>
    </row>
    <row r="691">
      <c r="A691" s="164"/>
      <c r="B691" s="45"/>
      <c r="C691" s="83"/>
      <c r="D691" s="83"/>
      <c r="E691" s="83"/>
      <c r="F691" s="165"/>
      <c r="G691" s="165"/>
      <c r="H691" s="52"/>
      <c r="I691" s="170"/>
      <c r="J691" s="171"/>
      <c r="K691" s="170"/>
      <c r="L691" s="171"/>
      <c r="M691" s="170"/>
      <c r="N691" s="171"/>
      <c r="O691" s="83"/>
      <c r="P691" s="83"/>
    </row>
    <row r="692">
      <c r="A692" s="164"/>
      <c r="B692" s="45"/>
      <c r="C692" s="83"/>
      <c r="D692" s="83"/>
      <c r="E692" s="83"/>
      <c r="F692" s="165"/>
      <c r="G692" s="165"/>
      <c r="H692" s="52"/>
      <c r="I692" s="170"/>
      <c r="J692" s="171"/>
      <c r="K692" s="170"/>
      <c r="L692" s="171"/>
      <c r="M692" s="170"/>
      <c r="N692" s="171"/>
      <c r="O692" s="83"/>
      <c r="P692" s="83"/>
    </row>
    <row r="693">
      <c r="A693" s="164"/>
      <c r="B693" s="45"/>
      <c r="C693" s="83"/>
      <c r="D693" s="83"/>
      <c r="E693" s="83"/>
      <c r="F693" s="165"/>
      <c r="G693" s="165"/>
      <c r="H693" s="52"/>
      <c r="I693" s="170"/>
      <c r="J693" s="171"/>
      <c r="K693" s="170"/>
      <c r="L693" s="171"/>
      <c r="M693" s="170"/>
      <c r="N693" s="171"/>
      <c r="O693" s="83"/>
      <c r="P693" s="83"/>
    </row>
    <row r="694">
      <c r="A694" s="164"/>
      <c r="B694" s="45"/>
      <c r="C694" s="83"/>
      <c r="D694" s="83"/>
      <c r="E694" s="83"/>
      <c r="F694" s="165"/>
      <c r="G694" s="165"/>
      <c r="H694" s="52"/>
      <c r="I694" s="170"/>
      <c r="J694" s="171"/>
      <c r="K694" s="170"/>
      <c r="L694" s="171"/>
      <c r="M694" s="170"/>
      <c r="N694" s="171"/>
      <c r="O694" s="83"/>
      <c r="P694" s="83"/>
    </row>
    <row r="695">
      <c r="A695" s="164"/>
      <c r="B695" s="45"/>
      <c r="C695" s="83"/>
      <c r="D695" s="83"/>
      <c r="E695" s="83"/>
      <c r="F695" s="165"/>
      <c r="G695" s="165"/>
      <c r="H695" s="52"/>
      <c r="I695" s="170"/>
      <c r="J695" s="171"/>
      <c r="K695" s="170"/>
      <c r="L695" s="171"/>
      <c r="M695" s="170"/>
      <c r="N695" s="171"/>
      <c r="O695" s="83"/>
      <c r="P695" s="83"/>
    </row>
    <row r="696">
      <c r="A696" s="164"/>
      <c r="B696" s="45"/>
      <c r="C696" s="83"/>
      <c r="D696" s="83"/>
      <c r="E696" s="83"/>
      <c r="F696" s="165"/>
      <c r="G696" s="165"/>
      <c r="H696" s="52"/>
      <c r="I696" s="170"/>
      <c r="J696" s="171"/>
      <c r="K696" s="170"/>
      <c r="L696" s="171"/>
      <c r="M696" s="170"/>
      <c r="N696" s="171"/>
      <c r="O696" s="83"/>
      <c r="P696" s="83"/>
    </row>
    <row r="697">
      <c r="A697" s="164"/>
      <c r="B697" s="45"/>
      <c r="C697" s="83"/>
      <c r="D697" s="83"/>
      <c r="E697" s="83"/>
      <c r="F697" s="165"/>
      <c r="G697" s="165"/>
      <c r="H697" s="52"/>
      <c r="I697" s="170"/>
      <c r="J697" s="171"/>
      <c r="K697" s="170"/>
      <c r="L697" s="171"/>
      <c r="M697" s="170"/>
      <c r="N697" s="171"/>
      <c r="O697" s="83"/>
      <c r="P697" s="83"/>
    </row>
    <row r="698">
      <c r="A698" s="164"/>
      <c r="B698" s="45"/>
      <c r="C698" s="83"/>
      <c r="D698" s="83"/>
      <c r="E698" s="83"/>
      <c r="F698" s="165"/>
      <c r="G698" s="165"/>
      <c r="H698" s="52"/>
      <c r="I698" s="170"/>
      <c r="J698" s="171"/>
      <c r="K698" s="170"/>
      <c r="L698" s="171"/>
      <c r="M698" s="170"/>
      <c r="N698" s="171"/>
      <c r="O698" s="83"/>
      <c r="P698" s="83"/>
    </row>
    <row r="699">
      <c r="A699" s="164"/>
      <c r="B699" s="45"/>
      <c r="C699" s="83"/>
      <c r="D699" s="83"/>
      <c r="E699" s="83"/>
      <c r="F699" s="165"/>
      <c r="G699" s="165"/>
      <c r="H699" s="52"/>
      <c r="I699" s="170"/>
      <c r="J699" s="171"/>
      <c r="K699" s="170"/>
      <c r="L699" s="171"/>
      <c r="M699" s="170"/>
      <c r="N699" s="171"/>
      <c r="O699" s="83"/>
      <c r="P699" s="83"/>
    </row>
    <row r="700">
      <c r="A700" s="164"/>
      <c r="B700" s="45"/>
      <c r="C700" s="83"/>
      <c r="D700" s="83"/>
      <c r="E700" s="83"/>
      <c r="F700" s="165"/>
      <c r="G700" s="165"/>
      <c r="H700" s="52"/>
      <c r="I700" s="170"/>
      <c r="J700" s="171"/>
      <c r="K700" s="170"/>
      <c r="L700" s="171"/>
      <c r="M700" s="170"/>
      <c r="N700" s="171"/>
      <c r="O700" s="83"/>
      <c r="P700" s="83"/>
    </row>
    <row r="701">
      <c r="A701" s="164"/>
      <c r="B701" s="45"/>
      <c r="C701" s="83"/>
      <c r="D701" s="83"/>
      <c r="E701" s="83"/>
      <c r="F701" s="165"/>
      <c r="G701" s="165"/>
      <c r="H701" s="52"/>
      <c r="I701" s="170"/>
      <c r="J701" s="171"/>
      <c r="K701" s="170"/>
      <c r="L701" s="171"/>
      <c r="M701" s="170"/>
      <c r="N701" s="171"/>
      <c r="O701" s="83"/>
      <c r="P701" s="83"/>
    </row>
    <row r="702">
      <c r="A702" s="164"/>
      <c r="B702" s="45"/>
      <c r="C702" s="83"/>
      <c r="D702" s="83"/>
      <c r="E702" s="83"/>
      <c r="F702" s="165"/>
      <c r="G702" s="165"/>
      <c r="H702" s="52"/>
      <c r="I702" s="170"/>
      <c r="J702" s="171"/>
      <c r="K702" s="170"/>
      <c r="L702" s="171"/>
      <c r="M702" s="170"/>
      <c r="N702" s="171"/>
      <c r="O702" s="83"/>
      <c r="P702" s="83"/>
    </row>
    <row r="703">
      <c r="A703" s="164"/>
      <c r="B703" s="45"/>
      <c r="C703" s="83"/>
      <c r="D703" s="83"/>
      <c r="E703" s="83"/>
      <c r="F703" s="165"/>
      <c r="G703" s="165"/>
      <c r="H703" s="52"/>
      <c r="I703" s="170"/>
      <c r="J703" s="171"/>
      <c r="K703" s="170"/>
      <c r="L703" s="171"/>
      <c r="M703" s="170"/>
      <c r="N703" s="171"/>
      <c r="O703" s="83"/>
      <c r="P703" s="83"/>
    </row>
    <row r="704">
      <c r="A704" s="164"/>
      <c r="B704" s="45"/>
      <c r="C704" s="83"/>
      <c r="D704" s="83"/>
      <c r="E704" s="83"/>
      <c r="F704" s="165"/>
      <c r="G704" s="165"/>
      <c r="H704" s="52"/>
      <c r="I704" s="170"/>
      <c r="J704" s="171"/>
      <c r="K704" s="170"/>
      <c r="L704" s="171"/>
      <c r="M704" s="170"/>
      <c r="N704" s="171"/>
      <c r="O704" s="83"/>
      <c r="P704" s="83"/>
    </row>
    <row r="705">
      <c r="A705" s="164"/>
      <c r="B705" s="45"/>
      <c r="C705" s="83"/>
      <c r="D705" s="83"/>
      <c r="E705" s="83"/>
      <c r="F705" s="165"/>
      <c r="G705" s="165"/>
      <c r="H705" s="52"/>
      <c r="I705" s="170"/>
      <c r="J705" s="171"/>
      <c r="K705" s="170"/>
      <c r="L705" s="171"/>
      <c r="M705" s="170"/>
      <c r="N705" s="171"/>
      <c r="O705" s="83"/>
      <c r="P705" s="83"/>
    </row>
    <row r="706">
      <c r="A706" s="164"/>
      <c r="B706" s="45"/>
      <c r="C706" s="83"/>
      <c r="D706" s="83"/>
      <c r="E706" s="83"/>
      <c r="F706" s="165"/>
      <c r="G706" s="165"/>
      <c r="H706" s="52"/>
      <c r="I706" s="170"/>
      <c r="J706" s="171"/>
      <c r="K706" s="170"/>
      <c r="L706" s="171"/>
      <c r="M706" s="170"/>
      <c r="N706" s="171"/>
      <c r="O706" s="83"/>
      <c r="P706" s="83"/>
    </row>
    <row r="707">
      <c r="A707" s="164"/>
      <c r="B707" s="45"/>
      <c r="C707" s="83"/>
      <c r="D707" s="83"/>
      <c r="E707" s="83"/>
      <c r="F707" s="165"/>
      <c r="G707" s="165"/>
      <c r="H707" s="52"/>
      <c r="I707" s="170"/>
      <c r="J707" s="171"/>
      <c r="K707" s="170"/>
      <c r="L707" s="171"/>
      <c r="M707" s="170"/>
      <c r="N707" s="171"/>
      <c r="O707" s="83"/>
      <c r="P707" s="83"/>
    </row>
    <row r="708">
      <c r="A708" s="164"/>
      <c r="B708" s="45"/>
      <c r="C708" s="83"/>
      <c r="D708" s="83"/>
      <c r="E708" s="83"/>
      <c r="F708" s="165"/>
      <c r="G708" s="165"/>
      <c r="H708" s="52"/>
      <c r="I708" s="170"/>
      <c r="J708" s="171"/>
      <c r="K708" s="170"/>
      <c r="L708" s="171"/>
      <c r="M708" s="170"/>
      <c r="N708" s="171"/>
      <c r="O708" s="83"/>
      <c r="P708" s="83"/>
    </row>
    <row r="709">
      <c r="A709" s="164"/>
      <c r="B709" s="45"/>
      <c r="C709" s="83"/>
      <c r="D709" s="83"/>
      <c r="E709" s="83"/>
      <c r="F709" s="165"/>
      <c r="G709" s="165"/>
      <c r="H709" s="52"/>
      <c r="I709" s="170"/>
      <c r="J709" s="171"/>
      <c r="K709" s="170"/>
      <c r="L709" s="171"/>
      <c r="M709" s="170"/>
      <c r="N709" s="171"/>
      <c r="O709" s="83"/>
      <c r="P709" s="83"/>
    </row>
    <row r="710">
      <c r="A710" s="164"/>
      <c r="B710" s="45"/>
      <c r="C710" s="83"/>
      <c r="D710" s="83"/>
      <c r="E710" s="83"/>
      <c r="F710" s="165"/>
      <c r="G710" s="165"/>
      <c r="H710" s="52"/>
      <c r="I710" s="170"/>
      <c r="J710" s="171"/>
      <c r="K710" s="170"/>
      <c r="L710" s="171"/>
      <c r="M710" s="170"/>
      <c r="N710" s="171"/>
      <c r="O710" s="83"/>
      <c r="P710" s="83"/>
    </row>
    <row r="711">
      <c r="A711" s="164"/>
      <c r="B711" s="45"/>
      <c r="C711" s="83"/>
      <c r="D711" s="83"/>
      <c r="E711" s="83"/>
      <c r="F711" s="165"/>
      <c r="G711" s="165"/>
      <c r="H711" s="52"/>
      <c r="I711" s="170"/>
      <c r="J711" s="171"/>
      <c r="K711" s="170"/>
      <c r="L711" s="171"/>
      <c r="M711" s="170"/>
      <c r="N711" s="171"/>
      <c r="O711" s="83"/>
      <c r="P711" s="83"/>
    </row>
    <row r="712">
      <c r="A712" s="164"/>
      <c r="B712" s="45"/>
      <c r="C712" s="83"/>
      <c r="D712" s="83"/>
      <c r="E712" s="83"/>
      <c r="F712" s="165"/>
      <c r="G712" s="165"/>
      <c r="H712" s="52"/>
      <c r="I712" s="170"/>
      <c r="J712" s="171"/>
      <c r="K712" s="170"/>
      <c r="L712" s="171"/>
      <c r="M712" s="170"/>
      <c r="N712" s="171"/>
      <c r="O712" s="83"/>
      <c r="P712" s="83"/>
    </row>
    <row r="713">
      <c r="A713" s="164"/>
      <c r="B713" s="45"/>
      <c r="C713" s="83"/>
      <c r="D713" s="83"/>
      <c r="E713" s="83"/>
      <c r="F713" s="165"/>
      <c r="G713" s="165"/>
      <c r="H713" s="52"/>
      <c r="I713" s="170"/>
      <c r="J713" s="171"/>
      <c r="K713" s="170"/>
      <c r="L713" s="171"/>
      <c r="M713" s="170"/>
      <c r="N713" s="171"/>
      <c r="O713" s="83"/>
      <c r="P713" s="83"/>
    </row>
    <row r="714">
      <c r="A714" s="164"/>
      <c r="B714" s="45"/>
      <c r="C714" s="83"/>
      <c r="D714" s="83"/>
      <c r="E714" s="83"/>
      <c r="F714" s="165"/>
      <c r="G714" s="165"/>
      <c r="H714" s="52"/>
      <c r="I714" s="170"/>
      <c r="J714" s="171"/>
      <c r="K714" s="170"/>
      <c r="L714" s="171"/>
      <c r="M714" s="170"/>
      <c r="N714" s="171"/>
      <c r="O714" s="83"/>
      <c r="P714" s="83"/>
    </row>
    <row r="715">
      <c r="A715" s="164"/>
      <c r="B715" s="45"/>
      <c r="C715" s="83"/>
      <c r="D715" s="83"/>
      <c r="E715" s="83"/>
      <c r="F715" s="165"/>
      <c r="G715" s="165"/>
      <c r="H715" s="52"/>
      <c r="I715" s="170"/>
      <c r="J715" s="171"/>
      <c r="K715" s="170"/>
      <c r="L715" s="171"/>
      <c r="M715" s="170"/>
      <c r="N715" s="171"/>
      <c r="O715" s="83"/>
      <c r="P715" s="83"/>
    </row>
    <row r="716">
      <c r="A716" s="164"/>
      <c r="B716" s="45"/>
      <c r="C716" s="83"/>
      <c r="D716" s="83"/>
      <c r="E716" s="83"/>
      <c r="F716" s="165"/>
      <c r="G716" s="165"/>
      <c r="H716" s="52"/>
      <c r="I716" s="170"/>
      <c r="J716" s="171"/>
      <c r="K716" s="170"/>
      <c r="L716" s="171"/>
      <c r="M716" s="170"/>
      <c r="N716" s="171"/>
      <c r="O716" s="83"/>
      <c r="P716" s="83"/>
    </row>
    <row r="717">
      <c r="A717" s="164"/>
      <c r="B717" s="45"/>
      <c r="C717" s="83"/>
      <c r="D717" s="83"/>
      <c r="E717" s="83"/>
      <c r="F717" s="165"/>
      <c r="G717" s="165"/>
      <c r="H717" s="52"/>
      <c r="I717" s="170"/>
      <c r="J717" s="171"/>
      <c r="K717" s="170"/>
      <c r="L717" s="171"/>
      <c r="M717" s="170"/>
      <c r="N717" s="171"/>
      <c r="O717" s="83"/>
      <c r="P717" s="83"/>
    </row>
    <row r="718">
      <c r="A718" s="164"/>
      <c r="B718" s="45"/>
      <c r="C718" s="83"/>
      <c r="D718" s="83"/>
      <c r="E718" s="83"/>
      <c r="F718" s="165"/>
      <c r="G718" s="165"/>
      <c r="H718" s="52"/>
      <c r="I718" s="170"/>
      <c r="J718" s="171"/>
      <c r="K718" s="170"/>
      <c r="L718" s="171"/>
      <c r="M718" s="170"/>
      <c r="N718" s="171"/>
      <c r="O718" s="83"/>
      <c r="P718" s="83"/>
    </row>
    <row r="719">
      <c r="A719" s="164"/>
      <c r="B719" s="45"/>
      <c r="C719" s="83"/>
      <c r="D719" s="83"/>
      <c r="E719" s="83"/>
      <c r="F719" s="165"/>
      <c r="G719" s="165"/>
      <c r="H719" s="52"/>
      <c r="I719" s="170"/>
      <c r="J719" s="171"/>
      <c r="K719" s="170"/>
      <c r="L719" s="171"/>
      <c r="M719" s="170"/>
      <c r="N719" s="171"/>
      <c r="O719" s="83"/>
      <c r="P719" s="83"/>
    </row>
    <row r="720">
      <c r="A720" s="164"/>
      <c r="B720" s="45"/>
      <c r="C720" s="83"/>
      <c r="D720" s="83"/>
      <c r="E720" s="83"/>
      <c r="F720" s="165"/>
      <c r="G720" s="165"/>
      <c r="H720" s="52"/>
      <c r="I720" s="170"/>
      <c r="J720" s="171"/>
      <c r="K720" s="170"/>
      <c r="L720" s="171"/>
      <c r="M720" s="170"/>
      <c r="N720" s="171"/>
      <c r="O720" s="83"/>
      <c r="P720" s="83"/>
    </row>
    <row r="721">
      <c r="A721" s="164"/>
      <c r="B721" s="45"/>
      <c r="C721" s="83"/>
      <c r="D721" s="83"/>
      <c r="E721" s="83"/>
      <c r="F721" s="165"/>
      <c r="G721" s="165"/>
      <c r="H721" s="52"/>
      <c r="I721" s="170"/>
      <c r="J721" s="171"/>
      <c r="K721" s="170"/>
      <c r="L721" s="171"/>
      <c r="M721" s="170"/>
      <c r="N721" s="171"/>
      <c r="O721" s="83"/>
      <c r="P721" s="83"/>
    </row>
    <row r="722">
      <c r="A722" s="164"/>
      <c r="B722" s="45"/>
      <c r="C722" s="83"/>
      <c r="D722" s="83"/>
      <c r="E722" s="83"/>
      <c r="F722" s="165"/>
      <c r="G722" s="165"/>
      <c r="H722" s="52"/>
      <c r="I722" s="170"/>
      <c r="J722" s="171"/>
      <c r="K722" s="170"/>
      <c r="L722" s="171"/>
      <c r="M722" s="170"/>
      <c r="N722" s="171"/>
      <c r="O722" s="83"/>
      <c r="P722" s="83"/>
    </row>
    <row r="723">
      <c r="A723" s="164"/>
      <c r="B723" s="45"/>
      <c r="C723" s="83"/>
      <c r="D723" s="83"/>
      <c r="E723" s="83"/>
      <c r="F723" s="165"/>
      <c r="G723" s="165"/>
      <c r="H723" s="52"/>
      <c r="I723" s="170"/>
      <c r="J723" s="171"/>
      <c r="K723" s="170"/>
      <c r="L723" s="171"/>
      <c r="M723" s="170"/>
      <c r="N723" s="171"/>
      <c r="O723" s="83"/>
      <c r="P723" s="83"/>
    </row>
    <row r="724">
      <c r="A724" s="164"/>
      <c r="B724" s="45"/>
      <c r="C724" s="83"/>
      <c r="D724" s="83"/>
      <c r="E724" s="83"/>
      <c r="F724" s="165"/>
      <c r="G724" s="165"/>
      <c r="H724" s="52"/>
      <c r="I724" s="170"/>
      <c r="J724" s="171"/>
      <c r="K724" s="170"/>
      <c r="L724" s="171"/>
      <c r="M724" s="170"/>
      <c r="N724" s="171"/>
      <c r="O724" s="83"/>
      <c r="P724" s="83"/>
    </row>
    <row r="725">
      <c r="A725" s="164"/>
      <c r="B725" s="45"/>
      <c r="C725" s="83"/>
      <c r="D725" s="83"/>
      <c r="E725" s="83"/>
      <c r="F725" s="165"/>
      <c r="G725" s="165"/>
      <c r="H725" s="52"/>
      <c r="I725" s="170"/>
      <c r="J725" s="171"/>
      <c r="K725" s="170"/>
      <c r="L725" s="171"/>
      <c r="M725" s="170"/>
      <c r="N725" s="171"/>
      <c r="O725" s="83"/>
      <c r="P725" s="83"/>
    </row>
    <row r="726">
      <c r="A726" s="164"/>
      <c r="B726" s="45"/>
      <c r="C726" s="83"/>
      <c r="D726" s="83"/>
      <c r="E726" s="83"/>
      <c r="F726" s="165"/>
      <c r="G726" s="165"/>
      <c r="H726" s="52"/>
      <c r="I726" s="170"/>
      <c r="J726" s="171"/>
      <c r="K726" s="170"/>
      <c r="L726" s="171"/>
      <c r="M726" s="170"/>
      <c r="N726" s="171"/>
      <c r="O726" s="83"/>
      <c r="P726" s="83"/>
    </row>
    <row r="727">
      <c r="A727" s="164"/>
      <c r="B727" s="45"/>
      <c r="C727" s="83"/>
      <c r="D727" s="83"/>
      <c r="E727" s="83"/>
      <c r="F727" s="165"/>
      <c r="G727" s="165"/>
      <c r="H727" s="52"/>
      <c r="I727" s="170"/>
      <c r="J727" s="171"/>
      <c r="K727" s="170"/>
      <c r="L727" s="171"/>
      <c r="M727" s="170"/>
      <c r="N727" s="171"/>
      <c r="O727" s="83"/>
      <c r="P727" s="83"/>
    </row>
    <row r="728">
      <c r="A728" s="164"/>
      <c r="B728" s="45"/>
      <c r="C728" s="83"/>
      <c r="D728" s="83"/>
      <c r="E728" s="83"/>
      <c r="F728" s="165"/>
      <c r="G728" s="165"/>
      <c r="H728" s="52"/>
      <c r="I728" s="170"/>
      <c r="J728" s="171"/>
      <c r="K728" s="170"/>
      <c r="L728" s="171"/>
      <c r="M728" s="170"/>
      <c r="N728" s="171"/>
      <c r="O728" s="83"/>
      <c r="P728" s="83"/>
    </row>
    <row r="729">
      <c r="A729" s="164"/>
      <c r="B729" s="45"/>
      <c r="C729" s="83"/>
      <c r="D729" s="83"/>
      <c r="E729" s="83"/>
      <c r="F729" s="165"/>
      <c r="G729" s="165"/>
      <c r="H729" s="52"/>
      <c r="I729" s="170"/>
      <c r="J729" s="171"/>
      <c r="K729" s="170"/>
      <c r="L729" s="171"/>
      <c r="M729" s="170"/>
      <c r="N729" s="171"/>
      <c r="O729" s="83"/>
      <c r="P729" s="83"/>
    </row>
    <row r="730">
      <c r="A730" s="164"/>
      <c r="B730" s="45"/>
      <c r="C730" s="83"/>
      <c r="D730" s="83"/>
      <c r="E730" s="83"/>
      <c r="F730" s="165"/>
      <c r="G730" s="165"/>
      <c r="H730" s="52"/>
      <c r="I730" s="170"/>
      <c r="J730" s="171"/>
      <c r="K730" s="170"/>
      <c r="L730" s="171"/>
      <c r="M730" s="170"/>
      <c r="N730" s="171"/>
      <c r="O730" s="83"/>
      <c r="P730" s="83"/>
    </row>
    <row r="731">
      <c r="A731" s="164"/>
      <c r="B731" s="45"/>
      <c r="C731" s="83"/>
      <c r="D731" s="83"/>
      <c r="E731" s="83"/>
      <c r="F731" s="165"/>
      <c r="G731" s="165"/>
      <c r="H731" s="52"/>
      <c r="I731" s="170"/>
      <c r="J731" s="171"/>
      <c r="K731" s="170"/>
      <c r="L731" s="171"/>
      <c r="M731" s="170"/>
      <c r="N731" s="171"/>
      <c r="O731" s="83"/>
      <c r="P731" s="83"/>
    </row>
    <row r="732">
      <c r="A732" s="164"/>
      <c r="B732" s="45"/>
      <c r="C732" s="83"/>
      <c r="D732" s="83"/>
      <c r="E732" s="83"/>
      <c r="F732" s="165"/>
      <c r="G732" s="165"/>
      <c r="H732" s="52"/>
      <c r="I732" s="170"/>
      <c r="J732" s="171"/>
      <c r="K732" s="170"/>
      <c r="L732" s="171"/>
      <c r="M732" s="170"/>
      <c r="N732" s="171"/>
      <c r="O732" s="83"/>
      <c r="P732" s="83"/>
    </row>
    <row r="733">
      <c r="A733" s="164"/>
      <c r="B733" s="45"/>
      <c r="C733" s="83"/>
      <c r="D733" s="83"/>
      <c r="E733" s="83"/>
      <c r="F733" s="165"/>
      <c r="G733" s="165"/>
      <c r="H733" s="52"/>
      <c r="I733" s="170"/>
      <c r="J733" s="171"/>
      <c r="K733" s="170"/>
      <c r="L733" s="171"/>
      <c r="M733" s="170"/>
      <c r="N733" s="171"/>
      <c r="O733" s="83"/>
      <c r="P733" s="83"/>
    </row>
    <row r="734">
      <c r="A734" s="164"/>
      <c r="B734" s="45"/>
      <c r="C734" s="83"/>
      <c r="D734" s="83"/>
      <c r="E734" s="83"/>
      <c r="F734" s="165"/>
      <c r="G734" s="165"/>
      <c r="H734" s="52"/>
      <c r="I734" s="170"/>
      <c r="J734" s="171"/>
      <c r="K734" s="170"/>
      <c r="L734" s="171"/>
      <c r="M734" s="170"/>
      <c r="N734" s="171"/>
      <c r="O734" s="83"/>
      <c r="P734" s="83"/>
    </row>
    <row r="735">
      <c r="A735" s="164"/>
      <c r="B735" s="45"/>
      <c r="C735" s="83"/>
      <c r="D735" s="83"/>
      <c r="E735" s="83"/>
      <c r="F735" s="165"/>
      <c r="G735" s="165"/>
      <c r="H735" s="52"/>
      <c r="I735" s="170"/>
      <c r="J735" s="171"/>
      <c r="K735" s="170"/>
      <c r="L735" s="171"/>
      <c r="M735" s="170"/>
      <c r="N735" s="171"/>
      <c r="O735" s="83"/>
      <c r="P735" s="83"/>
    </row>
    <row r="736">
      <c r="A736" s="164"/>
      <c r="B736" s="45"/>
      <c r="C736" s="83"/>
      <c r="D736" s="83"/>
      <c r="E736" s="83"/>
      <c r="F736" s="165"/>
      <c r="G736" s="165"/>
      <c r="H736" s="52"/>
      <c r="I736" s="170"/>
      <c r="J736" s="171"/>
      <c r="K736" s="170"/>
      <c r="L736" s="171"/>
      <c r="M736" s="170"/>
      <c r="N736" s="171"/>
      <c r="O736" s="83"/>
      <c r="P736" s="83"/>
    </row>
    <row r="737">
      <c r="A737" s="164"/>
      <c r="B737" s="45"/>
      <c r="C737" s="83"/>
      <c r="D737" s="83"/>
      <c r="E737" s="83"/>
      <c r="F737" s="165"/>
      <c r="G737" s="165"/>
      <c r="H737" s="52"/>
      <c r="I737" s="170"/>
      <c r="J737" s="171"/>
      <c r="K737" s="170"/>
      <c r="L737" s="171"/>
      <c r="M737" s="170"/>
      <c r="N737" s="171"/>
      <c r="O737" s="83"/>
      <c r="P737" s="83"/>
    </row>
    <row r="738">
      <c r="A738" s="164"/>
      <c r="B738" s="45"/>
      <c r="C738" s="83"/>
      <c r="D738" s="83"/>
      <c r="E738" s="83"/>
      <c r="F738" s="165"/>
      <c r="G738" s="165"/>
      <c r="H738" s="52"/>
      <c r="I738" s="170"/>
      <c r="J738" s="171"/>
      <c r="K738" s="170"/>
      <c r="L738" s="171"/>
      <c r="M738" s="170"/>
      <c r="N738" s="171"/>
      <c r="O738" s="83"/>
      <c r="P738" s="83"/>
    </row>
    <row r="739">
      <c r="A739" s="164"/>
      <c r="B739" s="45"/>
      <c r="C739" s="83"/>
      <c r="D739" s="83"/>
      <c r="E739" s="83"/>
      <c r="F739" s="165"/>
      <c r="G739" s="165"/>
      <c r="H739" s="52"/>
      <c r="I739" s="170"/>
      <c r="J739" s="171"/>
      <c r="K739" s="170"/>
      <c r="L739" s="171"/>
      <c r="M739" s="170"/>
      <c r="N739" s="171"/>
      <c r="O739" s="83"/>
      <c r="P739" s="83"/>
    </row>
    <row r="740">
      <c r="A740" s="164"/>
      <c r="B740" s="45"/>
      <c r="C740" s="83"/>
      <c r="D740" s="83"/>
      <c r="E740" s="83"/>
      <c r="F740" s="165"/>
      <c r="G740" s="165"/>
      <c r="H740" s="52"/>
      <c r="I740" s="170"/>
      <c r="J740" s="171"/>
      <c r="K740" s="170"/>
      <c r="L740" s="171"/>
      <c r="M740" s="170"/>
      <c r="N740" s="171"/>
      <c r="O740" s="83"/>
      <c r="P740" s="83"/>
    </row>
    <row r="741">
      <c r="A741" s="164"/>
      <c r="B741" s="45"/>
      <c r="C741" s="83"/>
      <c r="D741" s="83"/>
      <c r="E741" s="83"/>
      <c r="F741" s="165"/>
      <c r="G741" s="165"/>
      <c r="H741" s="52"/>
      <c r="I741" s="170"/>
      <c r="J741" s="171"/>
      <c r="K741" s="170"/>
      <c r="L741" s="171"/>
      <c r="M741" s="170"/>
      <c r="N741" s="171"/>
      <c r="O741" s="83"/>
      <c r="P741" s="83"/>
    </row>
    <row r="742">
      <c r="A742" s="164"/>
      <c r="B742" s="45"/>
      <c r="C742" s="83"/>
      <c r="D742" s="83"/>
      <c r="E742" s="83"/>
      <c r="F742" s="165"/>
      <c r="G742" s="165"/>
      <c r="H742" s="52"/>
      <c r="I742" s="170"/>
      <c r="J742" s="171"/>
      <c r="K742" s="170"/>
      <c r="L742" s="171"/>
      <c r="M742" s="170"/>
      <c r="N742" s="171"/>
      <c r="O742" s="83"/>
      <c r="P742" s="83"/>
    </row>
    <row r="743">
      <c r="A743" s="164"/>
      <c r="B743" s="45"/>
      <c r="C743" s="83"/>
      <c r="D743" s="83"/>
      <c r="E743" s="83"/>
      <c r="F743" s="165"/>
      <c r="G743" s="165"/>
      <c r="H743" s="52"/>
      <c r="I743" s="170"/>
      <c r="J743" s="171"/>
      <c r="K743" s="170"/>
      <c r="L743" s="171"/>
      <c r="M743" s="170"/>
      <c r="N743" s="171"/>
      <c r="O743" s="83"/>
      <c r="P743" s="83"/>
    </row>
    <row r="744">
      <c r="A744" s="164"/>
      <c r="B744" s="45"/>
      <c r="C744" s="83"/>
      <c r="D744" s="83"/>
      <c r="E744" s="83"/>
      <c r="F744" s="165"/>
      <c r="G744" s="165"/>
      <c r="H744" s="52"/>
      <c r="I744" s="170"/>
      <c r="J744" s="171"/>
      <c r="K744" s="170"/>
      <c r="L744" s="171"/>
      <c r="M744" s="170"/>
      <c r="N744" s="171"/>
      <c r="O744" s="83"/>
      <c r="P744" s="83"/>
    </row>
    <row r="745">
      <c r="A745" s="164"/>
      <c r="B745" s="45"/>
      <c r="C745" s="83"/>
      <c r="D745" s="83"/>
      <c r="E745" s="83"/>
      <c r="F745" s="165"/>
      <c r="G745" s="165"/>
      <c r="H745" s="52"/>
      <c r="I745" s="170"/>
      <c r="J745" s="171"/>
      <c r="K745" s="170"/>
      <c r="L745" s="171"/>
      <c r="M745" s="170"/>
      <c r="N745" s="171"/>
      <c r="O745" s="83"/>
      <c r="P745" s="83"/>
    </row>
    <row r="746">
      <c r="A746" s="164"/>
      <c r="B746" s="45"/>
      <c r="C746" s="83"/>
      <c r="D746" s="83"/>
      <c r="E746" s="83"/>
      <c r="F746" s="165"/>
      <c r="G746" s="165"/>
      <c r="H746" s="52"/>
      <c r="I746" s="170"/>
      <c r="J746" s="171"/>
      <c r="K746" s="170"/>
      <c r="L746" s="171"/>
      <c r="M746" s="170"/>
      <c r="N746" s="171"/>
      <c r="O746" s="83"/>
      <c r="P746" s="83"/>
    </row>
    <row r="747">
      <c r="A747" s="164"/>
      <c r="B747" s="45"/>
      <c r="C747" s="83"/>
      <c r="D747" s="83"/>
      <c r="E747" s="83"/>
      <c r="F747" s="165"/>
      <c r="G747" s="165"/>
      <c r="H747" s="52"/>
      <c r="I747" s="170"/>
      <c r="J747" s="171"/>
      <c r="K747" s="170"/>
      <c r="L747" s="171"/>
      <c r="M747" s="170"/>
      <c r="N747" s="171"/>
      <c r="O747" s="83"/>
      <c r="P747" s="83"/>
    </row>
    <row r="748">
      <c r="A748" s="164"/>
      <c r="B748" s="45"/>
      <c r="C748" s="83"/>
      <c r="D748" s="83"/>
      <c r="E748" s="83"/>
      <c r="F748" s="165"/>
      <c r="G748" s="165"/>
      <c r="H748" s="52"/>
      <c r="I748" s="170"/>
      <c r="J748" s="171"/>
      <c r="K748" s="170"/>
      <c r="L748" s="171"/>
      <c r="M748" s="170"/>
      <c r="N748" s="171"/>
      <c r="O748" s="83"/>
      <c r="P748" s="83"/>
    </row>
    <row r="749">
      <c r="A749" s="164"/>
      <c r="B749" s="45"/>
      <c r="C749" s="83"/>
      <c r="D749" s="83"/>
      <c r="E749" s="83"/>
      <c r="F749" s="165"/>
      <c r="G749" s="165"/>
      <c r="H749" s="52"/>
      <c r="I749" s="170"/>
      <c r="J749" s="171"/>
      <c r="K749" s="170"/>
      <c r="L749" s="171"/>
      <c r="M749" s="170"/>
      <c r="N749" s="171"/>
      <c r="O749" s="83"/>
      <c r="P749" s="83"/>
    </row>
    <row r="750">
      <c r="A750" s="164"/>
      <c r="B750" s="45"/>
      <c r="C750" s="83"/>
      <c r="D750" s="83"/>
      <c r="E750" s="83"/>
      <c r="F750" s="165"/>
      <c r="G750" s="165"/>
      <c r="H750" s="52"/>
      <c r="I750" s="170"/>
      <c r="J750" s="171"/>
      <c r="K750" s="170"/>
      <c r="L750" s="171"/>
      <c r="M750" s="170"/>
      <c r="N750" s="171"/>
      <c r="O750" s="83"/>
      <c r="P750" s="83"/>
    </row>
    <row r="751">
      <c r="A751" s="164"/>
      <c r="B751" s="45"/>
      <c r="C751" s="83"/>
      <c r="D751" s="83"/>
      <c r="E751" s="83"/>
      <c r="F751" s="165"/>
      <c r="G751" s="165"/>
      <c r="H751" s="52"/>
      <c r="I751" s="170"/>
      <c r="J751" s="171"/>
      <c r="K751" s="170"/>
      <c r="L751" s="171"/>
      <c r="M751" s="170"/>
      <c r="N751" s="171"/>
      <c r="O751" s="83"/>
      <c r="P751" s="83"/>
    </row>
    <row r="752">
      <c r="A752" s="164"/>
      <c r="B752" s="45"/>
      <c r="C752" s="83"/>
      <c r="D752" s="83"/>
      <c r="E752" s="83"/>
      <c r="F752" s="165"/>
      <c r="G752" s="165"/>
      <c r="H752" s="52"/>
      <c r="I752" s="170"/>
      <c r="J752" s="171"/>
      <c r="K752" s="170"/>
      <c r="L752" s="171"/>
      <c r="M752" s="170"/>
      <c r="N752" s="171"/>
      <c r="O752" s="83"/>
      <c r="P752" s="83"/>
    </row>
    <row r="753">
      <c r="A753" s="164"/>
      <c r="B753" s="45"/>
      <c r="C753" s="83"/>
      <c r="D753" s="83"/>
      <c r="E753" s="83"/>
      <c r="F753" s="165"/>
      <c r="G753" s="165"/>
      <c r="H753" s="52"/>
      <c r="I753" s="170"/>
      <c r="J753" s="171"/>
      <c r="K753" s="170"/>
      <c r="L753" s="171"/>
      <c r="M753" s="170"/>
      <c r="N753" s="171"/>
      <c r="O753" s="83"/>
      <c r="P753" s="83"/>
    </row>
    <row r="754">
      <c r="A754" s="164"/>
      <c r="B754" s="45"/>
      <c r="C754" s="83"/>
      <c r="D754" s="83"/>
      <c r="E754" s="83"/>
      <c r="F754" s="165"/>
      <c r="G754" s="165"/>
      <c r="H754" s="52"/>
      <c r="I754" s="170"/>
      <c r="J754" s="171"/>
      <c r="K754" s="170"/>
      <c r="L754" s="171"/>
      <c r="M754" s="170"/>
      <c r="N754" s="171"/>
      <c r="O754" s="83"/>
      <c r="P754" s="83"/>
    </row>
    <row r="755">
      <c r="A755" s="164"/>
      <c r="B755" s="45"/>
      <c r="C755" s="83"/>
      <c r="D755" s="83"/>
      <c r="E755" s="83"/>
      <c r="F755" s="165"/>
      <c r="G755" s="165"/>
      <c r="H755" s="52"/>
      <c r="I755" s="170"/>
      <c r="J755" s="171"/>
      <c r="K755" s="170"/>
      <c r="L755" s="171"/>
      <c r="M755" s="170"/>
      <c r="N755" s="171"/>
      <c r="O755" s="83"/>
      <c r="P755" s="83"/>
    </row>
    <row r="756">
      <c r="A756" s="164"/>
      <c r="B756" s="45"/>
      <c r="C756" s="83"/>
      <c r="D756" s="83"/>
      <c r="E756" s="83"/>
      <c r="F756" s="165"/>
      <c r="G756" s="165"/>
      <c r="H756" s="52"/>
      <c r="I756" s="170"/>
      <c r="J756" s="171"/>
      <c r="K756" s="170"/>
      <c r="L756" s="171"/>
      <c r="M756" s="170"/>
      <c r="N756" s="171"/>
      <c r="O756" s="83"/>
      <c r="P756" s="83"/>
    </row>
    <row r="757">
      <c r="A757" s="164"/>
      <c r="B757" s="45"/>
      <c r="C757" s="83"/>
      <c r="D757" s="83"/>
      <c r="E757" s="83"/>
      <c r="F757" s="165"/>
      <c r="G757" s="165"/>
      <c r="H757" s="52"/>
      <c r="I757" s="170"/>
      <c r="J757" s="171"/>
      <c r="K757" s="170"/>
      <c r="L757" s="171"/>
      <c r="M757" s="170"/>
      <c r="N757" s="171"/>
      <c r="O757" s="83"/>
      <c r="P757" s="83"/>
    </row>
    <row r="758">
      <c r="A758" s="164"/>
      <c r="B758" s="45"/>
      <c r="C758" s="83"/>
      <c r="D758" s="83"/>
      <c r="E758" s="83"/>
      <c r="F758" s="165"/>
      <c r="G758" s="165"/>
      <c r="H758" s="52"/>
      <c r="I758" s="170"/>
      <c r="J758" s="171"/>
      <c r="K758" s="170"/>
      <c r="L758" s="171"/>
      <c r="M758" s="170"/>
      <c r="N758" s="171"/>
      <c r="O758" s="83"/>
      <c r="P758" s="83"/>
    </row>
    <row r="759">
      <c r="A759" s="164"/>
      <c r="B759" s="45"/>
      <c r="C759" s="83"/>
      <c r="D759" s="83"/>
      <c r="E759" s="83"/>
      <c r="F759" s="165"/>
      <c r="G759" s="165"/>
      <c r="H759" s="52"/>
      <c r="I759" s="170"/>
      <c r="J759" s="171"/>
      <c r="K759" s="170"/>
      <c r="L759" s="171"/>
      <c r="M759" s="170"/>
      <c r="N759" s="171"/>
      <c r="O759" s="83"/>
      <c r="P759" s="83"/>
    </row>
    <row r="760">
      <c r="A760" s="164"/>
      <c r="B760" s="45"/>
      <c r="C760" s="83"/>
      <c r="D760" s="83"/>
      <c r="E760" s="83"/>
      <c r="F760" s="165"/>
      <c r="G760" s="165"/>
      <c r="H760" s="52"/>
      <c r="I760" s="170"/>
      <c r="J760" s="171"/>
      <c r="K760" s="170"/>
      <c r="L760" s="171"/>
      <c r="M760" s="170"/>
      <c r="N760" s="171"/>
      <c r="O760" s="83"/>
      <c r="P760" s="83"/>
    </row>
    <row r="761">
      <c r="A761" s="164"/>
      <c r="B761" s="45"/>
      <c r="C761" s="83"/>
      <c r="D761" s="83"/>
      <c r="E761" s="83"/>
      <c r="F761" s="165"/>
      <c r="G761" s="165"/>
      <c r="H761" s="52"/>
      <c r="I761" s="170"/>
      <c r="J761" s="171"/>
      <c r="K761" s="170"/>
      <c r="L761" s="171"/>
      <c r="M761" s="170"/>
      <c r="N761" s="171"/>
      <c r="O761" s="83"/>
      <c r="P761" s="83"/>
    </row>
    <row r="762">
      <c r="A762" s="164"/>
      <c r="B762" s="45"/>
      <c r="C762" s="83"/>
      <c r="D762" s="83"/>
      <c r="E762" s="83"/>
      <c r="F762" s="165"/>
      <c r="G762" s="165"/>
      <c r="H762" s="52"/>
      <c r="I762" s="170"/>
      <c r="J762" s="171"/>
      <c r="K762" s="170"/>
      <c r="L762" s="171"/>
      <c r="M762" s="170"/>
      <c r="N762" s="171"/>
      <c r="O762" s="83"/>
      <c r="P762" s="83"/>
    </row>
    <row r="763">
      <c r="A763" s="164"/>
      <c r="B763" s="45"/>
      <c r="C763" s="83"/>
      <c r="D763" s="83"/>
      <c r="E763" s="83"/>
      <c r="F763" s="165"/>
      <c r="G763" s="165"/>
      <c r="H763" s="52"/>
      <c r="I763" s="170"/>
      <c r="J763" s="171"/>
      <c r="K763" s="170"/>
      <c r="L763" s="171"/>
      <c r="M763" s="170"/>
      <c r="N763" s="171"/>
      <c r="O763" s="83"/>
      <c r="P763" s="83"/>
    </row>
    <row r="764">
      <c r="A764" s="164"/>
      <c r="B764" s="45"/>
      <c r="C764" s="83"/>
      <c r="D764" s="83"/>
      <c r="E764" s="83"/>
      <c r="F764" s="165"/>
      <c r="G764" s="165"/>
      <c r="H764" s="52"/>
      <c r="I764" s="170"/>
      <c r="J764" s="171"/>
      <c r="K764" s="170"/>
      <c r="L764" s="171"/>
      <c r="M764" s="170"/>
      <c r="N764" s="171"/>
      <c r="O764" s="83"/>
      <c r="P764" s="83"/>
    </row>
    <row r="765">
      <c r="A765" s="164"/>
      <c r="B765" s="45"/>
      <c r="C765" s="83"/>
      <c r="D765" s="83"/>
      <c r="E765" s="83"/>
      <c r="F765" s="165"/>
      <c r="G765" s="165"/>
      <c r="H765" s="52"/>
      <c r="I765" s="170"/>
      <c r="J765" s="171"/>
      <c r="K765" s="170"/>
      <c r="L765" s="171"/>
      <c r="M765" s="170"/>
      <c r="N765" s="171"/>
      <c r="O765" s="83"/>
      <c r="P765" s="83"/>
    </row>
    <row r="766">
      <c r="A766" s="164"/>
      <c r="B766" s="45"/>
      <c r="C766" s="83"/>
      <c r="D766" s="83"/>
      <c r="E766" s="83"/>
      <c r="F766" s="165"/>
      <c r="G766" s="165"/>
      <c r="H766" s="52"/>
      <c r="I766" s="170"/>
      <c r="J766" s="171"/>
      <c r="K766" s="170"/>
      <c r="L766" s="171"/>
      <c r="M766" s="170"/>
      <c r="N766" s="171"/>
      <c r="O766" s="83"/>
      <c r="P766" s="83"/>
    </row>
    <row r="767">
      <c r="A767" s="164"/>
      <c r="B767" s="45"/>
      <c r="C767" s="83"/>
      <c r="D767" s="83"/>
      <c r="E767" s="83"/>
      <c r="F767" s="165"/>
      <c r="G767" s="165"/>
      <c r="H767" s="52"/>
      <c r="I767" s="170"/>
      <c r="J767" s="171"/>
      <c r="K767" s="170"/>
      <c r="L767" s="171"/>
      <c r="M767" s="170"/>
      <c r="N767" s="171"/>
      <c r="O767" s="83"/>
      <c r="P767" s="83"/>
    </row>
    <row r="768">
      <c r="A768" s="164"/>
      <c r="B768" s="45"/>
      <c r="C768" s="83"/>
      <c r="D768" s="83"/>
      <c r="E768" s="83"/>
      <c r="F768" s="165"/>
      <c r="G768" s="165"/>
      <c r="H768" s="52"/>
      <c r="I768" s="170"/>
      <c r="J768" s="171"/>
      <c r="K768" s="170"/>
      <c r="L768" s="171"/>
      <c r="M768" s="170"/>
      <c r="N768" s="171"/>
      <c r="O768" s="83"/>
      <c r="P768" s="83"/>
    </row>
    <row r="769">
      <c r="A769" s="164"/>
      <c r="B769" s="45"/>
      <c r="C769" s="83"/>
      <c r="D769" s="83"/>
      <c r="E769" s="83"/>
      <c r="F769" s="165"/>
      <c r="G769" s="165"/>
      <c r="H769" s="52"/>
      <c r="I769" s="170"/>
      <c r="J769" s="171"/>
      <c r="K769" s="170"/>
      <c r="L769" s="171"/>
      <c r="M769" s="170"/>
      <c r="N769" s="171"/>
      <c r="O769" s="83"/>
      <c r="P769" s="83"/>
    </row>
    <row r="770">
      <c r="A770" s="164"/>
      <c r="B770" s="45"/>
      <c r="C770" s="83"/>
      <c r="D770" s="83"/>
      <c r="E770" s="83"/>
      <c r="F770" s="165"/>
      <c r="G770" s="165"/>
      <c r="H770" s="52"/>
      <c r="I770" s="170"/>
      <c r="J770" s="171"/>
      <c r="K770" s="170"/>
      <c r="L770" s="171"/>
      <c r="M770" s="170"/>
      <c r="N770" s="171"/>
      <c r="O770" s="83"/>
      <c r="P770" s="83"/>
    </row>
    <row r="771">
      <c r="A771" s="164"/>
      <c r="B771" s="45"/>
      <c r="C771" s="83"/>
      <c r="D771" s="83"/>
      <c r="E771" s="83"/>
      <c r="F771" s="165"/>
      <c r="G771" s="165"/>
      <c r="H771" s="52"/>
      <c r="I771" s="170"/>
      <c r="J771" s="171"/>
      <c r="K771" s="170"/>
      <c r="L771" s="171"/>
      <c r="M771" s="170"/>
      <c r="N771" s="171"/>
      <c r="O771" s="83"/>
      <c r="P771" s="83"/>
    </row>
    <row r="772">
      <c r="A772" s="164"/>
      <c r="B772" s="45"/>
      <c r="C772" s="83"/>
      <c r="D772" s="83"/>
      <c r="E772" s="83"/>
      <c r="F772" s="165"/>
      <c r="G772" s="165"/>
      <c r="H772" s="52"/>
      <c r="I772" s="170"/>
      <c r="J772" s="171"/>
      <c r="K772" s="170"/>
      <c r="L772" s="171"/>
      <c r="M772" s="170"/>
      <c r="N772" s="171"/>
      <c r="O772" s="83"/>
      <c r="P772" s="83"/>
    </row>
    <row r="773">
      <c r="A773" s="164"/>
      <c r="B773" s="45"/>
      <c r="C773" s="83"/>
      <c r="D773" s="83"/>
      <c r="E773" s="83"/>
      <c r="F773" s="165"/>
      <c r="G773" s="165"/>
      <c r="H773" s="52"/>
      <c r="I773" s="170"/>
      <c r="J773" s="171"/>
      <c r="K773" s="170"/>
      <c r="L773" s="171"/>
      <c r="M773" s="170"/>
      <c r="N773" s="171"/>
      <c r="O773" s="83"/>
      <c r="P773" s="83"/>
    </row>
    <row r="774">
      <c r="A774" s="164"/>
      <c r="B774" s="45"/>
      <c r="C774" s="83"/>
      <c r="D774" s="83"/>
      <c r="E774" s="83"/>
      <c r="F774" s="165"/>
      <c r="G774" s="165"/>
      <c r="H774" s="52"/>
      <c r="I774" s="170"/>
      <c r="J774" s="171"/>
      <c r="K774" s="170"/>
      <c r="L774" s="171"/>
      <c r="M774" s="170"/>
      <c r="N774" s="171"/>
      <c r="O774" s="83"/>
      <c r="P774" s="83"/>
    </row>
    <row r="775">
      <c r="A775" s="164"/>
      <c r="B775" s="45"/>
      <c r="C775" s="83"/>
      <c r="D775" s="83"/>
      <c r="E775" s="83"/>
      <c r="F775" s="165"/>
      <c r="G775" s="165"/>
      <c r="H775" s="52"/>
      <c r="I775" s="170"/>
      <c r="J775" s="171"/>
      <c r="K775" s="170"/>
      <c r="L775" s="171"/>
      <c r="M775" s="170"/>
      <c r="N775" s="171"/>
      <c r="O775" s="83"/>
      <c r="P775" s="83"/>
    </row>
    <row r="776">
      <c r="A776" s="164"/>
      <c r="B776" s="45"/>
      <c r="C776" s="83"/>
      <c r="D776" s="83"/>
      <c r="E776" s="83"/>
      <c r="F776" s="165"/>
      <c r="G776" s="165"/>
      <c r="H776" s="52"/>
      <c r="I776" s="170"/>
      <c r="J776" s="171"/>
      <c r="K776" s="170"/>
      <c r="L776" s="171"/>
      <c r="M776" s="170"/>
      <c r="N776" s="171"/>
      <c r="O776" s="83"/>
      <c r="P776" s="83"/>
    </row>
    <row r="777">
      <c r="A777" s="164"/>
      <c r="B777" s="45"/>
      <c r="C777" s="83"/>
      <c r="D777" s="83"/>
      <c r="E777" s="83"/>
      <c r="F777" s="165"/>
      <c r="G777" s="165"/>
      <c r="H777" s="52"/>
      <c r="I777" s="170"/>
      <c r="J777" s="171"/>
      <c r="K777" s="170"/>
      <c r="L777" s="171"/>
      <c r="M777" s="170"/>
      <c r="N777" s="171"/>
      <c r="O777" s="83"/>
      <c r="P777" s="83"/>
    </row>
    <row r="778">
      <c r="A778" s="164"/>
      <c r="B778" s="45"/>
      <c r="C778" s="83"/>
      <c r="D778" s="83"/>
      <c r="E778" s="83"/>
      <c r="F778" s="165"/>
      <c r="G778" s="165"/>
      <c r="H778" s="52"/>
      <c r="I778" s="170"/>
      <c r="J778" s="171"/>
      <c r="K778" s="170"/>
      <c r="L778" s="171"/>
      <c r="M778" s="170"/>
      <c r="N778" s="171"/>
      <c r="O778" s="83"/>
      <c r="P778" s="83"/>
    </row>
    <row r="779">
      <c r="A779" s="164"/>
      <c r="B779" s="45"/>
      <c r="C779" s="83"/>
      <c r="D779" s="83"/>
      <c r="E779" s="83"/>
      <c r="F779" s="165"/>
      <c r="G779" s="165"/>
      <c r="H779" s="52"/>
      <c r="I779" s="170"/>
      <c r="J779" s="171"/>
      <c r="K779" s="170"/>
      <c r="L779" s="171"/>
      <c r="M779" s="170"/>
      <c r="N779" s="171"/>
      <c r="O779" s="83"/>
      <c r="P779" s="83"/>
    </row>
    <row r="780">
      <c r="A780" s="164"/>
      <c r="B780" s="45"/>
      <c r="C780" s="83"/>
      <c r="D780" s="83"/>
      <c r="E780" s="83"/>
      <c r="F780" s="165"/>
      <c r="G780" s="165"/>
      <c r="H780" s="52"/>
      <c r="I780" s="170"/>
      <c r="J780" s="171"/>
      <c r="K780" s="170"/>
      <c r="L780" s="171"/>
      <c r="M780" s="170"/>
      <c r="N780" s="171"/>
      <c r="O780" s="83"/>
      <c r="P780" s="83"/>
    </row>
    <row r="781">
      <c r="A781" s="164"/>
      <c r="B781" s="45"/>
      <c r="C781" s="83"/>
      <c r="D781" s="83"/>
      <c r="E781" s="83"/>
      <c r="F781" s="165"/>
      <c r="G781" s="165"/>
      <c r="H781" s="52"/>
      <c r="I781" s="170"/>
      <c r="J781" s="171"/>
      <c r="K781" s="170"/>
      <c r="L781" s="171"/>
      <c r="M781" s="170"/>
      <c r="N781" s="171"/>
      <c r="O781" s="83"/>
      <c r="P781" s="83"/>
    </row>
    <row r="782">
      <c r="A782" s="164"/>
      <c r="B782" s="45"/>
      <c r="C782" s="83"/>
      <c r="D782" s="83"/>
      <c r="E782" s="83"/>
      <c r="F782" s="165"/>
      <c r="G782" s="165"/>
      <c r="H782" s="52"/>
      <c r="I782" s="170"/>
      <c r="J782" s="171"/>
      <c r="K782" s="170"/>
      <c r="L782" s="171"/>
      <c r="M782" s="170"/>
      <c r="N782" s="171"/>
      <c r="O782" s="83"/>
      <c r="P782" s="83"/>
    </row>
    <row r="783">
      <c r="A783" s="164"/>
      <c r="B783" s="45"/>
      <c r="C783" s="83"/>
      <c r="D783" s="83"/>
      <c r="E783" s="83"/>
      <c r="F783" s="165"/>
      <c r="G783" s="165"/>
      <c r="H783" s="52"/>
      <c r="I783" s="170"/>
      <c r="J783" s="171"/>
      <c r="K783" s="170"/>
      <c r="L783" s="171"/>
      <c r="M783" s="170"/>
      <c r="N783" s="171"/>
      <c r="O783" s="83"/>
      <c r="P783" s="83"/>
    </row>
    <row r="784">
      <c r="A784" s="164"/>
      <c r="B784" s="45"/>
      <c r="C784" s="83"/>
      <c r="D784" s="83"/>
      <c r="E784" s="83"/>
      <c r="F784" s="165"/>
      <c r="G784" s="165"/>
      <c r="H784" s="52"/>
      <c r="I784" s="170"/>
      <c r="J784" s="171"/>
      <c r="K784" s="170"/>
      <c r="L784" s="171"/>
      <c r="M784" s="170"/>
      <c r="N784" s="171"/>
      <c r="O784" s="83"/>
      <c r="P784" s="83"/>
    </row>
    <row r="785">
      <c r="A785" s="164"/>
      <c r="B785" s="45"/>
      <c r="C785" s="83"/>
      <c r="D785" s="83"/>
      <c r="E785" s="83"/>
      <c r="F785" s="165"/>
      <c r="G785" s="165"/>
      <c r="H785" s="52"/>
      <c r="I785" s="170"/>
      <c r="J785" s="171"/>
      <c r="K785" s="170"/>
      <c r="L785" s="171"/>
      <c r="M785" s="170"/>
      <c r="N785" s="171"/>
      <c r="O785" s="83"/>
      <c r="P785" s="83"/>
    </row>
    <row r="786">
      <c r="A786" s="164"/>
      <c r="B786" s="45"/>
      <c r="C786" s="83"/>
      <c r="D786" s="83"/>
      <c r="E786" s="83"/>
      <c r="F786" s="165"/>
      <c r="G786" s="165"/>
      <c r="H786" s="52"/>
      <c r="I786" s="170"/>
      <c r="J786" s="171"/>
      <c r="K786" s="170"/>
      <c r="L786" s="171"/>
      <c r="M786" s="170"/>
      <c r="N786" s="171"/>
      <c r="O786" s="83"/>
      <c r="P786" s="83"/>
    </row>
    <row r="787">
      <c r="A787" s="164"/>
      <c r="B787" s="45"/>
      <c r="C787" s="83"/>
      <c r="D787" s="83"/>
      <c r="E787" s="83"/>
      <c r="F787" s="165"/>
      <c r="G787" s="165"/>
      <c r="H787" s="52"/>
      <c r="I787" s="170"/>
      <c r="J787" s="171"/>
      <c r="K787" s="170"/>
      <c r="L787" s="171"/>
      <c r="M787" s="170"/>
      <c r="N787" s="171"/>
      <c r="O787" s="83"/>
      <c r="P787" s="83"/>
    </row>
    <row r="788">
      <c r="A788" s="164"/>
      <c r="B788" s="45"/>
      <c r="C788" s="83"/>
      <c r="D788" s="83"/>
      <c r="E788" s="83"/>
      <c r="F788" s="165"/>
      <c r="G788" s="165"/>
      <c r="H788" s="52"/>
      <c r="I788" s="170"/>
      <c r="J788" s="171"/>
      <c r="K788" s="170"/>
      <c r="L788" s="171"/>
      <c r="M788" s="170"/>
      <c r="N788" s="171"/>
      <c r="O788" s="83"/>
      <c r="P788" s="83"/>
    </row>
    <row r="789">
      <c r="A789" s="164"/>
      <c r="B789" s="45"/>
      <c r="C789" s="83"/>
      <c r="D789" s="83"/>
      <c r="E789" s="83"/>
      <c r="F789" s="165"/>
      <c r="G789" s="165"/>
      <c r="H789" s="52"/>
      <c r="I789" s="170"/>
      <c r="J789" s="171"/>
      <c r="K789" s="170"/>
      <c r="L789" s="171"/>
      <c r="M789" s="170"/>
      <c r="N789" s="171"/>
      <c r="O789" s="83"/>
      <c r="P789" s="83"/>
    </row>
    <row r="790">
      <c r="A790" s="164"/>
      <c r="B790" s="45"/>
      <c r="C790" s="83"/>
      <c r="D790" s="83"/>
      <c r="E790" s="83"/>
      <c r="F790" s="165"/>
      <c r="G790" s="165"/>
      <c r="H790" s="52"/>
      <c r="I790" s="170"/>
      <c r="J790" s="171"/>
      <c r="K790" s="170"/>
      <c r="L790" s="171"/>
      <c r="M790" s="170"/>
      <c r="N790" s="171"/>
      <c r="O790" s="83"/>
      <c r="P790" s="83"/>
    </row>
    <row r="791">
      <c r="A791" s="164"/>
      <c r="B791" s="45"/>
      <c r="C791" s="83"/>
      <c r="D791" s="83"/>
      <c r="E791" s="83"/>
      <c r="F791" s="165"/>
      <c r="G791" s="165"/>
      <c r="H791" s="52"/>
      <c r="I791" s="170"/>
      <c r="J791" s="171"/>
      <c r="K791" s="170"/>
      <c r="L791" s="171"/>
      <c r="M791" s="170"/>
      <c r="N791" s="171"/>
      <c r="O791" s="83"/>
      <c r="P791" s="83"/>
    </row>
    <row r="792">
      <c r="A792" s="164"/>
      <c r="B792" s="45"/>
      <c r="C792" s="83"/>
      <c r="D792" s="83"/>
      <c r="E792" s="83"/>
      <c r="F792" s="165"/>
      <c r="G792" s="165"/>
      <c r="H792" s="52"/>
      <c r="I792" s="170"/>
      <c r="J792" s="171"/>
      <c r="K792" s="170"/>
      <c r="L792" s="171"/>
      <c r="M792" s="170"/>
      <c r="N792" s="171"/>
      <c r="O792" s="83"/>
      <c r="P792" s="83"/>
    </row>
    <row r="793">
      <c r="A793" s="164"/>
      <c r="B793" s="45"/>
      <c r="C793" s="83"/>
      <c r="D793" s="83"/>
      <c r="E793" s="83"/>
      <c r="F793" s="165"/>
      <c r="G793" s="165"/>
      <c r="H793" s="52"/>
      <c r="I793" s="170"/>
      <c r="J793" s="171"/>
      <c r="K793" s="170"/>
      <c r="L793" s="171"/>
      <c r="M793" s="170"/>
      <c r="N793" s="171"/>
      <c r="O793" s="83"/>
      <c r="P793" s="83"/>
    </row>
    <row r="794">
      <c r="A794" s="164"/>
      <c r="B794" s="45"/>
      <c r="C794" s="83"/>
      <c r="D794" s="83"/>
      <c r="E794" s="83"/>
      <c r="F794" s="165"/>
      <c r="G794" s="165"/>
      <c r="H794" s="52"/>
      <c r="I794" s="170"/>
      <c r="J794" s="171"/>
      <c r="K794" s="170"/>
      <c r="L794" s="171"/>
      <c r="M794" s="170"/>
      <c r="N794" s="171"/>
      <c r="O794" s="83"/>
      <c r="P794" s="83"/>
    </row>
    <row r="795">
      <c r="A795" s="164"/>
      <c r="B795" s="45"/>
      <c r="C795" s="83"/>
      <c r="D795" s="83"/>
      <c r="E795" s="83"/>
      <c r="F795" s="165"/>
      <c r="G795" s="165"/>
      <c r="H795" s="52"/>
      <c r="I795" s="170"/>
      <c r="J795" s="171"/>
      <c r="K795" s="170"/>
      <c r="L795" s="171"/>
      <c r="M795" s="170"/>
      <c r="N795" s="171"/>
      <c r="O795" s="83"/>
      <c r="P795" s="83"/>
    </row>
    <row r="796">
      <c r="A796" s="164"/>
      <c r="B796" s="45"/>
      <c r="C796" s="83"/>
      <c r="D796" s="83"/>
      <c r="E796" s="83"/>
      <c r="F796" s="165"/>
      <c r="G796" s="165"/>
      <c r="H796" s="52"/>
      <c r="I796" s="170"/>
      <c r="J796" s="171"/>
      <c r="K796" s="170"/>
      <c r="L796" s="171"/>
      <c r="M796" s="170"/>
      <c r="N796" s="171"/>
      <c r="O796" s="83"/>
      <c r="P796" s="83"/>
    </row>
    <row r="797">
      <c r="A797" s="164"/>
      <c r="B797" s="45"/>
      <c r="C797" s="83"/>
      <c r="D797" s="83"/>
      <c r="E797" s="83"/>
      <c r="F797" s="165"/>
      <c r="G797" s="165"/>
      <c r="H797" s="52"/>
      <c r="I797" s="170"/>
      <c r="J797" s="171"/>
      <c r="K797" s="170"/>
      <c r="L797" s="171"/>
      <c r="M797" s="170"/>
      <c r="N797" s="171"/>
      <c r="O797" s="83"/>
      <c r="P797" s="83"/>
    </row>
    <row r="798">
      <c r="A798" s="164"/>
      <c r="B798" s="45"/>
      <c r="C798" s="83"/>
      <c r="D798" s="83"/>
      <c r="E798" s="83"/>
      <c r="F798" s="165"/>
      <c r="G798" s="165"/>
      <c r="H798" s="52"/>
      <c r="I798" s="170"/>
      <c r="J798" s="171"/>
      <c r="K798" s="170"/>
      <c r="L798" s="171"/>
      <c r="M798" s="170"/>
      <c r="N798" s="171"/>
      <c r="O798" s="83"/>
      <c r="P798" s="83"/>
    </row>
    <row r="799">
      <c r="A799" s="164"/>
      <c r="B799" s="45"/>
      <c r="C799" s="83"/>
      <c r="D799" s="83"/>
      <c r="E799" s="83"/>
      <c r="F799" s="165"/>
      <c r="G799" s="165"/>
      <c r="H799" s="52"/>
      <c r="I799" s="170"/>
      <c r="J799" s="171"/>
      <c r="K799" s="170"/>
      <c r="L799" s="171"/>
      <c r="M799" s="170"/>
      <c r="N799" s="171"/>
      <c r="O799" s="83"/>
      <c r="P799" s="83"/>
    </row>
    <row r="800">
      <c r="A800" s="164"/>
      <c r="B800" s="45"/>
      <c r="C800" s="83"/>
      <c r="D800" s="83"/>
      <c r="E800" s="83"/>
      <c r="F800" s="165"/>
      <c r="G800" s="165"/>
      <c r="H800" s="52"/>
      <c r="I800" s="170"/>
      <c r="J800" s="171"/>
      <c r="K800" s="170"/>
      <c r="L800" s="171"/>
      <c r="M800" s="170"/>
      <c r="N800" s="171"/>
      <c r="O800" s="83"/>
      <c r="P800" s="83"/>
    </row>
    <row r="801">
      <c r="A801" s="164"/>
      <c r="B801" s="45"/>
      <c r="C801" s="83"/>
      <c r="D801" s="83"/>
      <c r="E801" s="83"/>
      <c r="F801" s="165"/>
      <c r="G801" s="165"/>
      <c r="H801" s="52"/>
      <c r="I801" s="170"/>
      <c r="J801" s="171"/>
      <c r="K801" s="170"/>
      <c r="L801" s="171"/>
      <c r="M801" s="170"/>
      <c r="N801" s="171"/>
      <c r="O801" s="83"/>
      <c r="P801" s="83"/>
    </row>
    <row r="802">
      <c r="A802" s="164"/>
      <c r="B802" s="45"/>
      <c r="C802" s="83"/>
      <c r="D802" s="83"/>
      <c r="E802" s="83"/>
      <c r="F802" s="165"/>
      <c r="G802" s="165"/>
      <c r="H802" s="52"/>
      <c r="I802" s="170"/>
      <c r="J802" s="171"/>
      <c r="K802" s="170"/>
      <c r="L802" s="171"/>
      <c r="M802" s="170"/>
      <c r="N802" s="171"/>
      <c r="O802" s="83"/>
      <c r="P802" s="83"/>
    </row>
    <row r="803">
      <c r="A803" s="164"/>
      <c r="B803" s="45"/>
      <c r="C803" s="83"/>
      <c r="D803" s="83"/>
      <c r="E803" s="83"/>
      <c r="F803" s="165"/>
      <c r="G803" s="165"/>
      <c r="H803" s="52"/>
      <c r="I803" s="170"/>
      <c r="J803" s="171"/>
      <c r="K803" s="170"/>
      <c r="L803" s="171"/>
      <c r="M803" s="170"/>
      <c r="N803" s="171"/>
      <c r="O803" s="83"/>
      <c r="P803" s="83"/>
    </row>
    <row r="804">
      <c r="A804" s="164"/>
      <c r="B804" s="45"/>
      <c r="C804" s="83"/>
      <c r="D804" s="83"/>
      <c r="E804" s="83"/>
      <c r="F804" s="165"/>
      <c r="G804" s="165"/>
      <c r="H804" s="52"/>
      <c r="I804" s="170"/>
      <c r="J804" s="171"/>
      <c r="K804" s="170"/>
      <c r="L804" s="171"/>
      <c r="M804" s="170"/>
      <c r="N804" s="171"/>
      <c r="O804" s="83"/>
      <c r="P804" s="83"/>
    </row>
    <row r="805">
      <c r="A805" s="164"/>
      <c r="B805" s="45"/>
      <c r="C805" s="83"/>
      <c r="D805" s="83"/>
      <c r="E805" s="83"/>
      <c r="F805" s="165"/>
      <c r="G805" s="165"/>
      <c r="H805" s="52"/>
      <c r="I805" s="170"/>
      <c r="J805" s="171"/>
      <c r="K805" s="170"/>
      <c r="L805" s="171"/>
      <c r="M805" s="170"/>
      <c r="N805" s="171"/>
      <c r="O805" s="83"/>
      <c r="P805" s="83"/>
    </row>
    <row r="806">
      <c r="A806" s="164"/>
      <c r="B806" s="45"/>
      <c r="C806" s="83"/>
      <c r="D806" s="83"/>
      <c r="E806" s="83"/>
      <c r="F806" s="165"/>
      <c r="G806" s="165"/>
      <c r="H806" s="52"/>
      <c r="I806" s="170"/>
      <c r="J806" s="171"/>
      <c r="K806" s="170"/>
      <c r="L806" s="171"/>
      <c r="M806" s="170"/>
      <c r="N806" s="171"/>
      <c r="O806" s="83"/>
      <c r="P806" s="83"/>
    </row>
    <row r="807">
      <c r="A807" s="164"/>
      <c r="B807" s="45"/>
      <c r="C807" s="83"/>
      <c r="D807" s="83"/>
      <c r="E807" s="83"/>
      <c r="F807" s="165"/>
      <c r="G807" s="165"/>
      <c r="H807" s="52"/>
      <c r="I807" s="170"/>
      <c r="J807" s="171"/>
      <c r="K807" s="170"/>
      <c r="L807" s="171"/>
      <c r="M807" s="170"/>
      <c r="N807" s="171"/>
      <c r="O807" s="83"/>
      <c r="P807" s="83"/>
    </row>
    <row r="808">
      <c r="A808" s="164"/>
      <c r="B808" s="45"/>
      <c r="C808" s="83"/>
      <c r="D808" s="83"/>
      <c r="E808" s="83"/>
      <c r="F808" s="165"/>
      <c r="G808" s="165"/>
      <c r="H808" s="52"/>
      <c r="I808" s="170"/>
      <c r="J808" s="171"/>
      <c r="K808" s="170"/>
      <c r="L808" s="171"/>
      <c r="M808" s="170"/>
      <c r="N808" s="171"/>
      <c r="O808" s="83"/>
      <c r="P808" s="83"/>
    </row>
    <row r="809">
      <c r="A809" s="164"/>
      <c r="B809" s="45"/>
      <c r="C809" s="83"/>
      <c r="D809" s="83"/>
      <c r="E809" s="83"/>
      <c r="F809" s="165"/>
      <c r="G809" s="165"/>
      <c r="H809" s="52"/>
      <c r="I809" s="170"/>
      <c r="J809" s="171"/>
      <c r="K809" s="170"/>
      <c r="L809" s="171"/>
      <c r="M809" s="170"/>
      <c r="N809" s="171"/>
      <c r="O809" s="83"/>
      <c r="P809" s="83"/>
    </row>
    <row r="810">
      <c r="A810" s="164"/>
      <c r="B810" s="45"/>
      <c r="C810" s="83"/>
      <c r="D810" s="83"/>
      <c r="E810" s="83"/>
      <c r="F810" s="165"/>
      <c r="G810" s="165"/>
      <c r="H810" s="52"/>
      <c r="I810" s="170"/>
      <c r="J810" s="171"/>
      <c r="K810" s="170"/>
      <c r="L810" s="171"/>
      <c r="M810" s="170"/>
      <c r="N810" s="171"/>
      <c r="O810" s="83"/>
      <c r="P810" s="83"/>
    </row>
    <row r="811">
      <c r="A811" s="164"/>
      <c r="B811" s="45"/>
      <c r="C811" s="83"/>
      <c r="D811" s="83"/>
      <c r="E811" s="83"/>
      <c r="F811" s="165"/>
      <c r="G811" s="165"/>
      <c r="H811" s="52"/>
      <c r="I811" s="170"/>
      <c r="J811" s="171"/>
      <c r="K811" s="170"/>
      <c r="L811" s="171"/>
      <c r="M811" s="170"/>
      <c r="N811" s="171"/>
      <c r="O811" s="83"/>
      <c r="P811" s="83"/>
    </row>
    <row r="812">
      <c r="A812" s="164"/>
      <c r="B812" s="45"/>
      <c r="C812" s="83"/>
      <c r="D812" s="83"/>
      <c r="E812" s="83"/>
      <c r="F812" s="165"/>
      <c r="G812" s="165"/>
      <c r="H812" s="52"/>
      <c r="I812" s="170"/>
      <c r="J812" s="171"/>
      <c r="K812" s="170"/>
      <c r="L812" s="171"/>
      <c r="M812" s="170"/>
      <c r="N812" s="171"/>
      <c r="O812" s="83"/>
      <c r="P812" s="83"/>
    </row>
    <row r="813">
      <c r="A813" s="164"/>
      <c r="B813" s="45"/>
      <c r="C813" s="83"/>
      <c r="D813" s="83"/>
      <c r="E813" s="83"/>
      <c r="F813" s="165"/>
      <c r="G813" s="165"/>
      <c r="H813" s="52"/>
      <c r="I813" s="170"/>
      <c r="J813" s="171"/>
      <c r="K813" s="170"/>
      <c r="L813" s="171"/>
      <c r="M813" s="170"/>
      <c r="N813" s="171"/>
      <c r="O813" s="83"/>
      <c r="P813" s="83"/>
    </row>
    <row r="814">
      <c r="A814" s="164"/>
      <c r="B814" s="45"/>
      <c r="C814" s="83"/>
      <c r="D814" s="83"/>
      <c r="E814" s="83"/>
      <c r="F814" s="165"/>
      <c r="G814" s="165"/>
      <c r="H814" s="52"/>
      <c r="I814" s="170"/>
      <c r="J814" s="171"/>
      <c r="K814" s="170"/>
      <c r="L814" s="171"/>
      <c r="M814" s="170"/>
      <c r="N814" s="171"/>
      <c r="O814" s="83"/>
      <c r="P814" s="83"/>
    </row>
    <row r="815">
      <c r="A815" s="164"/>
      <c r="B815" s="45"/>
      <c r="C815" s="83"/>
      <c r="D815" s="83"/>
      <c r="E815" s="83"/>
      <c r="F815" s="165"/>
      <c r="G815" s="165"/>
      <c r="H815" s="52"/>
      <c r="I815" s="170"/>
      <c r="J815" s="171"/>
      <c r="K815" s="170"/>
      <c r="L815" s="171"/>
      <c r="M815" s="170"/>
      <c r="N815" s="171"/>
      <c r="O815" s="83"/>
      <c r="P815" s="83"/>
    </row>
    <row r="816">
      <c r="A816" s="164"/>
      <c r="B816" s="45"/>
      <c r="C816" s="83"/>
      <c r="D816" s="83"/>
      <c r="E816" s="83"/>
      <c r="F816" s="165"/>
      <c r="G816" s="165"/>
      <c r="H816" s="52"/>
      <c r="I816" s="170"/>
      <c r="J816" s="171"/>
      <c r="K816" s="170"/>
      <c r="L816" s="171"/>
      <c r="M816" s="170"/>
      <c r="N816" s="171"/>
      <c r="O816" s="83"/>
      <c r="P816" s="83"/>
    </row>
    <row r="817">
      <c r="A817" s="164"/>
      <c r="B817" s="45"/>
      <c r="C817" s="83"/>
      <c r="D817" s="83"/>
      <c r="E817" s="83"/>
      <c r="F817" s="165"/>
      <c r="G817" s="165"/>
      <c r="H817" s="52"/>
      <c r="I817" s="170"/>
      <c r="J817" s="171"/>
      <c r="K817" s="170"/>
      <c r="L817" s="171"/>
      <c r="M817" s="170"/>
      <c r="N817" s="171"/>
      <c r="O817" s="83"/>
      <c r="P817" s="83"/>
    </row>
    <row r="818">
      <c r="A818" s="164"/>
      <c r="B818" s="45"/>
      <c r="C818" s="83"/>
      <c r="D818" s="83"/>
      <c r="E818" s="83"/>
      <c r="F818" s="165"/>
      <c r="G818" s="165"/>
      <c r="H818" s="52"/>
      <c r="I818" s="170"/>
      <c r="J818" s="171"/>
      <c r="K818" s="170"/>
      <c r="L818" s="171"/>
      <c r="M818" s="170"/>
      <c r="N818" s="171"/>
      <c r="O818" s="83"/>
      <c r="P818" s="83"/>
    </row>
    <row r="819">
      <c r="A819" s="164"/>
      <c r="B819" s="45"/>
      <c r="C819" s="83"/>
      <c r="D819" s="83"/>
      <c r="E819" s="83"/>
      <c r="F819" s="165"/>
      <c r="G819" s="165"/>
      <c r="H819" s="52"/>
      <c r="I819" s="170"/>
      <c r="J819" s="171"/>
      <c r="K819" s="170"/>
      <c r="L819" s="171"/>
      <c r="M819" s="170"/>
      <c r="N819" s="171"/>
      <c r="O819" s="83"/>
      <c r="P819" s="83"/>
    </row>
    <row r="820">
      <c r="A820" s="164"/>
      <c r="B820" s="45"/>
      <c r="C820" s="83"/>
      <c r="D820" s="83"/>
      <c r="E820" s="83"/>
      <c r="F820" s="165"/>
      <c r="G820" s="165"/>
      <c r="H820" s="52"/>
      <c r="I820" s="170"/>
      <c r="J820" s="171"/>
      <c r="K820" s="170"/>
      <c r="L820" s="171"/>
      <c r="M820" s="170"/>
      <c r="N820" s="171"/>
      <c r="O820" s="83"/>
      <c r="P820" s="83"/>
    </row>
    <row r="821">
      <c r="A821" s="164"/>
      <c r="B821" s="45"/>
      <c r="C821" s="83"/>
      <c r="D821" s="83"/>
      <c r="E821" s="83"/>
      <c r="F821" s="165"/>
      <c r="G821" s="165"/>
      <c r="H821" s="52"/>
      <c r="I821" s="170"/>
      <c r="J821" s="171"/>
      <c r="K821" s="170"/>
      <c r="L821" s="171"/>
      <c r="M821" s="170"/>
      <c r="N821" s="171"/>
      <c r="O821" s="83"/>
      <c r="P821" s="83"/>
    </row>
    <row r="822">
      <c r="A822" s="164"/>
      <c r="B822" s="45"/>
      <c r="C822" s="83"/>
      <c r="D822" s="83"/>
      <c r="E822" s="83"/>
      <c r="F822" s="165"/>
      <c r="G822" s="165"/>
      <c r="H822" s="52"/>
      <c r="I822" s="170"/>
      <c r="J822" s="171"/>
      <c r="K822" s="170"/>
      <c r="L822" s="171"/>
      <c r="M822" s="170"/>
      <c r="N822" s="171"/>
      <c r="O822" s="83"/>
      <c r="P822" s="83"/>
    </row>
    <row r="823">
      <c r="A823" s="164"/>
      <c r="B823" s="45"/>
      <c r="C823" s="83"/>
      <c r="D823" s="83"/>
      <c r="E823" s="83"/>
      <c r="F823" s="165"/>
      <c r="G823" s="165"/>
      <c r="H823" s="52"/>
      <c r="I823" s="170"/>
      <c r="J823" s="171"/>
      <c r="K823" s="170"/>
      <c r="L823" s="171"/>
      <c r="M823" s="170"/>
      <c r="N823" s="171"/>
      <c r="O823" s="83"/>
      <c r="P823" s="83"/>
    </row>
    <row r="824">
      <c r="A824" s="164"/>
      <c r="B824" s="45"/>
      <c r="C824" s="83"/>
      <c r="D824" s="83"/>
      <c r="E824" s="83"/>
      <c r="F824" s="165"/>
      <c r="G824" s="165"/>
      <c r="H824" s="52"/>
      <c r="I824" s="170"/>
      <c r="J824" s="171"/>
      <c r="K824" s="170"/>
      <c r="L824" s="171"/>
      <c r="M824" s="170"/>
      <c r="N824" s="171"/>
      <c r="O824" s="83"/>
      <c r="P824" s="83"/>
    </row>
    <row r="825">
      <c r="A825" s="164"/>
      <c r="B825" s="45"/>
      <c r="C825" s="83"/>
      <c r="D825" s="83"/>
      <c r="E825" s="83"/>
      <c r="F825" s="165"/>
      <c r="G825" s="165"/>
      <c r="H825" s="52"/>
      <c r="I825" s="170"/>
      <c r="J825" s="171"/>
      <c r="K825" s="170"/>
      <c r="L825" s="171"/>
      <c r="M825" s="170"/>
      <c r="N825" s="171"/>
      <c r="O825" s="83"/>
      <c r="P825" s="83"/>
    </row>
    <row r="826">
      <c r="A826" s="164"/>
      <c r="B826" s="45"/>
      <c r="C826" s="83"/>
      <c r="D826" s="83"/>
      <c r="E826" s="83"/>
      <c r="F826" s="165"/>
      <c r="G826" s="165"/>
      <c r="H826" s="52"/>
      <c r="I826" s="170"/>
      <c r="J826" s="171"/>
      <c r="K826" s="170"/>
      <c r="L826" s="171"/>
      <c r="M826" s="170"/>
      <c r="N826" s="171"/>
      <c r="O826" s="83"/>
      <c r="P826" s="83"/>
    </row>
    <row r="827">
      <c r="A827" s="164"/>
      <c r="B827" s="45"/>
      <c r="C827" s="83"/>
      <c r="D827" s="83"/>
      <c r="E827" s="83"/>
      <c r="F827" s="165"/>
      <c r="G827" s="165"/>
      <c r="H827" s="52"/>
      <c r="I827" s="170"/>
      <c r="J827" s="171"/>
      <c r="K827" s="170"/>
      <c r="L827" s="171"/>
      <c r="M827" s="170"/>
      <c r="N827" s="171"/>
      <c r="O827" s="83"/>
      <c r="P827" s="83"/>
    </row>
    <row r="828">
      <c r="A828" s="164"/>
      <c r="B828" s="45"/>
      <c r="C828" s="83"/>
      <c r="D828" s="83"/>
      <c r="E828" s="83"/>
      <c r="F828" s="165"/>
      <c r="G828" s="165"/>
      <c r="H828" s="52"/>
      <c r="I828" s="170"/>
      <c r="J828" s="171"/>
      <c r="K828" s="170"/>
      <c r="L828" s="171"/>
      <c r="M828" s="170"/>
      <c r="N828" s="171"/>
      <c r="O828" s="83"/>
      <c r="P828" s="83"/>
    </row>
    <row r="829">
      <c r="A829" s="164"/>
      <c r="B829" s="45"/>
      <c r="C829" s="83"/>
      <c r="D829" s="83"/>
      <c r="E829" s="83"/>
      <c r="F829" s="165"/>
      <c r="G829" s="165"/>
      <c r="H829" s="52"/>
      <c r="I829" s="170"/>
      <c r="J829" s="171"/>
      <c r="K829" s="170"/>
      <c r="L829" s="171"/>
      <c r="M829" s="170"/>
      <c r="N829" s="171"/>
      <c r="O829" s="83"/>
      <c r="P829" s="83"/>
    </row>
    <row r="830">
      <c r="A830" s="164"/>
      <c r="B830" s="45"/>
      <c r="C830" s="83"/>
      <c r="D830" s="83"/>
      <c r="E830" s="83"/>
      <c r="F830" s="165"/>
      <c r="G830" s="165"/>
      <c r="H830" s="52"/>
      <c r="I830" s="170"/>
      <c r="J830" s="171"/>
      <c r="K830" s="170"/>
      <c r="L830" s="171"/>
      <c r="M830" s="170"/>
      <c r="N830" s="171"/>
      <c r="O830" s="83"/>
      <c r="P830" s="83"/>
    </row>
    <row r="831">
      <c r="A831" s="164"/>
      <c r="B831" s="45"/>
      <c r="C831" s="83"/>
      <c r="D831" s="83"/>
      <c r="E831" s="83"/>
      <c r="F831" s="165"/>
      <c r="G831" s="165"/>
      <c r="H831" s="52"/>
      <c r="I831" s="170"/>
      <c r="J831" s="171"/>
      <c r="K831" s="170"/>
      <c r="L831" s="171"/>
      <c r="M831" s="170"/>
      <c r="N831" s="171"/>
      <c r="O831" s="83"/>
      <c r="P831" s="83"/>
    </row>
    <row r="832">
      <c r="A832" s="164"/>
      <c r="B832" s="45"/>
      <c r="C832" s="83"/>
      <c r="D832" s="83"/>
      <c r="E832" s="83"/>
      <c r="F832" s="165"/>
      <c r="G832" s="165"/>
      <c r="H832" s="52"/>
      <c r="I832" s="170"/>
      <c r="J832" s="171"/>
      <c r="K832" s="170"/>
      <c r="L832" s="171"/>
      <c r="M832" s="170"/>
      <c r="N832" s="171"/>
      <c r="O832" s="83"/>
      <c r="P832" s="83"/>
    </row>
    <row r="833">
      <c r="A833" s="164"/>
      <c r="B833" s="45"/>
      <c r="C833" s="83"/>
      <c r="D833" s="83"/>
      <c r="E833" s="83"/>
      <c r="F833" s="165"/>
      <c r="G833" s="165"/>
      <c r="H833" s="52"/>
      <c r="I833" s="170"/>
      <c r="J833" s="171"/>
      <c r="K833" s="170"/>
      <c r="L833" s="171"/>
      <c r="M833" s="170"/>
      <c r="N833" s="171"/>
      <c r="O833" s="83"/>
      <c r="P833" s="83"/>
    </row>
    <row r="834">
      <c r="A834" s="164"/>
      <c r="B834" s="45"/>
      <c r="C834" s="83"/>
      <c r="D834" s="83"/>
      <c r="E834" s="83"/>
      <c r="F834" s="165"/>
      <c r="G834" s="165"/>
      <c r="H834" s="52"/>
      <c r="I834" s="170"/>
      <c r="J834" s="171"/>
      <c r="K834" s="170"/>
      <c r="L834" s="171"/>
      <c r="M834" s="170"/>
      <c r="N834" s="171"/>
      <c r="O834" s="83"/>
      <c r="P834" s="83"/>
    </row>
    <row r="835">
      <c r="A835" s="164"/>
      <c r="B835" s="45"/>
      <c r="C835" s="83"/>
      <c r="D835" s="83"/>
      <c r="E835" s="83"/>
      <c r="F835" s="165"/>
      <c r="G835" s="165"/>
      <c r="H835" s="52"/>
      <c r="I835" s="170"/>
      <c r="J835" s="171"/>
      <c r="K835" s="170"/>
      <c r="L835" s="171"/>
      <c r="M835" s="170"/>
      <c r="N835" s="171"/>
      <c r="O835" s="83"/>
      <c r="P835" s="83"/>
    </row>
    <row r="836">
      <c r="A836" s="164"/>
      <c r="B836" s="45"/>
      <c r="C836" s="83"/>
      <c r="D836" s="83"/>
      <c r="E836" s="83"/>
      <c r="F836" s="165"/>
      <c r="G836" s="165"/>
      <c r="H836" s="52"/>
      <c r="I836" s="170"/>
      <c r="J836" s="171"/>
      <c r="K836" s="170"/>
      <c r="L836" s="171"/>
      <c r="M836" s="170"/>
      <c r="N836" s="171"/>
      <c r="O836" s="83"/>
      <c r="P836" s="83"/>
    </row>
    <row r="837">
      <c r="A837" s="164"/>
      <c r="B837" s="45"/>
      <c r="C837" s="83"/>
      <c r="D837" s="83"/>
      <c r="E837" s="83"/>
      <c r="F837" s="165"/>
      <c r="G837" s="165"/>
      <c r="H837" s="52"/>
      <c r="I837" s="170"/>
      <c r="J837" s="171"/>
      <c r="K837" s="170"/>
      <c r="L837" s="171"/>
      <c r="M837" s="170"/>
      <c r="N837" s="171"/>
      <c r="O837" s="83"/>
      <c r="P837" s="83"/>
    </row>
    <row r="838">
      <c r="A838" s="164"/>
      <c r="B838" s="45"/>
      <c r="C838" s="83"/>
      <c r="D838" s="83"/>
      <c r="E838" s="83"/>
      <c r="F838" s="165"/>
      <c r="G838" s="165"/>
      <c r="H838" s="52"/>
      <c r="I838" s="170"/>
      <c r="J838" s="171"/>
      <c r="K838" s="170"/>
      <c r="L838" s="171"/>
      <c r="M838" s="170"/>
      <c r="N838" s="171"/>
      <c r="O838" s="83"/>
      <c r="P838" s="83"/>
    </row>
    <row r="839">
      <c r="A839" s="164"/>
      <c r="B839" s="45"/>
      <c r="C839" s="83"/>
      <c r="D839" s="83"/>
      <c r="E839" s="83"/>
      <c r="F839" s="165"/>
      <c r="G839" s="165"/>
      <c r="H839" s="52"/>
      <c r="I839" s="170"/>
      <c r="J839" s="171"/>
      <c r="K839" s="170"/>
      <c r="L839" s="171"/>
      <c r="M839" s="170"/>
      <c r="N839" s="171"/>
      <c r="O839" s="83"/>
      <c r="P839" s="83"/>
    </row>
    <row r="840">
      <c r="A840" s="164"/>
      <c r="B840" s="45"/>
      <c r="C840" s="83"/>
      <c r="D840" s="83"/>
      <c r="E840" s="83"/>
      <c r="F840" s="165"/>
      <c r="G840" s="165"/>
      <c r="H840" s="52"/>
      <c r="I840" s="170"/>
      <c r="J840" s="171"/>
      <c r="K840" s="170"/>
      <c r="L840" s="171"/>
      <c r="M840" s="170"/>
      <c r="N840" s="171"/>
      <c r="O840" s="83"/>
      <c r="P840" s="83"/>
    </row>
    <row r="841">
      <c r="A841" s="164"/>
      <c r="B841" s="45"/>
      <c r="C841" s="83"/>
      <c r="D841" s="83"/>
      <c r="E841" s="83"/>
      <c r="F841" s="165"/>
      <c r="G841" s="165"/>
      <c r="H841" s="52"/>
      <c r="I841" s="170"/>
      <c r="J841" s="171"/>
      <c r="K841" s="170"/>
      <c r="L841" s="171"/>
      <c r="M841" s="170"/>
      <c r="N841" s="171"/>
      <c r="O841" s="83"/>
      <c r="P841" s="83"/>
    </row>
    <row r="842">
      <c r="A842" s="164"/>
      <c r="B842" s="45"/>
      <c r="C842" s="83"/>
      <c r="D842" s="83"/>
      <c r="E842" s="83"/>
      <c r="F842" s="165"/>
      <c r="G842" s="165"/>
      <c r="H842" s="52"/>
      <c r="I842" s="170"/>
      <c r="J842" s="171"/>
      <c r="K842" s="170"/>
      <c r="L842" s="171"/>
      <c r="M842" s="170"/>
      <c r="N842" s="171"/>
      <c r="O842" s="83"/>
      <c r="P842" s="83"/>
    </row>
    <row r="843">
      <c r="A843" s="164"/>
      <c r="B843" s="45"/>
      <c r="C843" s="83"/>
      <c r="D843" s="83"/>
      <c r="E843" s="83"/>
      <c r="F843" s="165"/>
      <c r="G843" s="165"/>
      <c r="H843" s="52"/>
      <c r="I843" s="170"/>
      <c r="J843" s="171"/>
      <c r="K843" s="170"/>
      <c r="L843" s="171"/>
      <c r="M843" s="170"/>
      <c r="N843" s="171"/>
      <c r="O843" s="83"/>
      <c r="P843" s="83"/>
    </row>
    <row r="844">
      <c r="A844" s="164"/>
      <c r="B844" s="45"/>
      <c r="C844" s="83"/>
      <c r="D844" s="83"/>
      <c r="E844" s="83"/>
      <c r="F844" s="165"/>
      <c r="G844" s="165"/>
      <c r="H844" s="52"/>
      <c r="I844" s="170"/>
      <c r="J844" s="171"/>
      <c r="K844" s="170"/>
      <c r="L844" s="171"/>
      <c r="M844" s="170"/>
      <c r="N844" s="171"/>
      <c r="O844" s="83"/>
      <c r="P844" s="83"/>
    </row>
    <row r="845">
      <c r="A845" s="164"/>
      <c r="B845" s="45"/>
      <c r="C845" s="83"/>
      <c r="D845" s="83"/>
      <c r="E845" s="83"/>
      <c r="F845" s="165"/>
      <c r="G845" s="165"/>
      <c r="H845" s="52"/>
      <c r="I845" s="170"/>
      <c r="J845" s="171"/>
      <c r="K845" s="170"/>
      <c r="L845" s="171"/>
      <c r="M845" s="170"/>
      <c r="N845" s="171"/>
      <c r="O845" s="83"/>
      <c r="P845" s="83"/>
    </row>
    <row r="846">
      <c r="A846" s="164"/>
      <c r="B846" s="45"/>
      <c r="C846" s="83"/>
      <c r="D846" s="83"/>
      <c r="E846" s="83"/>
      <c r="F846" s="165"/>
      <c r="G846" s="165"/>
      <c r="H846" s="52"/>
      <c r="I846" s="170"/>
      <c r="J846" s="171"/>
      <c r="K846" s="170"/>
      <c r="L846" s="171"/>
      <c r="M846" s="170"/>
      <c r="N846" s="171"/>
      <c r="O846" s="83"/>
      <c r="P846" s="83"/>
    </row>
    <row r="847">
      <c r="A847" s="164"/>
      <c r="B847" s="45"/>
      <c r="C847" s="83"/>
      <c r="D847" s="83"/>
      <c r="E847" s="83"/>
      <c r="F847" s="165"/>
      <c r="G847" s="165"/>
      <c r="H847" s="52"/>
      <c r="I847" s="170"/>
      <c r="J847" s="171"/>
      <c r="K847" s="170"/>
      <c r="L847" s="171"/>
      <c r="M847" s="170"/>
      <c r="N847" s="171"/>
      <c r="O847" s="83"/>
      <c r="P847" s="83"/>
    </row>
    <row r="848">
      <c r="A848" s="164"/>
      <c r="B848" s="45"/>
      <c r="C848" s="83"/>
      <c r="D848" s="83"/>
      <c r="E848" s="83"/>
      <c r="F848" s="165"/>
      <c r="G848" s="165"/>
      <c r="H848" s="52"/>
      <c r="I848" s="170"/>
      <c r="J848" s="171"/>
      <c r="K848" s="170"/>
      <c r="L848" s="171"/>
      <c r="M848" s="170"/>
      <c r="N848" s="171"/>
      <c r="O848" s="83"/>
      <c r="P848" s="83"/>
    </row>
    <row r="849">
      <c r="A849" s="164"/>
      <c r="B849" s="45"/>
      <c r="C849" s="83"/>
      <c r="D849" s="83"/>
      <c r="E849" s="83"/>
      <c r="F849" s="165"/>
      <c r="G849" s="165"/>
      <c r="H849" s="52"/>
      <c r="I849" s="170"/>
      <c r="J849" s="171"/>
      <c r="K849" s="170"/>
      <c r="L849" s="171"/>
      <c r="M849" s="170"/>
      <c r="N849" s="171"/>
      <c r="O849" s="83"/>
      <c r="P849" s="83"/>
    </row>
    <row r="850">
      <c r="A850" s="164"/>
      <c r="B850" s="45"/>
      <c r="C850" s="83"/>
      <c r="D850" s="83"/>
      <c r="E850" s="83"/>
      <c r="F850" s="165"/>
      <c r="G850" s="165"/>
      <c r="H850" s="52"/>
      <c r="I850" s="170"/>
      <c r="J850" s="171"/>
      <c r="K850" s="170"/>
      <c r="L850" s="171"/>
      <c r="M850" s="170"/>
      <c r="N850" s="171"/>
      <c r="O850" s="83"/>
      <c r="P850" s="83"/>
    </row>
    <row r="851">
      <c r="A851" s="164"/>
      <c r="B851" s="45"/>
      <c r="C851" s="83"/>
      <c r="D851" s="83"/>
      <c r="E851" s="83"/>
      <c r="F851" s="165"/>
      <c r="G851" s="165"/>
      <c r="H851" s="52"/>
      <c r="I851" s="170"/>
      <c r="J851" s="171"/>
      <c r="K851" s="170"/>
      <c r="L851" s="171"/>
      <c r="M851" s="170"/>
      <c r="N851" s="171"/>
      <c r="O851" s="83"/>
      <c r="P851" s="83"/>
    </row>
    <row r="852">
      <c r="A852" s="164"/>
      <c r="B852" s="45"/>
      <c r="C852" s="83"/>
      <c r="D852" s="83"/>
      <c r="E852" s="83"/>
      <c r="F852" s="165"/>
      <c r="G852" s="165"/>
      <c r="H852" s="52"/>
      <c r="I852" s="170"/>
      <c r="J852" s="171"/>
      <c r="K852" s="170"/>
      <c r="L852" s="171"/>
      <c r="M852" s="170"/>
      <c r="N852" s="171"/>
      <c r="O852" s="83"/>
      <c r="P852" s="83"/>
    </row>
    <row r="853">
      <c r="A853" s="164"/>
      <c r="B853" s="45"/>
      <c r="C853" s="83"/>
      <c r="D853" s="83"/>
      <c r="E853" s="83"/>
      <c r="F853" s="165"/>
      <c r="G853" s="165"/>
      <c r="H853" s="52"/>
      <c r="I853" s="170"/>
      <c r="J853" s="171"/>
      <c r="K853" s="170"/>
      <c r="L853" s="171"/>
      <c r="M853" s="170"/>
      <c r="N853" s="171"/>
      <c r="O853" s="83"/>
      <c r="P853" s="83"/>
    </row>
    <row r="854">
      <c r="A854" s="164"/>
      <c r="B854" s="45"/>
      <c r="C854" s="83"/>
      <c r="D854" s="83"/>
      <c r="E854" s="83"/>
      <c r="F854" s="165"/>
      <c r="G854" s="165"/>
      <c r="H854" s="52"/>
      <c r="I854" s="170"/>
      <c r="J854" s="171"/>
      <c r="K854" s="170"/>
      <c r="L854" s="171"/>
      <c r="M854" s="170"/>
      <c r="N854" s="171"/>
      <c r="O854" s="83"/>
      <c r="P854" s="83"/>
    </row>
    <row r="855">
      <c r="A855" s="164"/>
      <c r="B855" s="45"/>
      <c r="C855" s="83"/>
      <c r="D855" s="83"/>
      <c r="E855" s="83"/>
      <c r="F855" s="165"/>
      <c r="G855" s="165"/>
      <c r="H855" s="52"/>
      <c r="I855" s="170"/>
      <c r="J855" s="171"/>
      <c r="K855" s="170"/>
      <c r="L855" s="171"/>
      <c r="M855" s="170"/>
      <c r="N855" s="171"/>
      <c r="O855" s="83"/>
      <c r="P855" s="83"/>
    </row>
    <row r="856">
      <c r="A856" s="164"/>
      <c r="B856" s="45"/>
      <c r="C856" s="83"/>
      <c r="D856" s="83"/>
      <c r="E856" s="83"/>
      <c r="F856" s="165"/>
      <c r="G856" s="165"/>
      <c r="H856" s="52"/>
      <c r="I856" s="170"/>
      <c r="J856" s="171"/>
      <c r="K856" s="170"/>
      <c r="L856" s="171"/>
      <c r="M856" s="170"/>
      <c r="N856" s="171"/>
      <c r="O856" s="83"/>
      <c r="P856" s="83"/>
    </row>
    <row r="857">
      <c r="A857" s="164"/>
      <c r="B857" s="45"/>
      <c r="C857" s="83"/>
      <c r="D857" s="83"/>
      <c r="E857" s="83"/>
      <c r="F857" s="165"/>
      <c r="G857" s="165"/>
      <c r="H857" s="52"/>
      <c r="I857" s="170"/>
      <c r="J857" s="171"/>
      <c r="K857" s="170"/>
      <c r="L857" s="171"/>
      <c r="M857" s="170"/>
      <c r="N857" s="171"/>
      <c r="O857" s="83"/>
      <c r="P857" s="83"/>
    </row>
    <row r="858">
      <c r="A858" s="164"/>
      <c r="B858" s="45"/>
      <c r="C858" s="83"/>
      <c r="D858" s="83"/>
      <c r="E858" s="83"/>
      <c r="F858" s="165"/>
      <c r="G858" s="165"/>
      <c r="H858" s="52"/>
      <c r="I858" s="170"/>
      <c r="J858" s="171"/>
      <c r="K858" s="170"/>
      <c r="L858" s="171"/>
      <c r="M858" s="170"/>
      <c r="N858" s="171"/>
      <c r="O858" s="83"/>
      <c r="P858" s="83"/>
    </row>
    <row r="859">
      <c r="A859" s="164"/>
      <c r="B859" s="45"/>
      <c r="C859" s="83"/>
      <c r="D859" s="83"/>
      <c r="E859" s="83"/>
      <c r="F859" s="165"/>
      <c r="G859" s="165"/>
      <c r="H859" s="52"/>
      <c r="I859" s="170"/>
      <c r="J859" s="171"/>
      <c r="K859" s="170"/>
      <c r="L859" s="171"/>
      <c r="M859" s="170"/>
      <c r="N859" s="171"/>
      <c r="O859" s="83"/>
      <c r="P859" s="83"/>
    </row>
    <row r="860">
      <c r="A860" s="164"/>
      <c r="B860" s="45"/>
      <c r="C860" s="83"/>
      <c r="D860" s="83"/>
      <c r="E860" s="83"/>
      <c r="F860" s="165"/>
      <c r="G860" s="165"/>
      <c r="H860" s="52"/>
      <c r="I860" s="170"/>
      <c r="J860" s="171"/>
      <c r="K860" s="170"/>
      <c r="L860" s="171"/>
      <c r="M860" s="170"/>
      <c r="N860" s="171"/>
      <c r="O860" s="83"/>
      <c r="P860" s="83"/>
    </row>
    <row r="861">
      <c r="A861" s="164"/>
      <c r="B861" s="45"/>
      <c r="C861" s="83"/>
      <c r="D861" s="83"/>
      <c r="E861" s="83"/>
      <c r="F861" s="165"/>
      <c r="G861" s="165"/>
      <c r="H861" s="52"/>
      <c r="I861" s="170"/>
      <c r="J861" s="171"/>
      <c r="K861" s="170"/>
      <c r="L861" s="171"/>
      <c r="M861" s="170"/>
      <c r="N861" s="171"/>
      <c r="O861" s="83"/>
      <c r="P861" s="83"/>
    </row>
    <row r="862">
      <c r="A862" s="164"/>
      <c r="B862" s="45"/>
      <c r="C862" s="83"/>
      <c r="D862" s="83"/>
      <c r="E862" s="83"/>
      <c r="F862" s="165"/>
      <c r="G862" s="165"/>
      <c r="H862" s="52"/>
      <c r="I862" s="170"/>
      <c r="J862" s="171"/>
      <c r="K862" s="170"/>
      <c r="L862" s="171"/>
      <c r="M862" s="170"/>
      <c r="N862" s="171"/>
      <c r="O862" s="83"/>
      <c r="P862" s="83"/>
    </row>
    <row r="863">
      <c r="A863" s="164"/>
      <c r="B863" s="45"/>
      <c r="C863" s="83"/>
      <c r="D863" s="83"/>
      <c r="E863" s="83"/>
      <c r="F863" s="165"/>
      <c r="G863" s="165"/>
      <c r="H863" s="52"/>
      <c r="I863" s="170"/>
      <c r="J863" s="171"/>
      <c r="K863" s="170"/>
      <c r="L863" s="171"/>
      <c r="M863" s="170"/>
      <c r="N863" s="171"/>
      <c r="O863" s="83"/>
      <c r="P863" s="83"/>
    </row>
    <row r="864">
      <c r="A864" s="164"/>
      <c r="B864" s="45"/>
      <c r="C864" s="83"/>
      <c r="D864" s="83"/>
      <c r="E864" s="83"/>
      <c r="F864" s="165"/>
      <c r="G864" s="165"/>
      <c r="H864" s="52"/>
      <c r="I864" s="170"/>
      <c r="J864" s="171"/>
      <c r="K864" s="170"/>
      <c r="L864" s="171"/>
      <c r="M864" s="170"/>
      <c r="N864" s="171"/>
      <c r="O864" s="83"/>
      <c r="P864" s="83"/>
    </row>
    <row r="865">
      <c r="A865" s="164"/>
      <c r="B865" s="45"/>
      <c r="C865" s="83"/>
      <c r="D865" s="83"/>
      <c r="E865" s="83"/>
      <c r="F865" s="165"/>
      <c r="G865" s="165"/>
      <c r="H865" s="52"/>
      <c r="I865" s="170"/>
      <c r="J865" s="171"/>
      <c r="K865" s="170"/>
      <c r="L865" s="171"/>
      <c r="M865" s="170"/>
      <c r="N865" s="171"/>
      <c r="O865" s="83"/>
      <c r="P865" s="83"/>
    </row>
    <row r="866">
      <c r="A866" s="164"/>
      <c r="B866" s="45"/>
      <c r="C866" s="83"/>
      <c r="D866" s="83"/>
      <c r="E866" s="83"/>
      <c r="F866" s="165"/>
      <c r="G866" s="165"/>
      <c r="H866" s="52"/>
      <c r="I866" s="170"/>
      <c r="J866" s="171"/>
      <c r="K866" s="170"/>
      <c r="L866" s="171"/>
      <c r="M866" s="170"/>
      <c r="N866" s="171"/>
      <c r="O866" s="83"/>
      <c r="P866" s="83"/>
    </row>
    <row r="867">
      <c r="A867" s="164"/>
      <c r="B867" s="45"/>
      <c r="C867" s="83"/>
      <c r="D867" s="83"/>
      <c r="E867" s="83"/>
      <c r="F867" s="165"/>
      <c r="G867" s="165"/>
      <c r="H867" s="52"/>
      <c r="I867" s="170"/>
      <c r="J867" s="171"/>
      <c r="K867" s="170"/>
      <c r="L867" s="171"/>
      <c r="M867" s="170"/>
      <c r="N867" s="171"/>
      <c r="O867" s="83"/>
      <c r="P867" s="83"/>
    </row>
    <row r="868">
      <c r="A868" s="164"/>
      <c r="B868" s="45"/>
      <c r="C868" s="83"/>
      <c r="D868" s="83"/>
      <c r="E868" s="83"/>
      <c r="F868" s="165"/>
      <c r="G868" s="165"/>
      <c r="H868" s="52"/>
      <c r="I868" s="170"/>
      <c r="J868" s="171"/>
      <c r="K868" s="170"/>
      <c r="L868" s="171"/>
      <c r="M868" s="170"/>
      <c r="N868" s="171"/>
      <c r="O868" s="83"/>
      <c r="P868" s="83"/>
    </row>
    <row r="869">
      <c r="A869" s="164"/>
      <c r="B869" s="45"/>
      <c r="C869" s="83"/>
      <c r="D869" s="83"/>
      <c r="E869" s="83"/>
      <c r="F869" s="165"/>
      <c r="G869" s="165"/>
      <c r="H869" s="52"/>
      <c r="I869" s="170"/>
      <c r="J869" s="171"/>
      <c r="K869" s="170"/>
      <c r="L869" s="171"/>
      <c r="M869" s="170"/>
      <c r="N869" s="171"/>
      <c r="O869" s="83"/>
      <c r="P869" s="83"/>
    </row>
    <row r="870">
      <c r="A870" s="164"/>
      <c r="B870" s="45"/>
      <c r="C870" s="83"/>
      <c r="D870" s="83"/>
      <c r="E870" s="83"/>
      <c r="F870" s="165"/>
      <c r="G870" s="165"/>
      <c r="H870" s="52"/>
      <c r="I870" s="170"/>
      <c r="J870" s="171"/>
      <c r="K870" s="170"/>
      <c r="L870" s="171"/>
      <c r="M870" s="170"/>
      <c r="N870" s="171"/>
      <c r="O870" s="83"/>
      <c r="P870" s="83"/>
    </row>
    <row r="871">
      <c r="A871" s="164"/>
      <c r="B871" s="45"/>
      <c r="C871" s="83"/>
      <c r="D871" s="83"/>
      <c r="E871" s="83"/>
      <c r="F871" s="165"/>
      <c r="G871" s="165"/>
      <c r="H871" s="52"/>
      <c r="I871" s="170"/>
      <c r="J871" s="171"/>
      <c r="K871" s="170"/>
      <c r="L871" s="171"/>
      <c r="M871" s="170"/>
      <c r="N871" s="171"/>
      <c r="O871" s="83"/>
      <c r="P871" s="83"/>
    </row>
    <row r="872">
      <c r="A872" s="164"/>
      <c r="B872" s="45"/>
      <c r="C872" s="83"/>
      <c r="D872" s="83"/>
      <c r="E872" s="83"/>
      <c r="F872" s="165"/>
      <c r="G872" s="165"/>
      <c r="H872" s="52"/>
      <c r="I872" s="170"/>
      <c r="J872" s="171"/>
      <c r="K872" s="170"/>
      <c r="L872" s="171"/>
      <c r="M872" s="170"/>
      <c r="N872" s="171"/>
      <c r="O872" s="83"/>
      <c r="P872" s="83"/>
    </row>
    <row r="873">
      <c r="A873" s="164"/>
      <c r="B873" s="45"/>
      <c r="C873" s="83"/>
      <c r="D873" s="83"/>
      <c r="E873" s="83"/>
      <c r="F873" s="165"/>
      <c r="G873" s="165"/>
      <c r="H873" s="52"/>
      <c r="I873" s="170"/>
      <c r="J873" s="171"/>
      <c r="K873" s="170"/>
      <c r="L873" s="171"/>
      <c r="M873" s="170"/>
      <c r="N873" s="171"/>
      <c r="O873" s="83"/>
      <c r="P873" s="83"/>
    </row>
    <row r="874">
      <c r="A874" s="164"/>
      <c r="B874" s="45"/>
      <c r="C874" s="83"/>
      <c r="D874" s="83"/>
      <c r="E874" s="83"/>
      <c r="F874" s="165"/>
      <c r="G874" s="165"/>
      <c r="H874" s="52"/>
      <c r="I874" s="170"/>
      <c r="J874" s="171"/>
      <c r="K874" s="170"/>
      <c r="L874" s="171"/>
      <c r="M874" s="170"/>
      <c r="N874" s="171"/>
      <c r="O874" s="83"/>
      <c r="P874" s="83"/>
    </row>
    <row r="875">
      <c r="A875" s="164"/>
      <c r="B875" s="45"/>
      <c r="C875" s="83"/>
      <c r="D875" s="83"/>
      <c r="E875" s="83"/>
      <c r="F875" s="165"/>
      <c r="G875" s="165"/>
      <c r="H875" s="52"/>
      <c r="I875" s="170"/>
      <c r="J875" s="171"/>
      <c r="K875" s="170"/>
      <c r="L875" s="171"/>
      <c r="M875" s="170"/>
      <c r="N875" s="171"/>
      <c r="O875" s="83"/>
      <c r="P875" s="83"/>
    </row>
    <row r="876">
      <c r="A876" s="164"/>
      <c r="B876" s="45"/>
      <c r="C876" s="83"/>
      <c r="D876" s="83"/>
      <c r="E876" s="83"/>
      <c r="F876" s="165"/>
      <c r="G876" s="165"/>
      <c r="H876" s="52"/>
      <c r="I876" s="170"/>
      <c r="J876" s="171"/>
      <c r="K876" s="170"/>
      <c r="L876" s="171"/>
      <c r="M876" s="170"/>
      <c r="N876" s="171"/>
      <c r="O876" s="83"/>
      <c r="P876" s="83"/>
    </row>
    <row r="877">
      <c r="A877" s="164"/>
      <c r="B877" s="45"/>
      <c r="C877" s="83"/>
      <c r="D877" s="83"/>
      <c r="E877" s="83"/>
      <c r="F877" s="165"/>
      <c r="G877" s="165"/>
      <c r="H877" s="52"/>
      <c r="I877" s="170"/>
      <c r="J877" s="171"/>
      <c r="K877" s="170"/>
      <c r="L877" s="171"/>
      <c r="M877" s="170"/>
      <c r="N877" s="171"/>
      <c r="O877" s="83"/>
      <c r="P877" s="83"/>
    </row>
    <row r="878">
      <c r="A878" s="164"/>
      <c r="B878" s="45"/>
      <c r="C878" s="83"/>
      <c r="D878" s="83"/>
      <c r="E878" s="83"/>
      <c r="F878" s="165"/>
      <c r="G878" s="165"/>
      <c r="H878" s="52"/>
      <c r="I878" s="170"/>
      <c r="J878" s="171"/>
      <c r="K878" s="170"/>
      <c r="L878" s="171"/>
      <c r="M878" s="170"/>
      <c r="N878" s="171"/>
      <c r="O878" s="83"/>
      <c r="P878" s="83"/>
    </row>
    <row r="879">
      <c r="A879" s="164"/>
      <c r="B879" s="45"/>
      <c r="C879" s="83"/>
      <c r="D879" s="83"/>
      <c r="E879" s="83"/>
      <c r="F879" s="165"/>
      <c r="G879" s="165"/>
      <c r="H879" s="52"/>
      <c r="I879" s="170"/>
      <c r="J879" s="171"/>
      <c r="K879" s="170"/>
      <c r="L879" s="171"/>
      <c r="M879" s="170"/>
      <c r="N879" s="171"/>
      <c r="O879" s="83"/>
      <c r="P879" s="83"/>
    </row>
    <row r="880">
      <c r="A880" s="164"/>
      <c r="B880" s="45"/>
      <c r="C880" s="83"/>
      <c r="D880" s="83"/>
      <c r="E880" s="83"/>
      <c r="F880" s="165"/>
      <c r="G880" s="165"/>
      <c r="H880" s="52"/>
      <c r="I880" s="170"/>
      <c r="J880" s="171"/>
      <c r="K880" s="170"/>
      <c r="L880" s="171"/>
      <c r="M880" s="170"/>
      <c r="N880" s="171"/>
      <c r="O880" s="83"/>
      <c r="P880" s="83"/>
    </row>
    <row r="881">
      <c r="A881" s="164"/>
      <c r="B881" s="45"/>
      <c r="C881" s="83"/>
      <c r="D881" s="83"/>
      <c r="E881" s="83"/>
      <c r="F881" s="165"/>
      <c r="G881" s="165"/>
      <c r="H881" s="52"/>
      <c r="I881" s="170"/>
      <c r="J881" s="171"/>
      <c r="K881" s="170"/>
      <c r="L881" s="171"/>
      <c r="M881" s="170"/>
      <c r="N881" s="171"/>
      <c r="O881" s="83"/>
      <c r="P881" s="83"/>
    </row>
    <row r="882">
      <c r="A882" s="164"/>
      <c r="B882" s="45"/>
      <c r="C882" s="83"/>
      <c r="D882" s="83"/>
      <c r="E882" s="83"/>
      <c r="F882" s="165"/>
      <c r="G882" s="165"/>
      <c r="H882" s="52"/>
      <c r="I882" s="170"/>
      <c r="J882" s="171"/>
      <c r="K882" s="170"/>
      <c r="L882" s="171"/>
      <c r="M882" s="170"/>
      <c r="N882" s="171"/>
      <c r="O882" s="83"/>
      <c r="P882" s="83"/>
    </row>
    <row r="883">
      <c r="A883" s="164"/>
      <c r="B883" s="45"/>
      <c r="C883" s="83"/>
      <c r="D883" s="83"/>
      <c r="E883" s="83"/>
      <c r="F883" s="165"/>
      <c r="G883" s="165"/>
      <c r="H883" s="52"/>
      <c r="I883" s="170"/>
      <c r="J883" s="171"/>
      <c r="K883" s="170"/>
      <c r="L883" s="171"/>
      <c r="M883" s="170"/>
      <c r="N883" s="171"/>
      <c r="O883" s="83"/>
      <c r="P883" s="83"/>
    </row>
    <row r="884">
      <c r="A884" s="164"/>
      <c r="B884" s="45"/>
      <c r="C884" s="83"/>
      <c r="D884" s="83"/>
      <c r="E884" s="83"/>
      <c r="F884" s="165"/>
      <c r="G884" s="165"/>
      <c r="H884" s="52"/>
      <c r="I884" s="170"/>
      <c r="J884" s="171"/>
      <c r="K884" s="170"/>
      <c r="L884" s="171"/>
      <c r="M884" s="170"/>
      <c r="N884" s="171"/>
      <c r="O884" s="83"/>
      <c r="P884" s="83"/>
    </row>
    <row r="885">
      <c r="A885" s="164"/>
      <c r="B885" s="45"/>
      <c r="C885" s="83"/>
      <c r="D885" s="83"/>
      <c r="E885" s="83"/>
      <c r="F885" s="165"/>
      <c r="G885" s="165"/>
      <c r="H885" s="52"/>
      <c r="I885" s="170"/>
      <c r="J885" s="171"/>
      <c r="K885" s="170"/>
      <c r="L885" s="171"/>
      <c r="M885" s="170"/>
      <c r="N885" s="171"/>
      <c r="O885" s="83"/>
      <c r="P885" s="83"/>
    </row>
    <row r="886">
      <c r="A886" s="164"/>
      <c r="B886" s="45"/>
      <c r="C886" s="83"/>
      <c r="D886" s="83"/>
      <c r="E886" s="83"/>
      <c r="F886" s="165"/>
      <c r="G886" s="165"/>
      <c r="H886" s="52"/>
      <c r="I886" s="170"/>
      <c r="J886" s="171"/>
      <c r="K886" s="170"/>
      <c r="L886" s="171"/>
      <c r="M886" s="170"/>
      <c r="N886" s="171"/>
      <c r="O886" s="83"/>
      <c r="P886" s="83"/>
    </row>
    <row r="887">
      <c r="A887" s="164"/>
      <c r="B887" s="45"/>
      <c r="C887" s="83"/>
      <c r="D887" s="83"/>
      <c r="E887" s="83"/>
      <c r="F887" s="165"/>
      <c r="G887" s="165"/>
      <c r="H887" s="52"/>
      <c r="I887" s="170"/>
      <c r="J887" s="171"/>
      <c r="K887" s="170"/>
      <c r="L887" s="171"/>
      <c r="M887" s="170"/>
      <c r="N887" s="171"/>
      <c r="O887" s="83"/>
      <c r="P887" s="83"/>
    </row>
    <row r="888">
      <c r="A888" s="164"/>
      <c r="B888" s="45"/>
      <c r="C888" s="83"/>
      <c r="D888" s="83"/>
      <c r="E888" s="83"/>
      <c r="F888" s="165"/>
      <c r="G888" s="165"/>
      <c r="H888" s="52"/>
      <c r="I888" s="170"/>
      <c r="J888" s="171"/>
      <c r="K888" s="170"/>
      <c r="L888" s="171"/>
      <c r="M888" s="170"/>
      <c r="N888" s="171"/>
      <c r="O888" s="83"/>
      <c r="P888" s="83"/>
    </row>
    <row r="889">
      <c r="A889" s="164"/>
      <c r="B889" s="45"/>
      <c r="C889" s="83"/>
      <c r="D889" s="83"/>
      <c r="E889" s="83"/>
      <c r="F889" s="165"/>
      <c r="G889" s="165"/>
      <c r="H889" s="52"/>
      <c r="I889" s="170"/>
      <c r="J889" s="171"/>
      <c r="K889" s="170"/>
      <c r="L889" s="171"/>
      <c r="M889" s="170"/>
      <c r="N889" s="171"/>
      <c r="O889" s="83"/>
      <c r="P889" s="83"/>
    </row>
    <row r="890">
      <c r="A890" s="164"/>
      <c r="B890" s="45"/>
      <c r="C890" s="83"/>
      <c r="D890" s="83"/>
      <c r="E890" s="83"/>
      <c r="F890" s="165"/>
      <c r="G890" s="165"/>
      <c r="H890" s="52"/>
      <c r="I890" s="170"/>
      <c r="J890" s="171"/>
      <c r="K890" s="170"/>
      <c r="L890" s="171"/>
      <c r="M890" s="170"/>
      <c r="N890" s="171"/>
      <c r="O890" s="83"/>
      <c r="P890" s="83"/>
    </row>
    <row r="891">
      <c r="A891" s="164"/>
      <c r="B891" s="45"/>
      <c r="C891" s="83"/>
      <c r="D891" s="83"/>
      <c r="E891" s="83"/>
      <c r="F891" s="165"/>
      <c r="G891" s="165"/>
      <c r="H891" s="52"/>
      <c r="I891" s="170"/>
      <c r="J891" s="171"/>
      <c r="K891" s="170"/>
      <c r="L891" s="171"/>
      <c r="M891" s="170"/>
      <c r="N891" s="171"/>
      <c r="O891" s="83"/>
      <c r="P891" s="83"/>
    </row>
    <row r="892">
      <c r="A892" s="164"/>
      <c r="B892" s="45"/>
      <c r="C892" s="83"/>
      <c r="D892" s="83"/>
      <c r="E892" s="83"/>
      <c r="F892" s="165"/>
      <c r="G892" s="165"/>
      <c r="H892" s="52"/>
      <c r="I892" s="170"/>
      <c r="J892" s="171"/>
      <c r="K892" s="170"/>
      <c r="L892" s="171"/>
      <c r="M892" s="170"/>
      <c r="N892" s="171"/>
      <c r="O892" s="83"/>
      <c r="P892" s="83"/>
    </row>
    <row r="893">
      <c r="A893" s="164"/>
      <c r="B893" s="45"/>
      <c r="C893" s="83"/>
      <c r="D893" s="83"/>
      <c r="E893" s="83"/>
      <c r="F893" s="165"/>
      <c r="G893" s="165"/>
      <c r="H893" s="52"/>
      <c r="I893" s="170"/>
      <c r="J893" s="171"/>
      <c r="K893" s="170"/>
      <c r="L893" s="171"/>
      <c r="M893" s="170"/>
      <c r="N893" s="171"/>
      <c r="O893" s="83"/>
      <c r="P893" s="83"/>
    </row>
    <row r="894">
      <c r="A894" s="164"/>
      <c r="B894" s="45"/>
      <c r="C894" s="83"/>
      <c r="D894" s="83"/>
      <c r="E894" s="83"/>
      <c r="F894" s="165"/>
      <c r="G894" s="165"/>
      <c r="H894" s="52"/>
      <c r="I894" s="170"/>
      <c r="J894" s="171"/>
      <c r="K894" s="170"/>
      <c r="L894" s="171"/>
      <c r="M894" s="170"/>
      <c r="N894" s="171"/>
      <c r="O894" s="83"/>
      <c r="P894" s="83"/>
    </row>
    <row r="895">
      <c r="A895" s="164"/>
      <c r="B895" s="45"/>
      <c r="C895" s="83"/>
      <c r="D895" s="83"/>
      <c r="E895" s="83"/>
      <c r="F895" s="165"/>
      <c r="G895" s="165"/>
      <c r="H895" s="52"/>
      <c r="I895" s="170"/>
      <c r="J895" s="171"/>
      <c r="K895" s="170"/>
      <c r="L895" s="171"/>
      <c r="M895" s="170"/>
      <c r="N895" s="171"/>
      <c r="O895" s="83"/>
      <c r="P895" s="83"/>
    </row>
    <row r="896">
      <c r="A896" s="164"/>
      <c r="B896" s="45"/>
      <c r="C896" s="83"/>
      <c r="D896" s="83"/>
      <c r="E896" s="83"/>
      <c r="F896" s="165"/>
      <c r="G896" s="165"/>
      <c r="H896" s="52"/>
      <c r="I896" s="170"/>
      <c r="J896" s="171"/>
      <c r="K896" s="170"/>
      <c r="L896" s="171"/>
      <c r="M896" s="170"/>
      <c r="N896" s="171"/>
      <c r="O896" s="83"/>
      <c r="P896" s="83"/>
    </row>
    <row r="897">
      <c r="A897" s="164"/>
      <c r="B897" s="45"/>
      <c r="C897" s="83"/>
      <c r="D897" s="83"/>
      <c r="E897" s="83"/>
      <c r="F897" s="165"/>
      <c r="G897" s="165"/>
      <c r="H897" s="52"/>
      <c r="I897" s="170"/>
      <c r="J897" s="171"/>
      <c r="K897" s="170"/>
      <c r="L897" s="171"/>
      <c r="M897" s="170"/>
      <c r="N897" s="171"/>
      <c r="O897" s="83"/>
      <c r="P897" s="83"/>
    </row>
    <row r="898">
      <c r="A898" s="164"/>
      <c r="B898" s="45"/>
      <c r="C898" s="83"/>
      <c r="D898" s="83"/>
      <c r="E898" s="83"/>
      <c r="F898" s="165"/>
      <c r="G898" s="165"/>
      <c r="H898" s="52"/>
      <c r="I898" s="170"/>
      <c r="J898" s="171"/>
      <c r="K898" s="170"/>
      <c r="L898" s="171"/>
      <c r="M898" s="170"/>
      <c r="N898" s="171"/>
      <c r="O898" s="83"/>
      <c r="P898" s="83"/>
    </row>
    <row r="899">
      <c r="A899" s="164"/>
      <c r="B899" s="45"/>
      <c r="C899" s="83"/>
      <c r="D899" s="83"/>
      <c r="E899" s="83"/>
      <c r="F899" s="165"/>
      <c r="G899" s="165"/>
      <c r="H899" s="52"/>
      <c r="I899" s="170"/>
      <c r="J899" s="171"/>
      <c r="K899" s="170"/>
      <c r="L899" s="171"/>
      <c r="M899" s="170"/>
      <c r="N899" s="171"/>
      <c r="O899" s="83"/>
      <c r="P899" s="83"/>
    </row>
    <row r="900">
      <c r="A900" s="164"/>
      <c r="B900" s="45"/>
      <c r="C900" s="83"/>
      <c r="D900" s="83"/>
      <c r="E900" s="83"/>
      <c r="F900" s="165"/>
      <c r="G900" s="165"/>
      <c r="H900" s="52"/>
      <c r="I900" s="170"/>
      <c r="J900" s="171"/>
      <c r="K900" s="170"/>
      <c r="L900" s="171"/>
      <c r="M900" s="170"/>
      <c r="N900" s="171"/>
      <c r="O900" s="83"/>
      <c r="P900" s="83"/>
    </row>
    <row r="901">
      <c r="A901" s="164"/>
      <c r="B901" s="45"/>
      <c r="C901" s="83"/>
      <c r="D901" s="83"/>
      <c r="E901" s="83"/>
      <c r="F901" s="165"/>
      <c r="G901" s="165"/>
      <c r="H901" s="52"/>
      <c r="I901" s="170"/>
      <c r="J901" s="171"/>
      <c r="K901" s="170"/>
      <c r="L901" s="171"/>
      <c r="M901" s="170"/>
      <c r="N901" s="171"/>
      <c r="O901" s="83"/>
      <c r="P901" s="83"/>
    </row>
    <row r="902">
      <c r="A902" s="164"/>
      <c r="B902" s="45"/>
      <c r="C902" s="83"/>
      <c r="D902" s="83"/>
      <c r="E902" s="83"/>
      <c r="F902" s="165"/>
      <c r="G902" s="165"/>
      <c r="H902" s="52"/>
      <c r="I902" s="170"/>
      <c r="J902" s="171"/>
      <c r="K902" s="170"/>
      <c r="L902" s="171"/>
      <c r="M902" s="170"/>
      <c r="N902" s="171"/>
      <c r="O902" s="83"/>
      <c r="P902" s="83"/>
    </row>
    <row r="903">
      <c r="A903" s="164"/>
      <c r="B903" s="45"/>
      <c r="C903" s="83"/>
      <c r="D903" s="83"/>
      <c r="E903" s="83"/>
      <c r="F903" s="165"/>
      <c r="G903" s="165"/>
      <c r="H903" s="52"/>
      <c r="I903" s="170"/>
      <c r="J903" s="171"/>
      <c r="K903" s="170"/>
      <c r="L903" s="171"/>
      <c r="M903" s="170"/>
      <c r="N903" s="171"/>
      <c r="O903" s="83"/>
      <c r="P903" s="83"/>
    </row>
    <row r="904">
      <c r="A904" s="164"/>
      <c r="B904" s="45"/>
      <c r="C904" s="83"/>
      <c r="D904" s="83"/>
      <c r="E904" s="83"/>
      <c r="F904" s="165"/>
      <c r="G904" s="165"/>
      <c r="H904" s="52"/>
      <c r="I904" s="170"/>
      <c r="J904" s="171"/>
      <c r="K904" s="170"/>
      <c r="L904" s="171"/>
      <c r="M904" s="170"/>
      <c r="N904" s="171"/>
      <c r="O904" s="83"/>
      <c r="P904" s="83"/>
    </row>
    <row r="905">
      <c r="A905" s="164"/>
      <c r="B905" s="45"/>
      <c r="C905" s="83"/>
      <c r="D905" s="83"/>
      <c r="E905" s="83"/>
      <c r="F905" s="165"/>
      <c r="G905" s="165"/>
      <c r="H905" s="52"/>
      <c r="I905" s="170"/>
      <c r="J905" s="171"/>
      <c r="K905" s="170"/>
      <c r="L905" s="171"/>
      <c r="M905" s="170"/>
      <c r="N905" s="171"/>
      <c r="O905" s="83"/>
      <c r="P905" s="83"/>
    </row>
    <row r="906">
      <c r="A906" s="164"/>
      <c r="B906" s="45"/>
      <c r="C906" s="83"/>
      <c r="D906" s="83"/>
      <c r="E906" s="83"/>
      <c r="F906" s="165"/>
      <c r="G906" s="165"/>
      <c r="H906" s="52"/>
      <c r="I906" s="170"/>
      <c r="J906" s="171"/>
      <c r="K906" s="170"/>
      <c r="L906" s="171"/>
      <c r="M906" s="170"/>
      <c r="N906" s="171"/>
      <c r="O906" s="83"/>
      <c r="P906" s="83"/>
    </row>
    <row r="907">
      <c r="A907" s="164"/>
      <c r="B907" s="45"/>
      <c r="C907" s="83"/>
      <c r="D907" s="83"/>
      <c r="E907" s="83"/>
      <c r="F907" s="165"/>
      <c r="G907" s="165"/>
      <c r="H907" s="52"/>
      <c r="I907" s="170"/>
      <c r="J907" s="171"/>
      <c r="K907" s="170"/>
      <c r="L907" s="171"/>
      <c r="M907" s="170"/>
      <c r="N907" s="171"/>
      <c r="O907" s="83"/>
      <c r="P907" s="83"/>
    </row>
    <row r="908">
      <c r="A908" s="164"/>
      <c r="B908" s="45"/>
      <c r="C908" s="83"/>
      <c r="D908" s="83"/>
      <c r="E908" s="83"/>
      <c r="F908" s="165"/>
      <c r="G908" s="165"/>
      <c r="H908" s="52"/>
      <c r="I908" s="170"/>
      <c r="J908" s="171"/>
      <c r="K908" s="170"/>
      <c r="L908" s="171"/>
      <c r="M908" s="170"/>
      <c r="N908" s="171"/>
      <c r="O908" s="83"/>
      <c r="P908" s="83"/>
    </row>
    <row r="909">
      <c r="A909" s="164"/>
      <c r="B909" s="45"/>
      <c r="C909" s="83"/>
      <c r="D909" s="83"/>
      <c r="E909" s="83"/>
      <c r="F909" s="165"/>
      <c r="G909" s="165"/>
      <c r="H909" s="52"/>
      <c r="I909" s="170"/>
      <c r="J909" s="171"/>
      <c r="K909" s="170"/>
      <c r="L909" s="171"/>
      <c r="M909" s="170"/>
      <c r="N909" s="171"/>
      <c r="O909" s="83"/>
      <c r="P909" s="83"/>
    </row>
    <row r="910">
      <c r="A910" s="164"/>
      <c r="B910" s="45"/>
      <c r="C910" s="83"/>
      <c r="D910" s="83"/>
      <c r="E910" s="83"/>
      <c r="F910" s="165"/>
      <c r="G910" s="165"/>
      <c r="H910" s="52"/>
      <c r="I910" s="170"/>
      <c r="J910" s="171"/>
      <c r="K910" s="170"/>
      <c r="L910" s="171"/>
      <c r="M910" s="170"/>
      <c r="N910" s="171"/>
      <c r="O910" s="83"/>
      <c r="P910" s="83"/>
    </row>
    <row r="911">
      <c r="A911" s="164"/>
      <c r="B911" s="45"/>
      <c r="C911" s="83"/>
      <c r="D911" s="83"/>
      <c r="E911" s="83"/>
      <c r="F911" s="165"/>
      <c r="G911" s="165"/>
      <c r="H911" s="52"/>
      <c r="I911" s="170"/>
      <c r="J911" s="171"/>
      <c r="K911" s="170"/>
      <c r="L911" s="171"/>
      <c r="M911" s="170"/>
      <c r="N911" s="171"/>
      <c r="O911" s="83"/>
      <c r="P911" s="83"/>
    </row>
    <row r="912">
      <c r="A912" s="164"/>
      <c r="B912" s="45"/>
      <c r="C912" s="83"/>
      <c r="D912" s="83"/>
      <c r="E912" s="83"/>
      <c r="F912" s="165"/>
      <c r="G912" s="165"/>
      <c r="H912" s="52"/>
      <c r="I912" s="170"/>
      <c r="J912" s="171"/>
      <c r="K912" s="170"/>
      <c r="L912" s="171"/>
      <c r="M912" s="170"/>
      <c r="N912" s="171"/>
      <c r="O912" s="83"/>
      <c r="P912" s="83"/>
    </row>
    <row r="913">
      <c r="A913" s="164"/>
      <c r="B913" s="45"/>
      <c r="C913" s="83"/>
      <c r="D913" s="83"/>
      <c r="E913" s="83"/>
      <c r="F913" s="165"/>
      <c r="G913" s="165"/>
      <c r="H913" s="52"/>
      <c r="I913" s="170"/>
      <c r="J913" s="171"/>
      <c r="K913" s="170"/>
      <c r="L913" s="171"/>
      <c r="M913" s="170"/>
      <c r="N913" s="171"/>
      <c r="O913" s="83"/>
      <c r="P913" s="83"/>
    </row>
    <row r="914">
      <c r="A914" s="164"/>
      <c r="B914" s="45"/>
      <c r="C914" s="83"/>
      <c r="D914" s="83"/>
      <c r="E914" s="83"/>
      <c r="F914" s="165"/>
      <c r="G914" s="165"/>
      <c r="H914" s="52"/>
      <c r="I914" s="170"/>
      <c r="J914" s="171"/>
      <c r="K914" s="170"/>
      <c r="L914" s="171"/>
      <c r="M914" s="170"/>
      <c r="N914" s="171"/>
      <c r="O914" s="83"/>
      <c r="P914" s="83"/>
    </row>
    <row r="915">
      <c r="A915" s="164"/>
      <c r="B915" s="45"/>
      <c r="C915" s="83"/>
      <c r="D915" s="83"/>
      <c r="E915" s="83"/>
      <c r="F915" s="165"/>
      <c r="G915" s="165"/>
      <c r="H915" s="52"/>
      <c r="I915" s="170"/>
      <c r="J915" s="171"/>
      <c r="K915" s="170"/>
      <c r="L915" s="171"/>
      <c r="M915" s="170"/>
      <c r="N915" s="171"/>
      <c r="O915" s="83"/>
      <c r="P915" s="83"/>
    </row>
    <row r="916">
      <c r="A916" s="164"/>
      <c r="B916" s="45"/>
      <c r="C916" s="83"/>
      <c r="D916" s="83"/>
      <c r="E916" s="83"/>
      <c r="F916" s="165"/>
      <c r="G916" s="165"/>
      <c r="H916" s="52"/>
      <c r="I916" s="170"/>
      <c r="J916" s="171"/>
      <c r="K916" s="170"/>
      <c r="L916" s="171"/>
      <c r="M916" s="170"/>
      <c r="N916" s="171"/>
      <c r="O916" s="83"/>
      <c r="P916" s="83"/>
    </row>
    <row r="917">
      <c r="A917" s="164"/>
      <c r="B917" s="45"/>
      <c r="C917" s="83"/>
      <c r="D917" s="83"/>
      <c r="E917" s="83"/>
      <c r="F917" s="165"/>
      <c r="G917" s="165"/>
      <c r="H917" s="52"/>
      <c r="I917" s="170"/>
      <c r="J917" s="171"/>
      <c r="K917" s="170"/>
      <c r="L917" s="171"/>
      <c r="M917" s="170"/>
      <c r="N917" s="171"/>
      <c r="O917" s="83"/>
      <c r="P917" s="83"/>
    </row>
    <row r="918">
      <c r="A918" s="164"/>
      <c r="B918" s="45"/>
      <c r="C918" s="83"/>
      <c r="D918" s="83"/>
      <c r="E918" s="83"/>
      <c r="F918" s="165"/>
      <c r="G918" s="165"/>
      <c r="H918" s="52"/>
      <c r="I918" s="170"/>
      <c r="J918" s="171"/>
      <c r="K918" s="170"/>
      <c r="L918" s="171"/>
      <c r="M918" s="170"/>
      <c r="N918" s="171"/>
      <c r="O918" s="83"/>
      <c r="P918" s="83"/>
    </row>
    <row r="919">
      <c r="A919" s="164"/>
      <c r="B919" s="45"/>
      <c r="C919" s="83"/>
      <c r="D919" s="83"/>
      <c r="E919" s="83"/>
      <c r="F919" s="165"/>
      <c r="G919" s="165"/>
      <c r="H919" s="52"/>
      <c r="I919" s="170"/>
      <c r="J919" s="171"/>
      <c r="K919" s="170"/>
      <c r="L919" s="171"/>
      <c r="M919" s="170"/>
      <c r="N919" s="171"/>
      <c r="O919" s="83"/>
      <c r="P919" s="83"/>
    </row>
    <row r="920">
      <c r="A920" s="164"/>
      <c r="B920" s="45"/>
      <c r="C920" s="83"/>
      <c r="D920" s="83"/>
      <c r="E920" s="83"/>
      <c r="F920" s="165"/>
      <c r="G920" s="165"/>
      <c r="H920" s="52"/>
      <c r="I920" s="170"/>
      <c r="J920" s="171"/>
      <c r="K920" s="170"/>
      <c r="L920" s="171"/>
      <c r="M920" s="170"/>
      <c r="N920" s="171"/>
      <c r="O920" s="83"/>
      <c r="P920" s="83"/>
    </row>
    <row r="921">
      <c r="A921" s="164"/>
      <c r="B921" s="45"/>
      <c r="C921" s="83"/>
      <c r="D921" s="83"/>
      <c r="E921" s="83"/>
      <c r="F921" s="165"/>
      <c r="G921" s="165"/>
      <c r="H921" s="52"/>
      <c r="I921" s="170"/>
      <c r="J921" s="171"/>
      <c r="K921" s="170"/>
      <c r="L921" s="171"/>
      <c r="M921" s="170"/>
      <c r="N921" s="171"/>
      <c r="O921" s="83"/>
      <c r="P921" s="83"/>
    </row>
    <row r="922">
      <c r="A922" s="164"/>
      <c r="B922" s="45"/>
      <c r="C922" s="83"/>
      <c r="D922" s="83"/>
      <c r="E922" s="83"/>
      <c r="F922" s="165"/>
      <c r="G922" s="165"/>
      <c r="H922" s="52"/>
      <c r="I922" s="170"/>
      <c r="J922" s="171"/>
      <c r="K922" s="170"/>
      <c r="L922" s="171"/>
      <c r="M922" s="170"/>
      <c r="N922" s="171"/>
      <c r="O922" s="83"/>
      <c r="P922" s="83"/>
    </row>
    <row r="923">
      <c r="A923" s="164"/>
      <c r="B923" s="45"/>
      <c r="C923" s="83"/>
      <c r="D923" s="83"/>
      <c r="E923" s="83"/>
      <c r="F923" s="165"/>
      <c r="G923" s="165"/>
      <c r="H923" s="52"/>
      <c r="I923" s="170"/>
      <c r="J923" s="171"/>
      <c r="K923" s="170"/>
      <c r="L923" s="171"/>
      <c r="M923" s="170"/>
      <c r="N923" s="171"/>
      <c r="O923" s="83"/>
      <c r="P923" s="83"/>
    </row>
    <row r="924">
      <c r="A924" s="164"/>
      <c r="B924" s="45"/>
      <c r="C924" s="83"/>
      <c r="D924" s="83"/>
      <c r="E924" s="83"/>
      <c r="F924" s="165"/>
      <c r="G924" s="165"/>
      <c r="H924" s="52"/>
      <c r="I924" s="170"/>
      <c r="J924" s="171"/>
      <c r="K924" s="170"/>
      <c r="L924" s="171"/>
      <c r="M924" s="170"/>
      <c r="N924" s="171"/>
      <c r="O924" s="83"/>
      <c r="P924" s="83"/>
    </row>
    <row r="925">
      <c r="A925" s="164"/>
      <c r="B925" s="45"/>
      <c r="C925" s="83"/>
      <c r="D925" s="83"/>
      <c r="E925" s="83"/>
      <c r="F925" s="165"/>
      <c r="G925" s="165"/>
      <c r="H925" s="52"/>
      <c r="I925" s="170"/>
      <c r="J925" s="171"/>
      <c r="K925" s="170"/>
      <c r="L925" s="171"/>
      <c r="M925" s="170"/>
      <c r="N925" s="171"/>
      <c r="O925" s="83"/>
      <c r="P925" s="83"/>
    </row>
    <row r="926">
      <c r="A926" s="164"/>
      <c r="B926" s="45"/>
      <c r="C926" s="83"/>
      <c r="D926" s="83"/>
      <c r="E926" s="83"/>
      <c r="F926" s="165"/>
      <c r="G926" s="165"/>
      <c r="H926" s="52"/>
      <c r="I926" s="170"/>
      <c r="J926" s="171"/>
      <c r="K926" s="170"/>
      <c r="L926" s="171"/>
      <c r="M926" s="170"/>
      <c r="N926" s="171"/>
      <c r="O926" s="83"/>
      <c r="P926" s="83"/>
    </row>
    <row r="927">
      <c r="A927" s="164"/>
      <c r="B927" s="45"/>
      <c r="C927" s="83"/>
      <c r="D927" s="83"/>
      <c r="E927" s="83"/>
      <c r="F927" s="165"/>
      <c r="G927" s="165"/>
      <c r="H927" s="52"/>
      <c r="I927" s="170"/>
      <c r="J927" s="171"/>
      <c r="K927" s="170"/>
      <c r="L927" s="171"/>
      <c r="M927" s="170"/>
      <c r="N927" s="171"/>
      <c r="O927" s="83"/>
      <c r="P927" s="83"/>
    </row>
    <row r="928">
      <c r="A928" s="164"/>
      <c r="B928" s="45"/>
      <c r="C928" s="83"/>
      <c r="D928" s="83"/>
      <c r="E928" s="83"/>
      <c r="F928" s="165"/>
      <c r="G928" s="165"/>
      <c r="H928" s="52"/>
      <c r="I928" s="170"/>
      <c r="J928" s="171"/>
      <c r="K928" s="170"/>
      <c r="L928" s="171"/>
      <c r="M928" s="170"/>
      <c r="N928" s="171"/>
      <c r="O928" s="83"/>
      <c r="P928" s="83"/>
    </row>
    <row r="929">
      <c r="A929" s="164"/>
      <c r="B929" s="45"/>
      <c r="C929" s="83"/>
      <c r="D929" s="83"/>
      <c r="E929" s="83"/>
      <c r="F929" s="165"/>
      <c r="G929" s="165"/>
      <c r="H929" s="52"/>
      <c r="I929" s="170"/>
      <c r="J929" s="171"/>
      <c r="K929" s="170"/>
      <c r="L929" s="171"/>
      <c r="M929" s="170"/>
      <c r="N929" s="171"/>
      <c r="O929" s="83"/>
      <c r="P929" s="83"/>
    </row>
    <row r="930">
      <c r="A930" s="164"/>
      <c r="B930" s="45"/>
      <c r="C930" s="83"/>
      <c r="D930" s="83"/>
      <c r="E930" s="83"/>
      <c r="F930" s="165"/>
      <c r="G930" s="165"/>
      <c r="H930" s="52"/>
      <c r="I930" s="170"/>
      <c r="J930" s="171"/>
      <c r="K930" s="170"/>
      <c r="L930" s="171"/>
      <c r="M930" s="170"/>
      <c r="N930" s="171"/>
      <c r="O930" s="83"/>
      <c r="P930" s="83"/>
    </row>
    <row r="931">
      <c r="A931" s="164"/>
      <c r="B931" s="45"/>
      <c r="C931" s="83"/>
      <c r="D931" s="83"/>
      <c r="E931" s="83"/>
      <c r="F931" s="165"/>
      <c r="G931" s="165"/>
      <c r="H931" s="52"/>
      <c r="I931" s="170"/>
      <c r="J931" s="171"/>
      <c r="K931" s="170"/>
      <c r="L931" s="171"/>
      <c r="M931" s="170"/>
      <c r="N931" s="171"/>
      <c r="O931" s="83"/>
      <c r="P931" s="83"/>
    </row>
    <row r="932">
      <c r="A932" s="164"/>
      <c r="B932" s="45"/>
      <c r="C932" s="83"/>
      <c r="D932" s="83"/>
      <c r="E932" s="83"/>
      <c r="F932" s="165"/>
      <c r="G932" s="165"/>
      <c r="H932" s="52"/>
      <c r="I932" s="170"/>
      <c r="J932" s="171"/>
      <c r="K932" s="170"/>
      <c r="L932" s="171"/>
      <c r="M932" s="170"/>
      <c r="N932" s="171"/>
      <c r="O932" s="83"/>
      <c r="P932" s="83"/>
    </row>
    <row r="933">
      <c r="A933" s="164"/>
      <c r="B933" s="45"/>
      <c r="C933" s="83"/>
      <c r="D933" s="83"/>
      <c r="E933" s="83"/>
      <c r="F933" s="165"/>
      <c r="G933" s="165"/>
      <c r="H933" s="52"/>
      <c r="I933" s="170"/>
      <c r="J933" s="171"/>
      <c r="K933" s="170"/>
      <c r="L933" s="171"/>
      <c r="M933" s="170"/>
      <c r="N933" s="171"/>
      <c r="O933" s="83"/>
      <c r="P933" s="83"/>
    </row>
    <row r="934">
      <c r="A934" s="164"/>
      <c r="B934" s="45"/>
      <c r="C934" s="83"/>
      <c r="D934" s="83"/>
      <c r="E934" s="83"/>
      <c r="F934" s="165"/>
      <c r="G934" s="165"/>
      <c r="H934" s="52"/>
      <c r="I934" s="170"/>
      <c r="J934" s="171"/>
      <c r="K934" s="170"/>
      <c r="L934" s="171"/>
      <c r="M934" s="170"/>
      <c r="N934" s="171"/>
      <c r="O934" s="83"/>
      <c r="P934" s="83"/>
    </row>
    <row r="935">
      <c r="A935" s="164"/>
      <c r="B935" s="45"/>
      <c r="C935" s="83"/>
      <c r="D935" s="83"/>
      <c r="E935" s="83"/>
      <c r="F935" s="165"/>
      <c r="G935" s="165"/>
      <c r="H935" s="52"/>
      <c r="I935" s="170"/>
      <c r="J935" s="171"/>
      <c r="K935" s="170"/>
      <c r="L935" s="171"/>
      <c r="M935" s="170"/>
      <c r="N935" s="171"/>
      <c r="O935" s="83"/>
      <c r="P935" s="83"/>
    </row>
    <row r="936">
      <c r="A936" s="164"/>
      <c r="B936" s="45"/>
      <c r="C936" s="83"/>
      <c r="D936" s="83"/>
      <c r="E936" s="83"/>
      <c r="F936" s="165"/>
      <c r="G936" s="165"/>
      <c r="H936" s="52"/>
      <c r="I936" s="170"/>
      <c r="J936" s="171"/>
      <c r="K936" s="170"/>
      <c r="L936" s="171"/>
      <c r="M936" s="170"/>
      <c r="N936" s="171"/>
      <c r="O936" s="83"/>
      <c r="P936" s="83"/>
    </row>
    <row r="937">
      <c r="A937" s="164"/>
      <c r="B937" s="45"/>
      <c r="C937" s="83"/>
      <c r="D937" s="83"/>
      <c r="E937" s="83"/>
      <c r="F937" s="165"/>
      <c r="G937" s="165"/>
      <c r="H937" s="52"/>
      <c r="I937" s="170"/>
      <c r="J937" s="171"/>
      <c r="K937" s="170"/>
      <c r="L937" s="171"/>
      <c r="M937" s="170"/>
      <c r="N937" s="171"/>
      <c r="O937" s="83"/>
      <c r="P937" s="83"/>
    </row>
    <row r="938">
      <c r="A938" s="164"/>
      <c r="B938" s="45"/>
      <c r="C938" s="83"/>
      <c r="D938" s="83"/>
      <c r="E938" s="83"/>
      <c r="F938" s="165"/>
      <c r="G938" s="165"/>
      <c r="H938" s="52"/>
      <c r="I938" s="170"/>
      <c r="J938" s="171"/>
      <c r="K938" s="170"/>
      <c r="L938" s="171"/>
      <c r="M938" s="170"/>
      <c r="N938" s="171"/>
      <c r="O938" s="83"/>
      <c r="P938" s="83"/>
    </row>
    <row r="939">
      <c r="A939" s="164"/>
      <c r="B939" s="45"/>
      <c r="C939" s="83"/>
      <c r="D939" s="83"/>
      <c r="E939" s="83"/>
      <c r="F939" s="165"/>
      <c r="G939" s="165"/>
      <c r="H939" s="52"/>
      <c r="I939" s="170"/>
      <c r="J939" s="171"/>
      <c r="K939" s="170"/>
      <c r="L939" s="171"/>
      <c r="M939" s="170"/>
      <c r="N939" s="171"/>
      <c r="O939" s="83"/>
      <c r="P939" s="83"/>
    </row>
    <row r="940">
      <c r="A940" s="164"/>
      <c r="B940" s="45"/>
      <c r="C940" s="83"/>
      <c r="D940" s="83"/>
      <c r="E940" s="83"/>
      <c r="F940" s="165"/>
      <c r="G940" s="165"/>
      <c r="H940" s="52"/>
      <c r="I940" s="170"/>
      <c r="J940" s="171"/>
      <c r="K940" s="170"/>
      <c r="L940" s="171"/>
      <c r="M940" s="170"/>
      <c r="N940" s="171"/>
      <c r="O940" s="83"/>
      <c r="P940" s="83"/>
    </row>
    <row r="941">
      <c r="A941" s="164"/>
      <c r="B941" s="45"/>
      <c r="C941" s="83"/>
      <c r="D941" s="83"/>
      <c r="E941" s="83"/>
      <c r="F941" s="165"/>
      <c r="G941" s="165"/>
      <c r="H941" s="52"/>
      <c r="I941" s="170"/>
      <c r="J941" s="171"/>
      <c r="K941" s="170"/>
      <c r="L941" s="171"/>
      <c r="M941" s="170"/>
      <c r="N941" s="171"/>
      <c r="O941" s="83"/>
      <c r="P941" s="83"/>
    </row>
    <row r="942">
      <c r="A942" s="164"/>
      <c r="B942" s="45"/>
      <c r="C942" s="83"/>
      <c r="D942" s="83"/>
      <c r="E942" s="83"/>
      <c r="F942" s="165"/>
      <c r="G942" s="165"/>
      <c r="H942" s="52"/>
      <c r="I942" s="170"/>
      <c r="J942" s="171"/>
      <c r="K942" s="170"/>
      <c r="L942" s="171"/>
      <c r="M942" s="170"/>
      <c r="N942" s="171"/>
      <c r="O942" s="83"/>
      <c r="P942" s="83"/>
    </row>
    <row r="943">
      <c r="A943" s="164"/>
      <c r="B943" s="45"/>
      <c r="C943" s="83"/>
      <c r="D943" s="83"/>
      <c r="E943" s="83"/>
      <c r="F943" s="165"/>
      <c r="G943" s="165"/>
      <c r="H943" s="52"/>
      <c r="I943" s="170"/>
      <c r="J943" s="171"/>
      <c r="K943" s="170"/>
      <c r="L943" s="171"/>
      <c r="M943" s="170"/>
      <c r="N943" s="171"/>
      <c r="O943" s="83"/>
      <c r="P943" s="83"/>
    </row>
    <row r="944">
      <c r="A944" s="164"/>
      <c r="B944" s="45"/>
      <c r="C944" s="83"/>
      <c r="D944" s="83"/>
      <c r="E944" s="83"/>
      <c r="F944" s="165"/>
      <c r="G944" s="165"/>
      <c r="H944" s="52"/>
      <c r="I944" s="170"/>
      <c r="J944" s="171"/>
      <c r="K944" s="170"/>
      <c r="L944" s="171"/>
      <c r="M944" s="170"/>
      <c r="N944" s="171"/>
      <c r="O944" s="83"/>
      <c r="P944" s="83"/>
    </row>
    <row r="945">
      <c r="A945" s="164"/>
      <c r="B945" s="45"/>
      <c r="C945" s="83"/>
      <c r="D945" s="83"/>
      <c r="E945" s="83"/>
      <c r="F945" s="165"/>
      <c r="G945" s="165"/>
      <c r="H945" s="52"/>
      <c r="I945" s="170"/>
      <c r="J945" s="171"/>
      <c r="K945" s="170"/>
      <c r="L945" s="171"/>
      <c r="M945" s="170"/>
      <c r="N945" s="171"/>
      <c r="O945" s="83"/>
      <c r="P945" s="83"/>
    </row>
    <row r="946">
      <c r="A946" s="164"/>
      <c r="B946" s="45"/>
      <c r="C946" s="83"/>
      <c r="D946" s="83"/>
      <c r="E946" s="83"/>
      <c r="F946" s="165"/>
      <c r="G946" s="165"/>
      <c r="H946" s="52"/>
      <c r="I946" s="170"/>
      <c r="J946" s="171"/>
      <c r="K946" s="170"/>
      <c r="L946" s="171"/>
      <c r="M946" s="170"/>
      <c r="N946" s="171"/>
      <c r="O946" s="83"/>
      <c r="P946" s="83"/>
    </row>
    <row r="947">
      <c r="A947" s="164"/>
      <c r="B947" s="45"/>
      <c r="C947" s="83"/>
      <c r="D947" s="83"/>
      <c r="E947" s="83"/>
      <c r="F947" s="165"/>
      <c r="G947" s="165"/>
      <c r="H947" s="52"/>
      <c r="I947" s="170"/>
      <c r="J947" s="171"/>
      <c r="K947" s="170"/>
      <c r="L947" s="171"/>
      <c r="M947" s="170"/>
      <c r="N947" s="171"/>
      <c r="O947" s="83"/>
      <c r="P947" s="83"/>
    </row>
    <row r="948">
      <c r="A948" s="164"/>
      <c r="B948" s="45"/>
      <c r="C948" s="83"/>
      <c r="D948" s="83"/>
      <c r="E948" s="83"/>
      <c r="F948" s="165"/>
      <c r="G948" s="165"/>
      <c r="H948" s="52"/>
      <c r="I948" s="170"/>
      <c r="J948" s="171"/>
      <c r="K948" s="170"/>
      <c r="L948" s="171"/>
      <c r="M948" s="170"/>
      <c r="N948" s="171"/>
      <c r="O948" s="83"/>
      <c r="P948" s="83"/>
    </row>
    <row r="949">
      <c r="A949" s="164"/>
      <c r="B949" s="45"/>
      <c r="C949" s="83"/>
      <c r="D949" s="83"/>
      <c r="E949" s="83"/>
      <c r="F949" s="165"/>
      <c r="G949" s="165"/>
      <c r="H949" s="52"/>
      <c r="I949" s="170"/>
      <c r="J949" s="171"/>
      <c r="K949" s="170"/>
      <c r="L949" s="171"/>
      <c r="M949" s="170"/>
      <c r="N949" s="171"/>
      <c r="O949" s="83"/>
      <c r="P949" s="83"/>
    </row>
    <row r="950">
      <c r="A950" s="164"/>
      <c r="B950" s="45"/>
      <c r="C950" s="83"/>
      <c r="D950" s="83"/>
      <c r="E950" s="83"/>
      <c r="F950" s="165"/>
      <c r="G950" s="165"/>
      <c r="H950" s="52"/>
      <c r="I950" s="170"/>
      <c r="J950" s="171"/>
      <c r="K950" s="170"/>
      <c r="L950" s="171"/>
      <c r="M950" s="170"/>
      <c r="N950" s="171"/>
      <c r="O950" s="83"/>
      <c r="P950" s="83"/>
    </row>
    <row r="951">
      <c r="A951" s="164"/>
      <c r="B951" s="45"/>
      <c r="C951" s="83"/>
      <c r="D951" s="83"/>
      <c r="E951" s="83"/>
      <c r="F951" s="165"/>
      <c r="G951" s="165"/>
      <c r="H951" s="52"/>
      <c r="I951" s="170"/>
      <c r="J951" s="171"/>
      <c r="K951" s="170"/>
      <c r="L951" s="171"/>
      <c r="M951" s="170"/>
      <c r="N951" s="171"/>
      <c r="O951" s="83"/>
      <c r="P951" s="83"/>
    </row>
    <row r="952">
      <c r="A952" s="164"/>
      <c r="B952" s="45"/>
      <c r="C952" s="83"/>
      <c r="D952" s="83"/>
      <c r="E952" s="83"/>
      <c r="F952" s="165"/>
      <c r="G952" s="165"/>
      <c r="H952" s="52"/>
      <c r="I952" s="170"/>
      <c r="J952" s="171"/>
      <c r="K952" s="170"/>
      <c r="L952" s="171"/>
      <c r="M952" s="170"/>
      <c r="N952" s="171"/>
      <c r="O952" s="83"/>
      <c r="P952" s="83"/>
    </row>
    <row r="953">
      <c r="A953" s="164"/>
      <c r="B953" s="45"/>
      <c r="C953" s="83"/>
      <c r="D953" s="83"/>
      <c r="E953" s="83"/>
      <c r="F953" s="165"/>
      <c r="G953" s="165"/>
      <c r="H953" s="52"/>
      <c r="I953" s="170"/>
      <c r="J953" s="171"/>
      <c r="K953" s="170"/>
      <c r="L953" s="171"/>
      <c r="M953" s="170"/>
      <c r="N953" s="171"/>
      <c r="O953" s="83"/>
      <c r="P953" s="83"/>
    </row>
    <row r="954">
      <c r="A954" s="164"/>
      <c r="B954" s="45"/>
      <c r="C954" s="83"/>
      <c r="D954" s="83"/>
      <c r="E954" s="83"/>
      <c r="F954" s="165"/>
      <c r="G954" s="165"/>
      <c r="H954" s="52"/>
      <c r="I954" s="170"/>
      <c r="J954" s="171"/>
      <c r="K954" s="170"/>
      <c r="L954" s="171"/>
      <c r="M954" s="170"/>
      <c r="N954" s="171"/>
      <c r="O954" s="83"/>
      <c r="P954" s="83"/>
    </row>
    <row r="955">
      <c r="A955" s="164"/>
      <c r="B955" s="45"/>
      <c r="C955" s="83"/>
      <c r="D955" s="83"/>
      <c r="E955" s="83"/>
      <c r="F955" s="165"/>
      <c r="G955" s="165"/>
      <c r="H955" s="52"/>
      <c r="I955" s="170"/>
      <c r="J955" s="171"/>
      <c r="K955" s="170"/>
      <c r="L955" s="171"/>
      <c r="M955" s="170"/>
      <c r="N955" s="171"/>
      <c r="O955" s="83"/>
      <c r="P955" s="83"/>
    </row>
    <row r="956">
      <c r="A956" s="164"/>
      <c r="B956" s="45"/>
      <c r="C956" s="83"/>
      <c r="D956" s="83"/>
      <c r="E956" s="83"/>
      <c r="F956" s="165"/>
      <c r="G956" s="165"/>
      <c r="H956" s="52"/>
      <c r="I956" s="170"/>
      <c r="J956" s="171"/>
      <c r="K956" s="170"/>
      <c r="L956" s="171"/>
      <c r="M956" s="170"/>
      <c r="N956" s="171"/>
      <c r="O956" s="83"/>
      <c r="P956" s="83"/>
    </row>
    <row r="957">
      <c r="A957" s="164"/>
      <c r="B957" s="45"/>
      <c r="C957" s="83"/>
      <c r="D957" s="83"/>
      <c r="E957" s="83"/>
      <c r="F957" s="165"/>
      <c r="G957" s="165"/>
      <c r="H957" s="52"/>
      <c r="I957" s="170"/>
      <c r="J957" s="171"/>
      <c r="K957" s="170"/>
      <c r="L957" s="171"/>
      <c r="M957" s="170"/>
      <c r="N957" s="171"/>
      <c r="O957" s="83"/>
      <c r="P957" s="83"/>
    </row>
    <row r="958">
      <c r="A958" s="164"/>
      <c r="B958" s="45"/>
      <c r="C958" s="83"/>
      <c r="D958" s="83"/>
      <c r="E958" s="83"/>
      <c r="F958" s="165"/>
      <c r="G958" s="165"/>
      <c r="H958" s="52"/>
      <c r="I958" s="170"/>
      <c r="J958" s="171"/>
      <c r="K958" s="170"/>
      <c r="L958" s="171"/>
      <c r="M958" s="170"/>
      <c r="N958" s="171"/>
      <c r="O958" s="83"/>
      <c r="P958" s="83"/>
    </row>
    <row r="959">
      <c r="A959" s="164"/>
      <c r="B959" s="45"/>
      <c r="C959" s="83"/>
      <c r="D959" s="83"/>
      <c r="E959" s="83"/>
      <c r="F959" s="165"/>
      <c r="G959" s="165"/>
      <c r="H959" s="52"/>
      <c r="I959" s="170"/>
      <c r="J959" s="171"/>
      <c r="K959" s="170"/>
      <c r="L959" s="171"/>
      <c r="M959" s="170"/>
      <c r="N959" s="171"/>
      <c r="O959" s="83"/>
      <c r="P959" s="83"/>
    </row>
    <row r="960">
      <c r="A960" s="164"/>
      <c r="B960" s="45"/>
      <c r="C960" s="83"/>
      <c r="D960" s="83"/>
      <c r="E960" s="83"/>
      <c r="F960" s="165"/>
      <c r="G960" s="165"/>
      <c r="H960" s="52"/>
      <c r="I960" s="170"/>
      <c r="J960" s="171"/>
      <c r="K960" s="170"/>
      <c r="L960" s="171"/>
      <c r="M960" s="170"/>
      <c r="N960" s="171"/>
      <c r="O960" s="83"/>
      <c r="P960" s="83"/>
    </row>
    <row r="961">
      <c r="A961" s="164"/>
      <c r="B961" s="45"/>
      <c r="C961" s="83"/>
      <c r="D961" s="83"/>
      <c r="E961" s="83"/>
      <c r="F961" s="165"/>
      <c r="G961" s="165"/>
      <c r="H961" s="52"/>
      <c r="I961" s="170"/>
      <c r="J961" s="171"/>
      <c r="K961" s="170"/>
      <c r="L961" s="171"/>
      <c r="M961" s="170"/>
      <c r="N961" s="171"/>
      <c r="O961" s="83"/>
      <c r="P961" s="83"/>
    </row>
    <row r="962">
      <c r="A962" s="164"/>
      <c r="B962" s="45"/>
      <c r="C962" s="83"/>
      <c r="D962" s="83"/>
      <c r="E962" s="83"/>
      <c r="F962" s="165"/>
      <c r="G962" s="165"/>
      <c r="H962" s="52"/>
      <c r="I962" s="170"/>
      <c r="J962" s="171"/>
      <c r="K962" s="170"/>
      <c r="L962" s="171"/>
      <c r="M962" s="170"/>
      <c r="N962" s="171"/>
      <c r="O962" s="83"/>
      <c r="P962" s="83"/>
    </row>
    <row r="963">
      <c r="A963" s="164"/>
      <c r="B963" s="45"/>
      <c r="C963" s="83"/>
      <c r="D963" s="83"/>
      <c r="E963" s="83"/>
      <c r="F963" s="165"/>
      <c r="G963" s="165"/>
      <c r="H963" s="52"/>
      <c r="I963" s="170"/>
      <c r="J963" s="171"/>
      <c r="K963" s="170"/>
      <c r="L963" s="171"/>
      <c r="M963" s="170"/>
      <c r="N963" s="171"/>
      <c r="O963" s="83"/>
      <c r="P963" s="83"/>
    </row>
    <row r="964">
      <c r="A964" s="164"/>
      <c r="B964" s="45"/>
      <c r="C964" s="83"/>
      <c r="D964" s="83"/>
      <c r="E964" s="83"/>
      <c r="F964" s="165"/>
      <c r="G964" s="165"/>
      <c r="H964" s="52"/>
      <c r="I964" s="170"/>
      <c r="J964" s="171"/>
      <c r="K964" s="170"/>
      <c r="L964" s="171"/>
      <c r="M964" s="170"/>
      <c r="N964" s="171"/>
      <c r="O964" s="83"/>
      <c r="P964" s="83"/>
    </row>
    <row r="965">
      <c r="A965" s="164"/>
      <c r="B965" s="45"/>
      <c r="C965" s="83"/>
      <c r="D965" s="83"/>
      <c r="E965" s="83"/>
      <c r="F965" s="165"/>
      <c r="G965" s="165"/>
      <c r="H965" s="52"/>
      <c r="I965" s="170"/>
      <c r="J965" s="171"/>
      <c r="K965" s="170"/>
      <c r="L965" s="171"/>
      <c r="M965" s="170"/>
      <c r="N965" s="171"/>
      <c r="O965" s="83"/>
      <c r="P965" s="83"/>
    </row>
    <row r="966">
      <c r="A966" s="164"/>
      <c r="B966" s="45"/>
      <c r="C966" s="83"/>
      <c r="D966" s="83"/>
      <c r="E966" s="83"/>
      <c r="F966" s="165"/>
      <c r="G966" s="165"/>
      <c r="H966" s="52"/>
      <c r="I966" s="170"/>
      <c r="J966" s="171"/>
      <c r="K966" s="170"/>
      <c r="L966" s="171"/>
      <c r="M966" s="170"/>
      <c r="N966" s="171"/>
      <c r="O966" s="83"/>
      <c r="P966" s="83"/>
    </row>
    <row r="967">
      <c r="A967" s="164"/>
      <c r="B967" s="45"/>
      <c r="C967" s="83"/>
      <c r="D967" s="83"/>
      <c r="E967" s="83"/>
      <c r="F967" s="165"/>
      <c r="G967" s="165"/>
      <c r="H967" s="52"/>
      <c r="I967" s="170"/>
      <c r="J967" s="171"/>
      <c r="K967" s="170"/>
      <c r="L967" s="171"/>
      <c r="M967" s="170"/>
      <c r="N967" s="171"/>
      <c r="O967" s="83"/>
      <c r="P967" s="83"/>
    </row>
    <row r="968">
      <c r="A968" s="164"/>
      <c r="B968" s="45"/>
      <c r="C968" s="83"/>
      <c r="D968" s="83"/>
      <c r="E968" s="83"/>
      <c r="F968" s="165"/>
      <c r="G968" s="165"/>
      <c r="H968" s="52"/>
      <c r="I968" s="170"/>
      <c r="J968" s="171"/>
      <c r="K968" s="170"/>
      <c r="L968" s="171"/>
      <c r="M968" s="170"/>
      <c r="N968" s="171"/>
      <c r="O968" s="83"/>
      <c r="P968" s="83"/>
    </row>
    <row r="969">
      <c r="A969" s="164"/>
      <c r="B969" s="45"/>
      <c r="C969" s="83"/>
      <c r="D969" s="83"/>
      <c r="E969" s="83"/>
      <c r="F969" s="165"/>
      <c r="G969" s="165"/>
      <c r="H969" s="52"/>
      <c r="I969" s="170"/>
      <c r="J969" s="171"/>
      <c r="K969" s="170"/>
      <c r="L969" s="171"/>
      <c r="M969" s="170"/>
      <c r="N969" s="171"/>
      <c r="O969" s="83"/>
      <c r="P969" s="83"/>
    </row>
    <row r="970">
      <c r="A970" s="164"/>
      <c r="B970" s="45"/>
      <c r="C970" s="83"/>
      <c r="D970" s="83"/>
      <c r="E970" s="83"/>
      <c r="F970" s="165"/>
      <c r="G970" s="165"/>
      <c r="H970" s="52"/>
      <c r="I970" s="170"/>
      <c r="J970" s="171"/>
      <c r="K970" s="170"/>
      <c r="L970" s="171"/>
      <c r="M970" s="170"/>
      <c r="N970" s="171"/>
      <c r="O970" s="83"/>
      <c r="P970" s="83"/>
    </row>
    <row r="971">
      <c r="A971" s="164"/>
      <c r="B971" s="45"/>
      <c r="C971" s="83"/>
      <c r="D971" s="83"/>
      <c r="E971" s="83"/>
      <c r="F971" s="165"/>
      <c r="G971" s="165"/>
      <c r="H971" s="52"/>
      <c r="I971" s="170"/>
      <c r="J971" s="171"/>
      <c r="K971" s="170"/>
      <c r="L971" s="171"/>
      <c r="M971" s="170"/>
      <c r="N971" s="171"/>
      <c r="O971" s="83"/>
      <c r="P971" s="83"/>
    </row>
    <row r="972">
      <c r="A972" s="164"/>
      <c r="B972" s="45"/>
      <c r="C972" s="83"/>
      <c r="D972" s="83"/>
      <c r="E972" s="83"/>
      <c r="F972" s="165"/>
      <c r="G972" s="165"/>
      <c r="H972" s="52"/>
      <c r="I972" s="170"/>
      <c r="J972" s="171"/>
      <c r="K972" s="170"/>
      <c r="L972" s="171"/>
      <c r="M972" s="170"/>
      <c r="N972" s="171"/>
      <c r="O972" s="83"/>
      <c r="P972" s="83"/>
    </row>
    <row r="973">
      <c r="A973" s="164"/>
      <c r="B973" s="45"/>
      <c r="C973" s="83"/>
      <c r="D973" s="83"/>
      <c r="E973" s="83"/>
      <c r="F973" s="165"/>
      <c r="G973" s="165"/>
      <c r="H973" s="52"/>
      <c r="I973" s="170"/>
      <c r="J973" s="171"/>
      <c r="K973" s="170"/>
      <c r="L973" s="171"/>
      <c r="M973" s="170"/>
      <c r="N973" s="171"/>
      <c r="O973" s="83"/>
      <c r="P973" s="83"/>
    </row>
    <row r="974">
      <c r="A974" s="164"/>
      <c r="B974" s="45"/>
      <c r="C974" s="83"/>
      <c r="D974" s="83"/>
      <c r="E974" s="83"/>
      <c r="F974" s="165"/>
      <c r="G974" s="165"/>
      <c r="H974" s="52"/>
      <c r="I974" s="170"/>
      <c r="J974" s="171"/>
      <c r="K974" s="170"/>
      <c r="L974" s="171"/>
      <c r="M974" s="170"/>
      <c r="N974" s="171"/>
      <c r="O974" s="83"/>
      <c r="P974" s="83"/>
    </row>
    <row r="975">
      <c r="A975" s="164"/>
      <c r="B975" s="45"/>
      <c r="C975" s="83"/>
      <c r="D975" s="83"/>
      <c r="E975" s="83"/>
      <c r="F975" s="165"/>
      <c r="G975" s="165"/>
      <c r="H975" s="52"/>
      <c r="I975" s="170"/>
      <c r="J975" s="171"/>
      <c r="K975" s="170"/>
      <c r="L975" s="171"/>
      <c r="M975" s="170"/>
      <c r="N975" s="171"/>
      <c r="O975" s="83"/>
      <c r="P975" s="83"/>
    </row>
    <row r="976">
      <c r="A976" s="164"/>
      <c r="B976" s="45"/>
      <c r="C976" s="83"/>
      <c r="D976" s="83"/>
      <c r="E976" s="83"/>
      <c r="F976" s="165"/>
      <c r="G976" s="165"/>
      <c r="H976" s="52"/>
      <c r="I976" s="170"/>
      <c r="J976" s="171"/>
      <c r="K976" s="170"/>
      <c r="L976" s="171"/>
      <c r="M976" s="170"/>
      <c r="N976" s="171"/>
      <c r="O976" s="83"/>
      <c r="P976" s="83"/>
    </row>
    <row r="977">
      <c r="A977" s="164"/>
      <c r="B977" s="45"/>
      <c r="C977" s="83"/>
      <c r="D977" s="83"/>
      <c r="E977" s="83"/>
      <c r="F977" s="165"/>
      <c r="G977" s="165"/>
      <c r="H977" s="52"/>
      <c r="I977" s="170"/>
      <c r="J977" s="171"/>
      <c r="K977" s="170"/>
      <c r="L977" s="171"/>
      <c r="M977" s="170"/>
      <c r="N977" s="171"/>
      <c r="O977" s="83"/>
      <c r="P977" s="83"/>
    </row>
    <row r="978">
      <c r="A978" s="164"/>
      <c r="B978" s="45"/>
      <c r="C978" s="83"/>
      <c r="D978" s="83"/>
      <c r="E978" s="83"/>
      <c r="F978" s="165"/>
      <c r="G978" s="165"/>
      <c r="H978" s="52"/>
      <c r="I978" s="170"/>
      <c r="J978" s="171"/>
      <c r="K978" s="170"/>
      <c r="L978" s="171"/>
      <c r="M978" s="170"/>
      <c r="N978" s="171"/>
      <c r="O978" s="83"/>
      <c r="P978" s="83"/>
    </row>
    <row r="979">
      <c r="A979" s="164"/>
      <c r="B979" s="45"/>
      <c r="C979" s="83"/>
      <c r="D979" s="83"/>
      <c r="E979" s="83"/>
      <c r="F979" s="165"/>
      <c r="G979" s="165"/>
      <c r="H979" s="52"/>
      <c r="I979" s="170"/>
      <c r="J979" s="171"/>
      <c r="K979" s="170"/>
      <c r="L979" s="171"/>
      <c r="M979" s="170"/>
      <c r="N979" s="171"/>
      <c r="O979" s="83"/>
      <c r="P979" s="83"/>
    </row>
    <row r="980">
      <c r="A980" s="164"/>
      <c r="B980" s="45"/>
      <c r="C980" s="83"/>
      <c r="D980" s="83"/>
      <c r="E980" s="83"/>
      <c r="F980" s="165"/>
      <c r="G980" s="165"/>
      <c r="H980" s="52"/>
      <c r="I980" s="170"/>
      <c r="J980" s="171"/>
      <c r="K980" s="170"/>
      <c r="L980" s="171"/>
      <c r="M980" s="170"/>
      <c r="N980" s="171"/>
      <c r="O980" s="83"/>
      <c r="P980" s="83"/>
    </row>
    <row r="981">
      <c r="A981" s="164"/>
      <c r="B981" s="45"/>
      <c r="C981" s="83"/>
      <c r="D981" s="83"/>
      <c r="E981" s="83"/>
      <c r="F981" s="165"/>
      <c r="G981" s="165"/>
      <c r="H981" s="52"/>
      <c r="I981" s="170"/>
      <c r="J981" s="171"/>
      <c r="K981" s="170"/>
      <c r="L981" s="171"/>
      <c r="M981" s="170"/>
      <c r="N981" s="171"/>
      <c r="O981" s="83"/>
      <c r="P981" s="83"/>
    </row>
    <row r="982">
      <c r="A982" s="164"/>
      <c r="B982" s="45"/>
      <c r="C982" s="83"/>
      <c r="D982" s="83"/>
      <c r="E982" s="83"/>
      <c r="F982" s="165"/>
      <c r="G982" s="165"/>
      <c r="H982" s="52"/>
      <c r="I982" s="170"/>
      <c r="J982" s="171"/>
      <c r="K982" s="170"/>
      <c r="L982" s="171"/>
      <c r="M982" s="170"/>
      <c r="N982" s="171"/>
      <c r="O982" s="83"/>
      <c r="P982" s="83"/>
    </row>
    <row r="983">
      <c r="A983" s="164"/>
      <c r="B983" s="45"/>
      <c r="C983" s="83"/>
      <c r="D983" s="83"/>
      <c r="E983" s="83"/>
      <c r="F983" s="165"/>
      <c r="G983" s="165"/>
      <c r="H983" s="52"/>
      <c r="I983" s="170"/>
      <c r="J983" s="171"/>
      <c r="K983" s="170"/>
      <c r="L983" s="171"/>
      <c r="M983" s="170"/>
      <c r="N983" s="171"/>
      <c r="O983" s="83"/>
      <c r="P983" s="83"/>
    </row>
    <row r="984">
      <c r="A984" s="164"/>
      <c r="B984" s="45"/>
      <c r="C984" s="83"/>
      <c r="D984" s="83"/>
      <c r="E984" s="83"/>
      <c r="F984" s="165"/>
      <c r="G984" s="165"/>
      <c r="H984" s="52"/>
      <c r="I984" s="170"/>
      <c r="J984" s="171"/>
      <c r="K984" s="170"/>
      <c r="L984" s="171"/>
      <c r="M984" s="170"/>
      <c r="N984" s="171"/>
      <c r="O984" s="83"/>
      <c r="P984" s="83"/>
    </row>
    <row r="985">
      <c r="A985" s="164"/>
      <c r="B985" s="45"/>
      <c r="C985" s="83"/>
      <c r="D985" s="83"/>
      <c r="E985" s="83"/>
      <c r="F985" s="165"/>
      <c r="G985" s="165"/>
      <c r="H985" s="52"/>
      <c r="I985" s="170"/>
      <c r="J985" s="171"/>
      <c r="K985" s="170"/>
      <c r="L985" s="171"/>
      <c r="M985" s="170"/>
      <c r="N985" s="171"/>
      <c r="O985" s="83"/>
      <c r="P985" s="83"/>
    </row>
    <row r="986">
      <c r="A986" s="164"/>
      <c r="B986" s="45"/>
      <c r="C986" s="83"/>
      <c r="D986" s="83"/>
      <c r="E986" s="83"/>
      <c r="F986" s="165"/>
      <c r="G986" s="165"/>
      <c r="H986" s="52"/>
      <c r="I986" s="170"/>
      <c r="J986" s="171"/>
      <c r="K986" s="170"/>
      <c r="L986" s="171"/>
      <c r="M986" s="170"/>
      <c r="N986" s="171"/>
      <c r="O986" s="83"/>
      <c r="P986" s="83"/>
    </row>
    <row r="987">
      <c r="A987" s="164"/>
      <c r="B987" s="45"/>
      <c r="C987" s="83"/>
      <c r="D987" s="83"/>
      <c r="E987" s="83"/>
      <c r="F987" s="165"/>
      <c r="G987" s="165"/>
      <c r="H987" s="52"/>
      <c r="I987" s="170"/>
      <c r="J987" s="171"/>
      <c r="K987" s="170"/>
      <c r="L987" s="171"/>
      <c r="M987" s="170"/>
      <c r="N987" s="171"/>
      <c r="O987" s="83"/>
      <c r="P987" s="83"/>
    </row>
    <row r="988">
      <c r="A988" s="164"/>
      <c r="B988" s="45"/>
      <c r="C988" s="83"/>
      <c r="D988" s="83"/>
      <c r="E988" s="83"/>
      <c r="F988" s="165"/>
      <c r="G988" s="165"/>
      <c r="H988" s="52"/>
      <c r="I988" s="170"/>
      <c r="J988" s="171"/>
      <c r="K988" s="170"/>
      <c r="L988" s="171"/>
      <c r="M988" s="170"/>
      <c r="N988" s="171"/>
      <c r="O988" s="83"/>
      <c r="P988" s="83"/>
    </row>
    <row r="989">
      <c r="A989" s="164"/>
      <c r="B989" s="45"/>
      <c r="C989" s="83"/>
      <c r="D989" s="83"/>
      <c r="E989" s="83"/>
      <c r="F989" s="165"/>
      <c r="G989" s="165"/>
      <c r="H989" s="52"/>
      <c r="I989" s="170"/>
      <c r="J989" s="171"/>
      <c r="K989" s="170"/>
      <c r="L989" s="171"/>
      <c r="M989" s="170"/>
      <c r="N989" s="171"/>
      <c r="O989" s="83"/>
      <c r="P989" s="83"/>
    </row>
    <row r="990">
      <c r="A990" s="164"/>
      <c r="B990" s="45"/>
      <c r="C990" s="83"/>
      <c r="D990" s="83"/>
      <c r="E990" s="83"/>
      <c r="F990" s="165"/>
      <c r="G990" s="165"/>
      <c r="H990" s="52"/>
      <c r="I990" s="170"/>
      <c r="J990" s="171"/>
      <c r="K990" s="170"/>
      <c r="L990" s="171"/>
      <c r="M990" s="170"/>
      <c r="N990" s="171"/>
      <c r="O990" s="83"/>
      <c r="P990" s="83"/>
    </row>
    <row r="991">
      <c r="A991" s="164"/>
      <c r="B991" s="45"/>
      <c r="C991" s="83"/>
      <c r="D991" s="83"/>
      <c r="E991" s="83"/>
      <c r="F991" s="165"/>
      <c r="G991" s="165"/>
      <c r="H991" s="52"/>
      <c r="I991" s="170"/>
      <c r="J991" s="171"/>
      <c r="K991" s="170"/>
      <c r="L991" s="171"/>
      <c r="M991" s="170"/>
      <c r="N991" s="171"/>
      <c r="O991" s="83"/>
      <c r="P991" s="83"/>
    </row>
    <row r="992">
      <c r="A992" s="164"/>
      <c r="B992" s="45"/>
      <c r="C992" s="83"/>
      <c r="D992" s="83"/>
      <c r="E992" s="83"/>
      <c r="F992" s="165"/>
      <c r="G992" s="165"/>
      <c r="H992" s="52"/>
      <c r="I992" s="170"/>
      <c r="J992" s="171"/>
      <c r="K992" s="170"/>
      <c r="L992" s="171"/>
      <c r="M992" s="170"/>
      <c r="N992" s="171"/>
      <c r="O992" s="83"/>
      <c r="P992" s="83"/>
    </row>
    <row r="993">
      <c r="A993" s="164"/>
      <c r="B993" s="45"/>
      <c r="C993" s="83"/>
      <c r="D993" s="83"/>
      <c r="E993" s="83"/>
      <c r="F993" s="165"/>
      <c r="G993" s="165"/>
      <c r="H993" s="52"/>
      <c r="I993" s="170"/>
      <c r="J993" s="171"/>
      <c r="K993" s="170"/>
      <c r="L993" s="171"/>
      <c r="M993" s="170"/>
      <c r="N993" s="171"/>
      <c r="O993" s="83"/>
      <c r="P993" s="83"/>
    </row>
    <row r="994">
      <c r="A994" s="164"/>
      <c r="B994" s="45"/>
      <c r="C994" s="83"/>
      <c r="D994" s="83"/>
      <c r="E994" s="83"/>
      <c r="F994" s="165"/>
      <c r="G994" s="165"/>
      <c r="H994" s="52"/>
      <c r="I994" s="170"/>
      <c r="J994" s="171"/>
      <c r="K994" s="170"/>
      <c r="L994" s="171"/>
      <c r="M994" s="170"/>
      <c r="N994" s="171"/>
      <c r="O994" s="83"/>
      <c r="P994" s="83"/>
    </row>
    <row r="995">
      <c r="A995" s="164"/>
      <c r="B995" s="45"/>
      <c r="C995" s="83"/>
      <c r="D995" s="83"/>
      <c r="E995" s="83"/>
      <c r="F995" s="165"/>
      <c r="G995" s="165"/>
      <c r="H995" s="52"/>
      <c r="I995" s="170"/>
      <c r="J995" s="171"/>
      <c r="K995" s="170"/>
      <c r="L995" s="171"/>
      <c r="M995" s="170"/>
      <c r="N995" s="171"/>
      <c r="O995" s="83"/>
      <c r="P995" s="83"/>
    </row>
    <row r="996">
      <c r="A996" s="164"/>
      <c r="B996" s="45"/>
      <c r="C996" s="83"/>
      <c r="D996" s="83"/>
      <c r="E996" s="83"/>
      <c r="F996" s="165"/>
      <c r="G996" s="165"/>
      <c r="H996" s="52"/>
      <c r="I996" s="170"/>
      <c r="J996" s="171"/>
      <c r="K996" s="170"/>
      <c r="L996" s="171"/>
      <c r="M996" s="170"/>
      <c r="N996" s="171"/>
      <c r="O996" s="83"/>
      <c r="P996" s="83"/>
    </row>
    <row r="997">
      <c r="A997" s="164"/>
      <c r="B997" s="45"/>
      <c r="C997" s="83"/>
      <c r="D997" s="83"/>
      <c r="E997" s="83"/>
      <c r="F997" s="165"/>
      <c r="G997" s="165"/>
      <c r="H997" s="52"/>
      <c r="I997" s="170"/>
      <c r="J997" s="171"/>
      <c r="K997" s="170"/>
      <c r="L997" s="171"/>
      <c r="M997" s="170"/>
      <c r="N997" s="171"/>
      <c r="O997" s="83"/>
      <c r="P997" s="83"/>
    </row>
    <row r="998">
      <c r="A998" s="164"/>
      <c r="B998" s="45"/>
      <c r="C998" s="83"/>
      <c r="D998" s="83"/>
      <c r="E998" s="83"/>
      <c r="F998" s="165"/>
      <c r="G998" s="165"/>
      <c r="H998" s="52"/>
      <c r="I998" s="170"/>
      <c r="J998" s="171"/>
      <c r="K998" s="170"/>
      <c r="L998" s="171"/>
      <c r="M998" s="170"/>
      <c r="N998" s="171"/>
      <c r="O998" s="83"/>
      <c r="P998" s="83"/>
    </row>
    <row r="999">
      <c r="A999" s="164"/>
      <c r="B999" s="45"/>
      <c r="C999" s="83"/>
      <c r="D999" s="83"/>
      <c r="E999" s="83"/>
      <c r="F999" s="165"/>
      <c r="G999" s="165"/>
      <c r="H999" s="52"/>
      <c r="I999" s="170"/>
      <c r="J999" s="171"/>
      <c r="K999" s="170"/>
      <c r="L999" s="171"/>
      <c r="M999" s="170"/>
      <c r="N999" s="171"/>
      <c r="O999" s="83"/>
      <c r="P999" s="83"/>
    </row>
    <row r="1000">
      <c r="A1000" s="164"/>
      <c r="B1000" s="45"/>
      <c r="C1000" s="83"/>
      <c r="D1000" s="83"/>
      <c r="E1000" s="83"/>
      <c r="F1000" s="165"/>
      <c r="G1000" s="165"/>
      <c r="H1000" s="52"/>
      <c r="I1000" s="170"/>
      <c r="J1000" s="171"/>
      <c r="K1000" s="170"/>
      <c r="L1000" s="171"/>
      <c r="M1000" s="170"/>
      <c r="N1000" s="171"/>
      <c r="O1000" s="83"/>
      <c r="P1000" s="83"/>
    </row>
    <row r="1001">
      <c r="A1001" s="164"/>
      <c r="B1001" s="45"/>
      <c r="C1001" s="83"/>
      <c r="D1001" s="83"/>
      <c r="E1001" s="83"/>
      <c r="F1001" s="165"/>
      <c r="G1001" s="165"/>
      <c r="H1001" s="52"/>
      <c r="I1001" s="170"/>
      <c r="J1001" s="171"/>
      <c r="K1001" s="170"/>
      <c r="L1001" s="171"/>
      <c r="M1001" s="170"/>
      <c r="N1001" s="171"/>
      <c r="O1001" s="83"/>
      <c r="P1001" s="83"/>
    </row>
  </sheetData>
  <autoFilter ref="$A$2:$O$33"/>
  <mergeCells count="1">
    <mergeCell ref="I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4.0"/>
    <col customWidth="1" min="6" max="6" width="65.86"/>
    <col customWidth="1" min="7" max="7" width="15.71"/>
    <col customWidth="1" min="8" max="8" width="29.43"/>
    <col customWidth="1" min="9" max="9" width="18.0"/>
    <col customWidth="1" min="10" max="10" width="19.43"/>
    <col customWidth="1" min="11" max="11" width="29.0"/>
    <col customWidth="1" min="12" max="12" width="39.71"/>
    <col customWidth="1" min="13" max="13" width="23.71"/>
  </cols>
  <sheetData>
    <row r="1">
      <c r="A1" s="172" t="s">
        <v>2230</v>
      </c>
      <c r="B1" s="173" t="s">
        <v>2253</v>
      </c>
      <c r="C1" s="174" t="s">
        <v>2254</v>
      </c>
      <c r="D1" s="174" t="s">
        <v>2255</v>
      </c>
      <c r="E1" s="175" t="s">
        <v>2256</v>
      </c>
      <c r="F1" s="176" t="s">
        <v>1</v>
      </c>
      <c r="G1" s="177" t="s">
        <v>2257</v>
      </c>
      <c r="H1" s="177" t="s">
        <v>2258</v>
      </c>
      <c r="I1" s="177" t="s">
        <v>2259</v>
      </c>
      <c r="J1" s="177" t="s">
        <v>2260</v>
      </c>
      <c r="K1" s="177" t="s">
        <v>2261</v>
      </c>
    </row>
    <row r="2">
      <c r="A2" s="178">
        <v>45236.0</v>
      </c>
      <c r="B2" s="179" t="s">
        <v>2262</v>
      </c>
      <c r="C2" s="166">
        <v>424.0</v>
      </c>
      <c r="D2" s="180" t="s">
        <v>472</v>
      </c>
      <c r="E2" s="17" t="b">
        <v>1</v>
      </c>
      <c r="F2" s="17" t="s">
        <v>2263</v>
      </c>
      <c r="G2" s="166" t="s">
        <v>65</v>
      </c>
      <c r="H2" s="181" t="s">
        <v>25</v>
      </c>
      <c r="I2" s="182" t="s">
        <v>25</v>
      </c>
      <c r="J2" s="182" t="s">
        <v>1004</v>
      </c>
      <c r="K2" s="182" t="s">
        <v>25</v>
      </c>
      <c r="L2" s="183" t="s">
        <v>2264</v>
      </c>
      <c r="P2" s="183"/>
    </row>
    <row r="3">
      <c r="A3" s="178">
        <v>45237.0</v>
      </c>
      <c r="B3" s="179" t="s">
        <v>2265</v>
      </c>
      <c r="C3" s="166">
        <v>424.0</v>
      </c>
      <c r="D3" s="180">
        <v>600.0</v>
      </c>
      <c r="E3" s="17" t="b">
        <v>1</v>
      </c>
      <c r="F3" s="17" t="s">
        <v>2266</v>
      </c>
      <c r="G3" s="166">
        <f t="shared" ref="G3:G8" si="1">D3-C3</f>
        <v>176</v>
      </c>
      <c r="H3" s="181" t="s">
        <v>25</v>
      </c>
      <c r="I3" s="182" t="s">
        <v>25</v>
      </c>
      <c r="J3" s="182" t="s">
        <v>1004</v>
      </c>
      <c r="K3" s="182" t="s">
        <v>25</v>
      </c>
      <c r="L3" s="184"/>
      <c r="M3" s="185" t="s">
        <v>2267</v>
      </c>
    </row>
    <row r="4">
      <c r="A4" s="178">
        <v>45238.0</v>
      </c>
      <c r="B4" s="179" t="s">
        <v>2268</v>
      </c>
      <c r="C4" s="166">
        <v>424.0</v>
      </c>
      <c r="D4" s="180">
        <v>600.0</v>
      </c>
      <c r="E4" s="17" t="b">
        <v>1</v>
      </c>
      <c r="F4" s="17" t="s">
        <v>2266</v>
      </c>
      <c r="G4" s="166">
        <f t="shared" si="1"/>
        <v>176</v>
      </c>
      <c r="H4" s="181" t="s">
        <v>25</v>
      </c>
      <c r="I4" s="182" t="s">
        <v>25</v>
      </c>
      <c r="J4" s="182" t="s">
        <v>1004</v>
      </c>
      <c r="K4" s="182" t="s">
        <v>25</v>
      </c>
      <c r="L4" s="183" t="s">
        <v>2269</v>
      </c>
      <c r="P4" s="183"/>
    </row>
    <row r="5">
      <c r="A5" s="178">
        <v>45239.0</v>
      </c>
      <c r="B5" s="179" t="s">
        <v>2270</v>
      </c>
      <c r="C5" s="166">
        <v>424.0</v>
      </c>
      <c r="D5" s="166">
        <v>750.0</v>
      </c>
      <c r="E5" s="17" t="b">
        <v>1</v>
      </c>
      <c r="F5" s="17" t="s">
        <v>2271</v>
      </c>
      <c r="G5" s="166">
        <f t="shared" si="1"/>
        <v>326</v>
      </c>
      <c r="H5" s="181" t="s">
        <v>25</v>
      </c>
      <c r="I5" s="182" t="s">
        <v>25</v>
      </c>
      <c r="J5" s="182" t="s">
        <v>1004</v>
      </c>
      <c r="K5" s="182" t="s">
        <v>25</v>
      </c>
      <c r="M5" s="185" t="s">
        <v>2272</v>
      </c>
    </row>
    <row r="6">
      <c r="A6" s="178">
        <v>45240.0</v>
      </c>
      <c r="B6" s="179" t="s">
        <v>2273</v>
      </c>
      <c r="C6" s="166">
        <v>424.0</v>
      </c>
      <c r="D6" s="166">
        <v>750.0</v>
      </c>
      <c r="E6" s="17" t="b">
        <v>1</v>
      </c>
      <c r="F6" s="17" t="s">
        <v>2274</v>
      </c>
      <c r="G6" s="166">
        <f t="shared" si="1"/>
        <v>326</v>
      </c>
      <c r="H6" s="181" t="s">
        <v>25</v>
      </c>
      <c r="I6" s="182" t="s">
        <v>25</v>
      </c>
      <c r="J6" s="182" t="s">
        <v>1004</v>
      </c>
      <c r="K6" s="182" t="s">
        <v>25</v>
      </c>
    </row>
    <row r="7">
      <c r="A7" s="186">
        <v>45433.0</v>
      </c>
      <c r="B7" s="17" t="s">
        <v>2275</v>
      </c>
      <c r="C7" s="166">
        <v>187.0</v>
      </c>
      <c r="D7" s="166">
        <v>400.0</v>
      </c>
      <c r="E7" s="17" t="b">
        <v>1</v>
      </c>
      <c r="F7" s="17" t="s">
        <v>2276</v>
      </c>
      <c r="G7" s="166">
        <f t="shared" si="1"/>
        <v>213</v>
      </c>
      <c r="H7" s="181" t="s">
        <v>25</v>
      </c>
      <c r="I7" s="182" t="s">
        <v>25</v>
      </c>
      <c r="J7" s="182" t="s">
        <v>1004</v>
      </c>
      <c r="K7" s="182" t="s">
        <v>25</v>
      </c>
    </row>
    <row r="8">
      <c r="A8" s="187">
        <v>45436.0</v>
      </c>
      <c r="B8" s="17" t="s">
        <v>2277</v>
      </c>
      <c r="C8" s="166">
        <v>416.5</v>
      </c>
      <c r="D8" s="166">
        <v>700.0</v>
      </c>
      <c r="E8" s="17" t="b">
        <v>1</v>
      </c>
      <c r="F8" s="17" t="s">
        <v>2278</v>
      </c>
      <c r="G8" s="166">
        <f t="shared" si="1"/>
        <v>283.5</v>
      </c>
      <c r="H8" s="181" t="s">
        <v>25</v>
      </c>
      <c r="I8" s="182" t="s">
        <v>25</v>
      </c>
      <c r="J8" s="182" t="s">
        <v>1004</v>
      </c>
      <c r="K8" s="182" t="s">
        <v>25</v>
      </c>
    </row>
    <row r="9">
      <c r="A9" s="187">
        <v>45513.0</v>
      </c>
      <c r="B9" s="17" t="s">
        <v>2279</v>
      </c>
      <c r="C9" s="166">
        <f t="shared" ref="C9:C10" si="2">416.5+(416.5*0.04)</f>
        <v>433.16</v>
      </c>
      <c r="D9" s="166" t="s">
        <v>472</v>
      </c>
      <c r="E9" s="17" t="b">
        <v>1</v>
      </c>
      <c r="F9" s="17" t="s">
        <v>2280</v>
      </c>
      <c r="G9" s="166" t="s">
        <v>65</v>
      </c>
      <c r="H9" s="181" t="s">
        <v>25</v>
      </c>
      <c r="I9" s="182" t="s">
        <v>25</v>
      </c>
      <c r="J9" s="182" t="s">
        <v>1004</v>
      </c>
      <c r="K9" s="182" t="s">
        <v>25</v>
      </c>
      <c r="M9" s="188" t="s">
        <v>2281</v>
      </c>
      <c r="N9" s="68">
        <f>700+375</f>
        <v>1075</v>
      </c>
    </row>
    <row r="10">
      <c r="A10" s="187">
        <v>45525.0</v>
      </c>
      <c r="B10" s="17" t="s">
        <v>2282</v>
      </c>
      <c r="C10" s="166">
        <f t="shared" si="2"/>
        <v>433.16</v>
      </c>
      <c r="D10" s="166" t="s">
        <v>472</v>
      </c>
      <c r="E10" s="17" t="b">
        <v>1</v>
      </c>
      <c r="F10" s="17" t="s">
        <v>2283</v>
      </c>
      <c r="G10" s="166" t="s">
        <v>65</v>
      </c>
      <c r="H10" s="181" t="s">
        <v>25</v>
      </c>
      <c r="I10" s="182" t="s">
        <v>25</v>
      </c>
      <c r="J10" s="182" t="s">
        <v>1004</v>
      </c>
      <c r="K10" s="182" t="s">
        <v>25</v>
      </c>
    </row>
    <row r="11">
      <c r="A11" s="187">
        <v>45525.0</v>
      </c>
      <c r="B11" s="17" t="s">
        <v>2284</v>
      </c>
      <c r="C11" s="166">
        <f>50+(50*0.04)</f>
        <v>52</v>
      </c>
      <c r="D11" s="166">
        <v>52.0</v>
      </c>
      <c r="E11" s="17" t="b">
        <v>1</v>
      </c>
      <c r="F11" s="17" t="s">
        <v>2266</v>
      </c>
      <c r="G11" s="166">
        <f t="shared" ref="G11:G16" si="3">D11-C11</f>
        <v>0</v>
      </c>
      <c r="H11" s="181" t="s">
        <v>25</v>
      </c>
      <c r="I11" s="182" t="s">
        <v>25</v>
      </c>
      <c r="J11" s="182" t="s">
        <v>1004</v>
      </c>
      <c r="K11" s="182" t="s">
        <v>25</v>
      </c>
      <c r="M11" s="189" t="s">
        <v>2285</v>
      </c>
      <c r="N11" s="190"/>
      <c r="O11" s="190"/>
      <c r="P11" s="190"/>
      <c r="Q11" s="190"/>
      <c r="R11" s="191"/>
    </row>
    <row r="12">
      <c r="A12" s="187">
        <v>45530.0</v>
      </c>
      <c r="B12" s="17" t="s">
        <v>2286</v>
      </c>
      <c r="C12" s="166">
        <f t="shared" ref="C12:C13" si="4">416.5+(416.5*0.04)</f>
        <v>433.16</v>
      </c>
      <c r="D12" s="166">
        <v>567.0</v>
      </c>
      <c r="E12" s="17" t="b">
        <v>1</v>
      </c>
      <c r="F12" s="17" t="s">
        <v>2266</v>
      </c>
      <c r="G12" s="166">
        <f t="shared" si="3"/>
        <v>133.84</v>
      </c>
      <c r="H12" s="181" t="s">
        <v>25</v>
      </c>
      <c r="I12" s="182" t="s">
        <v>25</v>
      </c>
      <c r="J12" s="182" t="s">
        <v>1004</v>
      </c>
      <c r="K12" s="182" t="s">
        <v>25</v>
      </c>
      <c r="M12" s="192" t="s">
        <v>2</v>
      </c>
      <c r="N12" s="192" t="s">
        <v>2235</v>
      </c>
      <c r="O12" s="192" t="s">
        <v>2287</v>
      </c>
      <c r="P12" s="192" t="s">
        <v>2237</v>
      </c>
      <c r="Q12" s="192" t="s">
        <v>2288</v>
      </c>
      <c r="R12" s="192" t="s">
        <v>2239</v>
      </c>
    </row>
    <row r="13">
      <c r="A13" s="187">
        <v>45624.0</v>
      </c>
      <c r="B13" s="17" t="s">
        <v>2289</v>
      </c>
      <c r="C13" s="166">
        <f t="shared" si="4"/>
        <v>433.16</v>
      </c>
      <c r="D13" s="166">
        <v>567.0</v>
      </c>
      <c r="E13" s="17" t="b">
        <v>1</v>
      </c>
      <c r="F13" s="17" t="s">
        <v>2266</v>
      </c>
      <c r="G13" s="166">
        <f t="shared" si="3"/>
        <v>133.84</v>
      </c>
      <c r="H13" s="181" t="s">
        <v>25</v>
      </c>
      <c r="I13" s="182" t="s">
        <v>25</v>
      </c>
      <c r="J13" s="182" t="s">
        <v>1004</v>
      </c>
      <c r="K13" s="182" t="s">
        <v>25</v>
      </c>
      <c r="M13" s="193" t="s">
        <v>2290</v>
      </c>
      <c r="N13" s="193">
        <v>2500.0</v>
      </c>
      <c r="O13" s="193">
        <v>0.06</v>
      </c>
      <c r="P13" s="193">
        <f t="shared" ref="P13:P16" si="5">N13-(N13*O13)</f>
        <v>2350</v>
      </c>
      <c r="Q13" s="193">
        <v>0.04</v>
      </c>
      <c r="R13" s="193">
        <f t="shared" ref="R13:R16" si="6">N13-(N13*Q13)</f>
        <v>2400</v>
      </c>
    </row>
    <row r="14">
      <c r="A14" s="186">
        <v>45301.0</v>
      </c>
      <c r="B14" s="17" t="s">
        <v>2291</v>
      </c>
      <c r="C14" s="166">
        <v>416.5</v>
      </c>
      <c r="D14" s="166">
        <v>700.0</v>
      </c>
      <c r="E14" s="17" t="b">
        <v>1</v>
      </c>
      <c r="F14" s="17" t="s">
        <v>2292</v>
      </c>
      <c r="G14" s="166">
        <f t="shared" si="3"/>
        <v>283.5</v>
      </c>
      <c r="H14" s="181" t="s">
        <v>25</v>
      </c>
      <c r="I14" s="182" t="s">
        <v>25</v>
      </c>
      <c r="J14" s="182" t="s">
        <v>1004</v>
      </c>
      <c r="K14" s="182" t="s">
        <v>25</v>
      </c>
      <c r="M14" s="193" t="s">
        <v>2293</v>
      </c>
      <c r="N14" s="193">
        <v>2700.0</v>
      </c>
      <c r="O14" s="193">
        <v>0.06</v>
      </c>
      <c r="P14" s="193">
        <f t="shared" si="5"/>
        <v>2538</v>
      </c>
      <c r="Q14" s="193">
        <v>0.04</v>
      </c>
      <c r="R14" s="193">
        <f t="shared" si="6"/>
        <v>2592</v>
      </c>
    </row>
    <row r="15">
      <c r="A15" s="186">
        <v>45301.0</v>
      </c>
      <c r="B15" s="17" t="s">
        <v>2294</v>
      </c>
      <c r="C15" s="166">
        <v>416.5</v>
      </c>
      <c r="D15" s="166">
        <v>0.0</v>
      </c>
      <c r="E15" s="17" t="b">
        <v>1</v>
      </c>
      <c r="F15" s="17" t="s">
        <v>2295</v>
      </c>
      <c r="G15" s="166">
        <f t="shared" si="3"/>
        <v>-416.5</v>
      </c>
      <c r="H15" s="181" t="s">
        <v>25</v>
      </c>
      <c r="I15" s="182" t="s">
        <v>25</v>
      </c>
      <c r="J15" s="182" t="s">
        <v>1004</v>
      </c>
      <c r="K15" s="182" t="s">
        <v>25</v>
      </c>
      <c r="M15" s="193" t="s">
        <v>2296</v>
      </c>
      <c r="N15" s="193">
        <v>700.0</v>
      </c>
      <c r="O15" s="193">
        <v>0.19</v>
      </c>
      <c r="P15" s="193">
        <f t="shared" si="5"/>
        <v>567</v>
      </c>
      <c r="Q15" s="193">
        <v>0.1</v>
      </c>
      <c r="R15" s="193">
        <f t="shared" si="6"/>
        <v>630</v>
      </c>
    </row>
    <row r="16">
      <c r="A16" s="187">
        <v>45700.0</v>
      </c>
      <c r="B16" s="194" t="s">
        <v>2297</v>
      </c>
      <c r="C16" s="166">
        <f>416.5+(416.5*0.04)</f>
        <v>433.16</v>
      </c>
      <c r="D16" s="166">
        <v>567.0</v>
      </c>
      <c r="E16" s="17" t="b">
        <v>1</v>
      </c>
      <c r="F16" s="17" t="s">
        <v>2298</v>
      </c>
      <c r="G16" s="166">
        <f t="shared" si="3"/>
        <v>133.84</v>
      </c>
      <c r="H16" s="181" t="s">
        <v>25</v>
      </c>
      <c r="I16" s="182" t="s">
        <v>25</v>
      </c>
      <c r="J16" s="182" t="s">
        <v>1004</v>
      </c>
      <c r="K16" s="182" t="s">
        <v>25</v>
      </c>
      <c r="M16" s="193" t="s">
        <v>2299</v>
      </c>
      <c r="N16" s="193">
        <v>700.0</v>
      </c>
      <c r="O16" s="193">
        <v>0.19</v>
      </c>
      <c r="P16" s="193">
        <f t="shared" si="5"/>
        <v>567</v>
      </c>
      <c r="Q16" s="193">
        <v>0.1</v>
      </c>
      <c r="R16" s="193">
        <f t="shared" si="6"/>
        <v>630</v>
      </c>
    </row>
    <row r="17">
      <c r="A17" s="187">
        <v>45737.0</v>
      </c>
      <c r="B17" s="17" t="s">
        <v>2300</v>
      </c>
      <c r="C17" s="166">
        <v>0.0</v>
      </c>
      <c r="D17" s="166">
        <v>0.0</v>
      </c>
      <c r="E17" s="17" t="b">
        <v>1</v>
      </c>
      <c r="F17" s="122" t="s">
        <v>2301</v>
      </c>
      <c r="G17" s="166">
        <v>0.0</v>
      </c>
      <c r="H17" s="181" t="s">
        <v>25</v>
      </c>
      <c r="I17" s="182" t="s">
        <v>25</v>
      </c>
      <c r="J17" s="182" t="s">
        <v>1004</v>
      </c>
      <c r="K17" s="182" t="s">
        <v>25</v>
      </c>
    </row>
    <row r="18">
      <c r="A18" s="187">
        <v>45741.0</v>
      </c>
      <c r="B18" s="17" t="s">
        <v>2302</v>
      </c>
      <c r="C18" s="166">
        <f t="shared" ref="C18:C22" si="7">433.16</f>
        <v>433.16</v>
      </c>
      <c r="D18" s="166">
        <v>567.0</v>
      </c>
      <c r="E18" s="17" t="b">
        <v>1</v>
      </c>
      <c r="F18" s="17" t="s">
        <v>2303</v>
      </c>
      <c r="G18" s="166">
        <f t="shared" ref="G18:G23" si="8">D18-C18</f>
        <v>133.84</v>
      </c>
      <c r="H18" s="181" t="s">
        <v>25</v>
      </c>
      <c r="I18" s="182" t="s">
        <v>25</v>
      </c>
      <c r="J18" s="182" t="s">
        <v>1004</v>
      </c>
      <c r="K18" s="182" t="s">
        <v>25</v>
      </c>
      <c r="M18" s="185" t="s">
        <v>2304</v>
      </c>
    </row>
    <row r="19">
      <c r="A19" s="187">
        <v>45785.0</v>
      </c>
      <c r="B19" s="179" t="s">
        <v>2305</v>
      </c>
      <c r="C19" s="166">
        <f t="shared" si="7"/>
        <v>433.16</v>
      </c>
      <c r="D19" s="166">
        <v>567.0</v>
      </c>
      <c r="E19" s="17" t="b">
        <v>1</v>
      </c>
      <c r="F19" s="17" t="s">
        <v>2306</v>
      </c>
      <c r="G19" s="166">
        <f t="shared" si="8"/>
        <v>133.84</v>
      </c>
      <c r="H19" s="181" t="s">
        <v>25</v>
      </c>
      <c r="I19" s="182" t="s">
        <v>25</v>
      </c>
      <c r="J19" s="182" t="s">
        <v>1004</v>
      </c>
      <c r="K19" s="182" t="s">
        <v>25</v>
      </c>
      <c r="M19" s="193" t="s">
        <v>2307</v>
      </c>
      <c r="N19" s="193">
        <v>2200.0</v>
      </c>
      <c r="O19" s="193">
        <v>0.06</v>
      </c>
      <c r="P19" s="193">
        <f t="shared" ref="P19:P20" si="9">N19-(N19*O19)</f>
        <v>2068</v>
      </c>
      <c r="Q19" s="193">
        <v>0.04</v>
      </c>
      <c r="R19" s="193">
        <f t="shared" ref="R19:R20" si="10">N19-(N19*Q19)</f>
        <v>2112</v>
      </c>
    </row>
    <row r="20">
      <c r="A20" s="187">
        <v>45791.0</v>
      </c>
      <c r="B20" s="17" t="s">
        <v>2308</v>
      </c>
      <c r="C20" s="166">
        <f t="shared" si="7"/>
        <v>433.16</v>
      </c>
      <c r="D20" s="166">
        <v>567.0</v>
      </c>
      <c r="E20" s="17" t="b">
        <v>1</v>
      </c>
      <c r="F20" s="17" t="s">
        <v>2309</v>
      </c>
      <c r="G20" s="166">
        <f t="shared" si="8"/>
        <v>133.84</v>
      </c>
      <c r="H20" s="181" t="s">
        <v>25</v>
      </c>
      <c r="I20" s="182" t="s">
        <v>25</v>
      </c>
      <c r="J20" s="182" t="s">
        <v>1004</v>
      </c>
      <c r="K20" s="182" t="s">
        <v>25</v>
      </c>
      <c r="M20" s="193" t="s">
        <v>2310</v>
      </c>
      <c r="N20" s="193">
        <v>1500.0</v>
      </c>
      <c r="O20" s="193">
        <v>0.06</v>
      </c>
      <c r="P20" s="193">
        <f t="shared" si="9"/>
        <v>1410</v>
      </c>
      <c r="Q20" s="193">
        <v>0.04</v>
      </c>
      <c r="R20" s="193">
        <f t="shared" si="10"/>
        <v>1440</v>
      </c>
    </row>
    <row r="21">
      <c r="A21" s="187">
        <v>45793.0</v>
      </c>
      <c r="B21" s="17" t="s">
        <v>2311</v>
      </c>
      <c r="C21" s="166">
        <f t="shared" si="7"/>
        <v>433.16</v>
      </c>
      <c r="D21" s="166">
        <v>567.0</v>
      </c>
      <c r="E21" s="17" t="b">
        <v>1</v>
      </c>
      <c r="F21" s="17" t="s">
        <v>2312</v>
      </c>
      <c r="G21" s="166">
        <f t="shared" si="8"/>
        <v>133.84</v>
      </c>
      <c r="H21" s="181" t="s">
        <v>25</v>
      </c>
      <c r="I21" s="182" t="s">
        <v>25</v>
      </c>
      <c r="J21" s="182" t="s">
        <v>1004</v>
      </c>
      <c r="K21" s="182" t="s">
        <v>25</v>
      </c>
    </row>
    <row r="22">
      <c r="A22" s="187">
        <v>45849.0</v>
      </c>
      <c r="B22" s="17" t="s">
        <v>2313</v>
      </c>
      <c r="C22" s="166">
        <f t="shared" si="7"/>
        <v>433.16</v>
      </c>
      <c r="D22" s="166">
        <v>550.0</v>
      </c>
      <c r="E22" s="17" t="b">
        <v>1</v>
      </c>
      <c r="F22" s="17" t="s">
        <v>2314</v>
      </c>
      <c r="G22" s="166">
        <f t="shared" si="8"/>
        <v>116.84</v>
      </c>
      <c r="H22" s="181" t="s">
        <v>25</v>
      </c>
      <c r="I22" s="182" t="s">
        <v>25</v>
      </c>
      <c r="J22" s="182" t="s">
        <v>1004</v>
      </c>
      <c r="K22" s="182" t="s">
        <v>25</v>
      </c>
    </row>
    <row r="23">
      <c r="A23" s="187">
        <v>45854.0</v>
      </c>
      <c r="B23" s="17" t="s">
        <v>2315</v>
      </c>
      <c r="C23" s="166">
        <v>433.16</v>
      </c>
      <c r="D23" s="166">
        <v>567.0</v>
      </c>
      <c r="E23" s="17" t="b">
        <v>1</v>
      </c>
      <c r="F23" s="17" t="s">
        <v>2316</v>
      </c>
      <c r="G23" s="166">
        <f t="shared" si="8"/>
        <v>133.84</v>
      </c>
      <c r="H23" s="181" t="s">
        <v>25</v>
      </c>
      <c r="I23" s="182" t="s">
        <v>25</v>
      </c>
      <c r="J23" s="182" t="s">
        <v>1004</v>
      </c>
      <c r="K23" s="182" t="s">
        <v>25</v>
      </c>
    </row>
    <row r="24">
      <c r="A24" s="187">
        <v>45855.0</v>
      </c>
      <c r="B24" s="17" t="s">
        <v>2317</v>
      </c>
      <c r="C24" s="166">
        <v>0.0</v>
      </c>
      <c r="D24" s="166" t="s">
        <v>65</v>
      </c>
      <c r="E24" s="17" t="b">
        <v>1</v>
      </c>
      <c r="F24" s="136" t="s">
        <v>2318</v>
      </c>
      <c r="G24" s="166">
        <v>0.0</v>
      </c>
      <c r="H24" s="181" t="s">
        <v>25</v>
      </c>
      <c r="I24" s="182" t="s">
        <v>25</v>
      </c>
      <c r="J24" s="182" t="s">
        <v>1004</v>
      </c>
      <c r="K24" s="182" t="s">
        <v>25</v>
      </c>
    </row>
    <row r="25">
      <c r="A25" s="187">
        <v>45859.0</v>
      </c>
      <c r="B25" s="17" t="s">
        <v>2319</v>
      </c>
      <c r="C25" s="166">
        <v>626.5</v>
      </c>
      <c r="D25" s="166">
        <v>763.0</v>
      </c>
      <c r="E25" s="17" t="b">
        <v>1</v>
      </c>
      <c r="F25" s="17" t="s">
        <v>2320</v>
      </c>
      <c r="G25" s="166">
        <f t="shared" ref="G25:G26" si="11">D25-C25</f>
        <v>136.5</v>
      </c>
      <c r="H25" s="181" t="s">
        <v>25</v>
      </c>
      <c r="I25" s="182" t="s">
        <v>25</v>
      </c>
      <c r="J25" s="182" t="s">
        <v>1004</v>
      </c>
      <c r="K25" s="182" t="s">
        <v>25</v>
      </c>
    </row>
    <row r="26">
      <c r="A26" s="187">
        <v>45860.0</v>
      </c>
      <c r="B26" s="17" t="s">
        <v>2321</v>
      </c>
      <c r="C26" s="166">
        <v>433.16</v>
      </c>
      <c r="D26" s="166">
        <v>567.0</v>
      </c>
      <c r="E26" s="17" t="b">
        <v>1</v>
      </c>
      <c r="F26" s="17" t="s">
        <v>2322</v>
      </c>
      <c r="G26" s="166">
        <f t="shared" si="11"/>
        <v>133.84</v>
      </c>
      <c r="H26" s="181" t="s">
        <v>25</v>
      </c>
      <c r="I26" s="182" t="s">
        <v>25</v>
      </c>
      <c r="J26" s="182" t="s">
        <v>1004</v>
      </c>
      <c r="K26" s="182" t="s">
        <v>25</v>
      </c>
    </row>
    <row r="27">
      <c r="A27" s="187">
        <v>45862.0</v>
      </c>
      <c r="B27" s="17" t="s">
        <v>2323</v>
      </c>
      <c r="C27" s="166">
        <v>0.0</v>
      </c>
      <c r="D27" s="166" t="s">
        <v>65</v>
      </c>
      <c r="E27" s="17" t="b">
        <v>1</v>
      </c>
      <c r="F27" s="136" t="s">
        <v>1854</v>
      </c>
      <c r="G27" s="166">
        <v>0.0</v>
      </c>
      <c r="H27" s="181" t="s">
        <v>25</v>
      </c>
      <c r="I27" s="182" t="s">
        <v>25</v>
      </c>
      <c r="J27" s="182" t="s">
        <v>1004</v>
      </c>
      <c r="K27" s="182" t="s">
        <v>25</v>
      </c>
    </row>
    <row r="28">
      <c r="A28" s="187">
        <v>45869.0</v>
      </c>
      <c r="B28" s="179" t="s">
        <v>2324</v>
      </c>
      <c r="C28" s="166">
        <v>325.0</v>
      </c>
      <c r="D28" s="166">
        <v>325.0</v>
      </c>
      <c r="E28" s="17" t="b">
        <v>1</v>
      </c>
      <c r="F28" s="17" t="s">
        <v>2325</v>
      </c>
      <c r="G28" s="166">
        <f>D28-C28</f>
        <v>0</v>
      </c>
      <c r="H28" s="181" t="s">
        <v>25</v>
      </c>
      <c r="I28" s="182" t="s">
        <v>25</v>
      </c>
      <c r="J28" s="182" t="s">
        <v>1004</v>
      </c>
      <c r="K28" s="182" t="s">
        <v>25</v>
      </c>
    </row>
    <row r="29">
      <c r="A29" s="186">
        <v>45882.0</v>
      </c>
      <c r="B29" s="179" t="s">
        <v>2326</v>
      </c>
      <c r="C29" s="166">
        <v>0.0</v>
      </c>
      <c r="D29" s="166" t="s">
        <v>2327</v>
      </c>
      <c r="E29" s="17" t="b">
        <v>1</v>
      </c>
      <c r="F29" s="136" t="s">
        <v>1857</v>
      </c>
      <c r="G29" s="166">
        <v>0.0</v>
      </c>
      <c r="H29" s="181" t="s">
        <v>25</v>
      </c>
      <c r="I29" s="182" t="s">
        <v>25</v>
      </c>
      <c r="J29" s="182" t="s">
        <v>1004</v>
      </c>
      <c r="K29" s="182" t="s">
        <v>25</v>
      </c>
    </row>
    <row r="30">
      <c r="A30" s="187">
        <v>45883.0</v>
      </c>
      <c r="B30" s="17" t="s">
        <v>2328</v>
      </c>
      <c r="C30" s="166">
        <v>0.0</v>
      </c>
      <c r="D30" s="166" t="s">
        <v>2327</v>
      </c>
      <c r="E30" s="17" t="b">
        <v>1</v>
      </c>
      <c r="F30" s="136" t="s">
        <v>1859</v>
      </c>
      <c r="G30" s="166">
        <v>0.0</v>
      </c>
      <c r="H30" s="181" t="s">
        <v>25</v>
      </c>
      <c r="I30" s="182" t="s">
        <v>25</v>
      </c>
      <c r="J30" s="182" t="s">
        <v>1004</v>
      </c>
      <c r="K30" s="182" t="s">
        <v>25</v>
      </c>
    </row>
    <row r="31">
      <c r="A31" s="187">
        <v>45887.0</v>
      </c>
      <c r="B31" s="17" t="s">
        <v>2329</v>
      </c>
      <c r="C31" s="166">
        <v>433.16</v>
      </c>
      <c r="D31" s="166">
        <v>567.0</v>
      </c>
      <c r="E31" s="17" t="b">
        <v>1</v>
      </c>
      <c r="F31" s="17" t="s">
        <v>2330</v>
      </c>
      <c r="G31" s="166">
        <f t="shared" ref="G31:G34" si="12">D31-C31</f>
        <v>133.84</v>
      </c>
      <c r="H31" s="181" t="s">
        <v>25</v>
      </c>
      <c r="I31" s="182" t="s">
        <v>25</v>
      </c>
      <c r="J31" s="182" t="s">
        <v>1004</v>
      </c>
      <c r="K31" s="182" t="s">
        <v>25</v>
      </c>
    </row>
    <row r="32">
      <c r="A32" s="187">
        <v>45895.0</v>
      </c>
      <c r="B32" s="17" t="s">
        <v>2331</v>
      </c>
      <c r="C32" s="166">
        <v>433.16</v>
      </c>
      <c r="D32" s="166">
        <v>567.0</v>
      </c>
      <c r="E32" s="17" t="b">
        <v>1</v>
      </c>
      <c r="F32" s="17" t="s">
        <v>2332</v>
      </c>
      <c r="G32" s="140">
        <f t="shared" si="12"/>
        <v>133.84</v>
      </c>
      <c r="H32" s="181" t="s">
        <v>25</v>
      </c>
      <c r="I32" s="182" t="s">
        <v>25</v>
      </c>
      <c r="J32" s="182" t="s">
        <v>1004</v>
      </c>
      <c r="K32" s="182" t="s">
        <v>25</v>
      </c>
    </row>
    <row r="33">
      <c r="A33" s="187">
        <v>45898.0</v>
      </c>
      <c r="B33" s="17" t="s">
        <v>2333</v>
      </c>
      <c r="C33" s="166">
        <v>433.16</v>
      </c>
      <c r="D33" s="166">
        <v>567.0</v>
      </c>
      <c r="E33" s="17" t="b">
        <v>1</v>
      </c>
      <c r="F33" s="17" t="s">
        <v>2334</v>
      </c>
      <c r="G33" s="140">
        <f t="shared" si="12"/>
        <v>133.84</v>
      </c>
      <c r="H33" s="181" t="s">
        <v>25</v>
      </c>
      <c r="I33" s="182" t="s">
        <v>25</v>
      </c>
      <c r="J33" s="182" t="s">
        <v>1004</v>
      </c>
      <c r="K33" s="182" t="s">
        <v>25</v>
      </c>
    </row>
    <row r="34">
      <c r="A34" s="187">
        <v>45912.0</v>
      </c>
      <c r="B34" s="17" t="s">
        <v>2335</v>
      </c>
      <c r="C34" s="166">
        <v>433.16</v>
      </c>
      <c r="D34" s="166">
        <v>567.0</v>
      </c>
      <c r="E34" s="17" t="b">
        <v>1</v>
      </c>
      <c r="F34" s="17" t="s">
        <v>2336</v>
      </c>
      <c r="G34" s="140">
        <f t="shared" si="12"/>
        <v>133.84</v>
      </c>
      <c r="H34" s="181" t="s">
        <v>25</v>
      </c>
      <c r="I34" s="182" t="s">
        <v>25</v>
      </c>
      <c r="J34" s="182" t="s">
        <v>1004</v>
      </c>
      <c r="K34" s="182" t="s">
        <v>25</v>
      </c>
    </row>
    <row r="35">
      <c r="A35" s="187">
        <v>45923.0</v>
      </c>
      <c r="B35" s="17" t="s">
        <v>2337</v>
      </c>
      <c r="C35" s="166">
        <v>0.0</v>
      </c>
      <c r="D35" s="166" t="s">
        <v>2327</v>
      </c>
      <c r="E35" s="17" t="b">
        <v>1</v>
      </c>
      <c r="F35" s="136" t="s">
        <v>1887</v>
      </c>
      <c r="G35" s="166" t="s">
        <v>224</v>
      </c>
      <c r="H35" s="181" t="s">
        <v>25</v>
      </c>
      <c r="I35" s="182" t="s">
        <v>25</v>
      </c>
      <c r="J35" s="182" t="s">
        <v>1004</v>
      </c>
      <c r="K35" s="182" t="s">
        <v>25</v>
      </c>
    </row>
    <row r="36">
      <c r="A36" s="187">
        <v>45923.0</v>
      </c>
      <c r="B36" s="17" t="s">
        <v>2338</v>
      </c>
      <c r="C36" s="166">
        <v>0.0</v>
      </c>
      <c r="D36" s="166" t="s">
        <v>2327</v>
      </c>
      <c r="E36" s="17" t="b">
        <v>1</v>
      </c>
      <c r="F36" s="136" t="s">
        <v>1889</v>
      </c>
      <c r="G36" s="166" t="s">
        <v>224</v>
      </c>
      <c r="H36" s="181" t="s">
        <v>25</v>
      </c>
      <c r="I36" s="182" t="s">
        <v>25</v>
      </c>
      <c r="J36" s="182" t="s">
        <v>1004</v>
      </c>
      <c r="K36" s="182" t="s">
        <v>25</v>
      </c>
    </row>
    <row r="37">
      <c r="A37" s="187">
        <v>45929.0</v>
      </c>
      <c r="B37" s="17" t="s">
        <v>2339</v>
      </c>
      <c r="C37" s="166">
        <v>433.16</v>
      </c>
      <c r="D37" s="166">
        <v>567.0</v>
      </c>
      <c r="E37" s="17" t="b">
        <v>1</v>
      </c>
      <c r="F37" s="17" t="s">
        <v>2340</v>
      </c>
      <c r="G37" s="140">
        <f t="shared" ref="G37:G40" si="13">D37-C37</f>
        <v>133.84</v>
      </c>
      <c r="H37" s="181" t="s">
        <v>25</v>
      </c>
      <c r="I37" s="182" t="s">
        <v>25</v>
      </c>
      <c r="J37" s="182" t="s">
        <v>1004</v>
      </c>
      <c r="K37" s="182" t="s">
        <v>25</v>
      </c>
    </row>
    <row r="38">
      <c r="A38" s="195">
        <v>45933.0</v>
      </c>
      <c r="B38" s="196" t="s">
        <v>2341</v>
      </c>
      <c r="C38" s="197">
        <v>60.0</v>
      </c>
      <c r="D38" s="198">
        <v>110.0</v>
      </c>
      <c r="E38" s="199" t="b">
        <v>1</v>
      </c>
      <c r="F38" s="196" t="s">
        <v>2342</v>
      </c>
      <c r="G38" s="200">
        <f t="shared" si="13"/>
        <v>50</v>
      </c>
      <c r="H38" s="181" t="s">
        <v>25</v>
      </c>
      <c r="I38" s="182" t="s">
        <v>25</v>
      </c>
      <c r="J38" s="182" t="s">
        <v>1004</v>
      </c>
      <c r="K38" s="182" t="s">
        <v>25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</row>
    <row r="39">
      <c r="A39" s="195">
        <v>45924.0</v>
      </c>
      <c r="B39" s="17" t="s">
        <v>2343</v>
      </c>
      <c r="C39" s="197">
        <v>307.0</v>
      </c>
      <c r="D39" s="198">
        <v>497.5</v>
      </c>
      <c r="E39" s="199" t="b">
        <v>1</v>
      </c>
      <c r="F39" s="196" t="s">
        <v>2344</v>
      </c>
      <c r="G39" s="200">
        <f t="shared" si="13"/>
        <v>190.5</v>
      </c>
      <c r="H39" s="181" t="s">
        <v>25</v>
      </c>
      <c r="I39" s="182" t="s">
        <v>25</v>
      </c>
      <c r="J39" s="182" t="s">
        <v>1004</v>
      </c>
      <c r="K39" s="182" t="s">
        <v>25</v>
      </c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</row>
    <row r="40">
      <c r="A40" s="195">
        <v>45924.0</v>
      </c>
      <c r="B40" s="196" t="s">
        <v>2345</v>
      </c>
      <c r="C40" s="198">
        <v>178.0</v>
      </c>
      <c r="D40" s="198">
        <v>178.0</v>
      </c>
      <c r="E40" s="199" t="b">
        <v>1</v>
      </c>
      <c r="F40" s="196" t="s">
        <v>2346</v>
      </c>
      <c r="G40" s="200">
        <f t="shared" si="13"/>
        <v>0</v>
      </c>
      <c r="H40" s="181" t="s">
        <v>25</v>
      </c>
      <c r="I40" s="182" t="s">
        <v>25</v>
      </c>
      <c r="J40" s="182" t="s">
        <v>1004</v>
      </c>
      <c r="K40" s="182" t="s">
        <v>25</v>
      </c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</row>
    <row r="41">
      <c r="A41" s="195">
        <v>45924.0</v>
      </c>
      <c r="B41" s="196" t="s">
        <v>2347</v>
      </c>
      <c r="C41" s="198">
        <v>190.0</v>
      </c>
      <c r="D41" s="198">
        <v>288.0</v>
      </c>
      <c r="E41" s="199" t="b">
        <v>1</v>
      </c>
      <c r="F41" s="196" t="s">
        <v>2348</v>
      </c>
      <c r="G41" s="200">
        <f>D41-C40</f>
        <v>110</v>
      </c>
      <c r="H41" s="181" t="s">
        <v>25</v>
      </c>
      <c r="I41" s="182" t="s">
        <v>25</v>
      </c>
      <c r="J41" s="182" t="s">
        <v>1004</v>
      </c>
      <c r="K41" s="182" t="s">
        <v>25</v>
      </c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</row>
    <row r="42">
      <c r="A42" s="195">
        <v>45937.0</v>
      </c>
      <c r="B42" s="196" t="s">
        <v>2349</v>
      </c>
      <c r="C42" s="201">
        <v>0.0</v>
      </c>
      <c r="D42" s="198" t="s">
        <v>2327</v>
      </c>
      <c r="E42" s="199" t="b">
        <v>1</v>
      </c>
      <c r="F42" s="202" t="s">
        <v>2350</v>
      </c>
      <c r="G42" s="200" t="str">
        <f t="shared" ref="G42:G58" si="14">D42-C42</f>
        <v>#VALUE!</v>
      </c>
      <c r="H42" s="181" t="s">
        <v>25</v>
      </c>
      <c r="I42" s="182" t="s">
        <v>25</v>
      </c>
      <c r="J42" s="182" t="s">
        <v>867</v>
      </c>
      <c r="K42" s="182" t="s">
        <v>25</v>
      </c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</row>
    <row r="43">
      <c r="A43" s="187">
        <v>45943.0</v>
      </c>
      <c r="B43" s="17" t="s">
        <v>2351</v>
      </c>
      <c r="C43" s="166">
        <v>0.0</v>
      </c>
      <c r="D43" s="166" t="s">
        <v>2327</v>
      </c>
      <c r="E43" s="17" t="b">
        <v>1</v>
      </c>
      <c r="F43" s="136" t="s">
        <v>1955</v>
      </c>
      <c r="G43" s="140" t="str">
        <f t="shared" si="14"/>
        <v>#VALUE!</v>
      </c>
      <c r="H43" s="181" t="s">
        <v>25</v>
      </c>
      <c r="I43" s="182" t="s">
        <v>25</v>
      </c>
      <c r="J43" s="182" t="s">
        <v>867</v>
      </c>
      <c r="K43" s="182" t="s">
        <v>25</v>
      </c>
    </row>
    <row r="44">
      <c r="A44" s="195">
        <v>45944.0</v>
      </c>
      <c r="B44" s="196" t="s">
        <v>2352</v>
      </c>
      <c r="C44" s="201">
        <v>0.0</v>
      </c>
      <c r="D44" s="198" t="s">
        <v>2327</v>
      </c>
      <c r="E44" s="199" t="b">
        <v>1</v>
      </c>
      <c r="F44" s="202" t="s">
        <v>1957</v>
      </c>
      <c r="G44" s="200" t="str">
        <f t="shared" si="14"/>
        <v>#VALUE!</v>
      </c>
      <c r="H44" s="181" t="s">
        <v>25</v>
      </c>
      <c r="I44" s="182" t="s">
        <v>25</v>
      </c>
      <c r="J44" s="182" t="s">
        <v>867</v>
      </c>
      <c r="K44" s="182" t="s">
        <v>25</v>
      </c>
    </row>
    <row r="45">
      <c r="A45" s="195">
        <v>45944.0</v>
      </c>
      <c r="B45" s="196" t="s">
        <v>2353</v>
      </c>
      <c r="C45" s="197">
        <v>433.16</v>
      </c>
      <c r="D45" s="198">
        <v>567.0</v>
      </c>
      <c r="E45" s="199" t="b">
        <v>1</v>
      </c>
      <c r="F45" s="196" t="s">
        <v>2354</v>
      </c>
      <c r="G45" s="200">
        <f t="shared" si="14"/>
        <v>133.84</v>
      </c>
      <c r="H45" s="181" t="s">
        <v>25</v>
      </c>
      <c r="I45" s="182" t="s">
        <v>25</v>
      </c>
      <c r="J45" s="182" t="s">
        <v>1004</v>
      </c>
      <c r="K45" s="182" t="s">
        <v>25</v>
      </c>
    </row>
    <row r="46">
      <c r="A46" s="195">
        <v>45951.0</v>
      </c>
      <c r="B46" s="196" t="s">
        <v>2355</v>
      </c>
      <c r="C46" s="197">
        <v>433.16</v>
      </c>
      <c r="D46" s="198">
        <v>567.0</v>
      </c>
      <c r="E46" s="199" t="b">
        <v>1</v>
      </c>
      <c r="F46" s="196" t="s">
        <v>2356</v>
      </c>
      <c r="G46" s="200">
        <f t="shared" si="14"/>
        <v>133.84</v>
      </c>
      <c r="H46" s="181" t="s">
        <v>25</v>
      </c>
      <c r="I46" s="182" t="s">
        <v>25</v>
      </c>
      <c r="J46" s="182" t="s">
        <v>867</v>
      </c>
      <c r="K46" s="182" t="s">
        <v>25</v>
      </c>
    </row>
    <row r="47">
      <c r="A47" s="195">
        <v>45955.0</v>
      </c>
      <c r="B47" s="196" t="s">
        <v>2357</v>
      </c>
      <c r="C47" s="201">
        <v>0.0</v>
      </c>
      <c r="D47" s="198" t="s">
        <v>2327</v>
      </c>
      <c r="E47" s="199" t="b">
        <v>1</v>
      </c>
      <c r="F47" s="196" t="s">
        <v>2006</v>
      </c>
      <c r="G47" s="200" t="str">
        <f t="shared" si="14"/>
        <v>#VALUE!</v>
      </c>
      <c r="H47" s="181" t="s">
        <v>25</v>
      </c>
      <c r="I47" s="182" t="s">
        <v>25</v>
      </c>
      <c r="J47" s="182" t="s">
        <v>867</v>
      </c>
      <c r="K47" s="182" t="s">
        <v>25</v>
      </c>
    </row>
    <row r="48">
      <c r="A48" s="195">
        <v>45960.0</v>
      </c>
      <c r="B48" s="196" t="s">
        <v>2358</v>
      </c>
      <c r="C48" s="197">
        <v>52.0</v>
      </c>
      <c r="D48" s="198">
        <v>110.0</v>
      </c>
      <c r="E48" s="199" t="b">
        <v>1</v>
      </c>
      <c r="F48" s="196" t="s">
        <v>2359</v>
      </c>
      <c r="G48" s="200">
        <f t="shared" si="14"/>
        <v>58</v>
      </c>
      <c r="H48" s="181" t="s">
        <v>25</v>
      </c>
      <c r="I48" s="182" t="s">
        <v>25</v>
      </c>
      <c r="J48" s="182" t="s">
        <v>867</v>
      </c>
      <c r="K48" s="182" t="s">
        <v>25</v>
      </c>
    </row>
    <row r="49">
      <c r="A49" s="187">
        <v>45965.0</v>
      </c>
      <c r="B49" s="17" t="s">
        <v>2360</v>
      </c>
      <c r="C49" s="166">
        <v>0.0</v>
      </c>
      <c r="D49" s="166" t="s">
        <v>2327</v>
      </c>
      <c r="E49" s="17" t="b">
        <v>1</v>
      </c>
      <c r="F49" s="136" t="s">
        <v>2029</v>
      </c>
      <c r="G49" s="140" t="str">
        <f t="shared" si="14"/>
        <v>#VALUE!</v>
      </c>
      <c r="H49" s="181" t="s">
        <v>25</v>
      </c>
      <c r="I49" s="182" t="s">
        <v>25</v>
      </c>
      <c r="J49" s="182" t="s">
        <v>867</v>
      </c>
      <c r="K49" s="182" t="s">
        <v>25</v>
      </c>
    </row>
    <row r="50">
      <c r="A50" s="195">
        <v>45987.0</v>
      </c>
      <c r="B50" s="196" t="s">
        <v>2361</v>
      </c>
      <c r="C50" s="201">
        <v>0.0</v>
      </c>
      <c r="D50" s="198" t="s">
        <v>2327</v>
      </c>
      <c r="E50" s="199" t="b">
        <v>1</v>
      </c>
      <c r="F50" s="202" t="s">
        <v>2079</v>
      </c>
      <c r="G50" s="200" t="str">
        <f t="shared" si="14"/>
        <v>#VALUE!</v>
      </c>
      <c r="H50" s="181" t="s">
        <v>25</v>
      </c>
      <c r="I50" s="182" t="s">
        <v>25</v>
      </c>
      <c r="J50" s="182" t="s">
        <v>867</v>
      </c>
      <c r="K50" s="182" t="s">
        <v>25</v>
      </c>
    </row>
    <row r="51">
      <c r="A51" s="195">
        <v>45989.0</v>
      </c>
      <c r="B51" s="196" t="s">
        <v>2362</v>
      </c>
      <c r="C51" s="197">
        <v>433.16</v>
      </c>
      <c r="D51" s="198">
        <v>570.0</v>
      </c>
      <c r="E51" s="199" t="b">
        <v>1</v>
      </c>
      <c r="F51" s="196" t="s">
        <v>2363</v>
      </c>
      <c r="G51" s="200">
        <f t="shared" si="14"/>
        <v>136.84</v>
      </c>
      <c r="H51" s="181" t="s">
        <v>25</v>
      </c>
      <c r="I51" s="182" t="s">
        <v>25</v>
      </c>
      <c r="J51" s="182" t="s">
        <v>867</v>
      </c>
      <c r="K51" s="182" t="s">
        <v>25</v>
      </c>
    </row>
    <row r="52">
      <c r="A52" s="195">
        <v>45993.0</v>
      </c>
      <c r="B52" s="196" t="s">
        <v>2364</v>
      </c>
      <c r="C52" s="201">
        <v>0.0</v>
      </c>
      <c r="D52" s="198" t="s">
        <v>2327</v>
      </c>
      <c r="E52" s="199" t="b">
        <v>1</v>
      </c>
      <c r="F52" s="202" t="s">
        <v>2092</v>
      </c>
      <c r="G52" s="140" t="str">
        <f t="shared" si="14"/>
        <v>#VALUE!</v>
      </c>
      <c r="H52" s="181" t="s">
        <v>25</v>
      </c>
      <c r="I52" s="182" t="s">
        <v>25</v>
      </c>
      <c r="J52" s="182" t="s">
        <v>1004</v>
      </c>
      <c r="K52" s="182" t="s">
        <v>25</v>
      </c>
    </row>
    <row r="53">
      <c r="A53" s="195">
        <v>45993.0</v>
      </c>
      <c r="B53" s="196" t="s">
        <v>2365</v>
      </c>
      <c r="C53" s="201">
        <v>0.0</v>
      </c>
      <c r="D53" s="198" t="s">
        <v>2327</v>
      </c>
      <c r="E53" s="199" t="b">
        <v>1</v>
      </c>
      <c r="F53" s="203" t="s">
        <v>2091</v>
      </c>
      <c r="G53" s="140" t="str">
        <f t="shared" si="14"/>
        <v>#VALUE!</v>
      </c>
      <c r="H53" s="181" t="s">
        <v>25</v>
      </c>
      <c r="I53" s="182" t="s">
        <v>25</v>
      </c>
      <c r="J53" s="182" t="s">
        <v>1004</v>
      </c>
      <c r="K53" s="182" t="s">
        <v>25</v>
      </c>
    </row>
    <row r="54">
      <c r="A54" s="187">
        <v>45994.0</v>
      </c>
      <c r="B54" s="17" t="s">
        <v>2366</v>
      </c>
      <c r="C54" s="166">
        <v>0.0</v>
      </c>
      <c r="D54" s="166" t="s">
        <v>2327</v>
      </c>
      <c r="E54" s="17" t="b">
        <v>1</v>
      </c>
      <c r="F54" s="136" t="s">
        <v>2105</v>
      </c>
      <c r="G54" s="140" t="str">
        <f t="shared" si="14"/>
        <v>#VALUE!</v>
      </c>
      <c r="H54" s="181" t="s">
        <v>25</v>
      </c>
      <c r="I54" s="182" t="s">
        <v>25</v>
      </c>
      <c r="J54" s="182" t="s">
        <v>1004</v>
      </c>
      <c r="K54" s="182" t="s">
        <v>25</v>
      </c>
    </row>
    <row r="55">
      <c r="A55" s="187">
        <v>45994.0</v>
      </c>
      <c r="B55" s="196" t="s">
        <v>2367</v>
      </c>
      <c r="C55" s="198">
        <v>0.0</v>
      </c>
      <c r="D55" s="166" t="s">
        <v>2327</v>
      </c>
      <c r="E55" s="199" t="b">
        <v>1</v>
      </c>
      <c r="F55" s="202" t="s">
        <v>2148</v>
      </c>
      <c r="G55" s="140" t="str">
        <f t="shared" si="14"/>
        <v>#VALUE!</v>
      </c>
      <c r="H55" s="181" t="s">
        <v>25</v>
      </c>
      <c r="I55" s="182" t="s">
        <v>25</v>
      </c>
      <c r="J55" s="182" t="s">
        <v>1004</v>
      </c>
      <c r="K55" s="182" t="s">
        <v>25</v>
      </c>
    </row>
    <row r="56">
      <c r="A56" s="187">
        <v>45994.0</v>
      </c>
      <c r="B56" s="196" t="s">
        <v>2368</v>
      </c>
      <c r="C56" s="198">
        <v>0.0</v>
      </c>
      <c r="D56" s="166" t="s">
        <v>2327</v>
      </c>
      <c r="E56" s="199" t="b">
        <v>1</v>
      </c>
      <c r="F56" s="202" t="s">
        <v>2212</v>
      </c>
      <c r="G56" s="140" t="str">
        <f t="shared" si="14"/>
        <v>#VALUE!</v>
      </c>
      <c r="H56" s="181" t="s">
        <v>25</v>
      </c>
      <c r="I56" s="204" t="s">
        <v>20</v>
      </c>
      <c r="J56" s="204" t="s">
        <v>2369</v>
      </c>
      <c r="K56" s="204" t="s">
        <v>20</v>
      </c>
    </row>
    <row r="57">
      <c r="A57" s="187">
        <v>45994.0</v>
      </c>
      <c r="B57" s="196" t="s">
        <v>2370</v>
      </c>
      <c r="C57" s="198">
        <v>0.0</v>
      </c>
      <c r="D57" s="166" t="s">
        <v>2327</v>
      </c>
      <c r="E57" s="199" t="b">
        <v>1</v>
      </c>
      <c r="F57" s="202" t="s">
        <v>2209</v>
      </c>
      <c r="G57" s="140" t="str">
        <f t="shared" si="14"/>
        <v>#VALUE!</v>
      </c>
      <c r="H57" s="181" t="s">
        <v>25</v>
      </c>
      <c r="I57" s="204" t="s">
        <v>20</v>
      </c>
      <c r="J57" s="204" t="s">
        <v>2369</v>
      </c>
      <c r="K57" s="204" t="s">
        <v>20</v>
      </c>
    </row>
    <row r="58">
      <c r="A58" s="187">
        <v>45994.0</v>
      </c>
      <c r="B58" s="196" t="s">
        <v>2371</v>
      </c>
      <c r="C58" s="198">
        <v>357.0</v>
      </c>
      <c r="D58" s="180">
        <v>567.0</v>
      </c>
      <c r="E58" s="199" t="b">
        <v>1</v>
      </c>
      <c r="F58" s="196" t="s">
        <v>2372</v>
      </c>
      <c r="G58" s="200">
        <f t="shared" si="14"/>
        <v>210</v>
      </c>
      <c r="H58" s="181" t="s">
        <v>25</v>
      </c>
      <c r="I58" s="204" t="s">
        <v>20</v>
      </c>
      <c r="J58" s="204" t="s">
        <v>2369</v>
      </c>
      <c r="K58" s="204" t="s">
        <v>20</v>
      </c>
    </row>
    <row r="59">
      <c r="A59" s="187">
        <v>45994.0</v>
      </c>
      <c r="B59" s="196" t="s">
        <v>2373</v>
      </c>
      <c r="C59" s="198">
        <v>357.0</v>
      </c>
      <c r="D59" s="180">
        <v>0.0</v>
      </c>
      <c r="E59" s="199" t="b">
        <v>0</v>
      </c>
      <c r="F59" s="66"/>
      <c r="G59" s="200" t="str">
        <f t="shared" ref="G59:G61" si="15">C59-#REF!</f>
        <v>#REF!</v>
      </c>
      <c r="H59" s="181" t="s">
        <v>25</v>
      </c>
      <c r="I59" s="204" t="s">
        <v>20</v>
      </c>
      <c r="J59" s="204" t="s">
        <v>2369</v>
      </c>
      <c r="K59" s="204" t="s">
        <v>20</v>
      </c>
    </row>
    <row r="60">
      <c r="A60" s="187">
        <v>45994.0</v>
      </c>
      <c r="B60" s="196" t="s">
        <v>2374</v>
      </c>
      <c r="C60" s="198">
        <v>357.0</v>
      </c>
      <c r="D60" s="180">
        <v>0.0</v>
      </c>
      <c r="E60" s="199" t="b">
        <v>0</v>
      </c>
      <c r="F60" s="66"/>
      <c r="G60" s="200" t="str">
        <f t="shared" si="15"/>
        <v>#REF!</v>
      </c>
      <c r="H60" s="181" t="s">
        <v>25</v>
      </c>
      <c r="I60" s="204" t="s">
        <v>20</v>
      </c>
      <c r="J60" s="204" t="s">
        <v>2369</v>
      </c>
      <c r="K60" s="204" t="s">
        <v>20</v>
      </c>
    </row>
    <row r="61">
      <c r="A61" s="187">
        <v>45994.0</v>
      </c>
      <c r="B61" s="196" t="s">
        <v>2375</v>
      </c>
      <c r="C61" s="198">
        <v>357.0</v>
      </c>
      <c r="D61" s="166">
        <v>0.0</v>
      </c>
      <c r="E61" s="199" t="b">
        <v>0</v>
      </c>
      <c r="G61" s="200" t="str">
        <f t="shared" si="15"/>
        <v>#REF!</v>
      </c>
      <c r="H61" s="181" t="s">
        <v>25</v>
      </c>
      <c r="I61" s="204" t="s">
        <v>20</v>
      </c>
      <c r="J61" s="182" t="s">
        <v>2369</v>
      </c>
      <c r="K61" s="182" t="s">
        <v>20</v>
      </c>
    </row>
    <row r="62">
      <c r="A62" s="195">
        <v>46009.0</v>
      </c>
      <c r="B62" s="196" t="s">
        <v>2347</v>
      </c>
      <c r="C62" s="197">
        <v>185.0</v>
      </c>
      <c r="D62" s="198">
        <v>292.0</v>
      </c>
      <c r="E62" s="199" t="b">
        <v>1</v>
      </c>
      <c r="F62" s="196" t="s">
        <v>2376</v>
      </c>
      <c r="G62" s="200">
        <f t="shared" ref="G62:G80" si="16">D62-C62</f>
        <v>107</v>
      </c>
      <c r="H62" s="181" t="s">
        <v>25</v>
      </c>
      <c r="I62" s="182" t="s">
        <v>25</v>
      </c>
      <c r="J62" s="182" t="s">
        <v>1004</v>
      </c>
      <c r="K62" s="182" t="s">
        <v>25</v>
      </c>
    </row>
    <row r="63">
      <c r="A63" s="195">
        <v>46037.0</v>
      </c>
      <c r="B63" s="196" t="s">
        <v>2377</v>
      </c>
      <c r="C63" s="197">
        <v>330.0</v>
      </c>
      <c r="D63" s="198">
        <v>440.0</v>
      </c>
      <c r="E63" s="199" t="b">
        <v>1</v>
      </c>
      <c r="F63" s="196" t="s">
        <v>179</v>
      </c>
      <c r="G63" s="200">
        <f t="shared" si="16"/>
        <v>110</v>
      </c>
      <c r="H63" s="181" t="s">
        <v>25</v>
      </c>
      <c r="I63" s="182" t="s">
        <v>25</v>
      </c>
      <c r="J63" s="182" t="s">
        <v>1004</v>
      </c>
      <c r="K63" s="182" t="s">
        <v>25</v>
      </c>
    </row>
    <row r="64">
      <c r="A64" s="195">
        <v>46038.0</v>
      </c>
      <c r="B64" s="196" t="s">
        <v>2378</v>
      </c>
      <c r="C64" s="197">
        <v>50.0</v>
      </c>
      <c r="D64" s="198">
        <v>50.0</v>
      </c>
      <c r="E64" s="199" t="b">
        <v>1</v>
      </c>
      <c r="F64" s="196" t="s">
        <v>179</v>
      </c>
      <c r="G64" s="200">
        <f t="shared" si="16"/>
        <v>0</v>
      </c>
      <c r="H64" s="181" t="s">
        <v>25</v>
      </c>
      <c r="I64" s="182" t="s">
        <v>25</v>
      </c>
      <c r="J64" s="182" t="s">
        <v>1004</v>
      </c>
      <c r="K64" s="182" t="s">
        <v>25</v>
      </c>
    </row>
    <row r="65">
      <c r="A65" s="195">
        <v>46042.0</v>
      </c>
      <c r="B65" s="196" t="s">
        <v>2378</v>
      </c>
      <c r="C65" s="197">
        <v>100.0</v>
      </c>
      <c r="D65" s="198">
        <v>125.0</v>
      </c>
      <c r="E65" s="199" t="b">
        <v>1</v>
      </c>
      <c r="F65" s="196" t="s">
        <v>2379</v>
      </c>
      <c r="G65" s="200">
        <f t="shared" si="16"/>
        <v>25</v>
      </c>
      <c r="H65" s="181" t="s">
        <v>25</v>
      </c>
      <c r="I65" s="182" t="s">
        <v>25</v>
      </c>
      <c r="J65" s="182" t="s">
        <v>1004</v>
      </c>
      <c r="K65" s="182" t="s">
        <v>25</v>
      </c>
    </row>
    <row r="66">
      <c r="A66" s="195">
        <v>46049.0</v>
      </c>
      <c r="B66" s="196" t="s">
        <v>2378</v>
      </c>
      <c r="C66" s="197">
        <v>150.0</v>
      </c>
      <c r="D66" s="205">
        <v>200.0</v>
      </c>
      <c r="E66" s="199" t="b">
        <v>1</v>
      </c>
      <c r="F66" s="196" t="s">
        <v>2380</v>
      </c>
      <c r="G66" s="200">
        <f t="shared" si="16"/>
        <v>50</v>
      </c>
      <c r="H66" s="181" t="s">
        <v>25</v>
      </c>
      <c r="I66" s="182" t="s">
        <v>25</v>
      </c>
      <c r="J66" s="182" t="s">
        <v>1004</v>
      </c>
      <c r="K66" s="182" t="s">
        <v>25</v>
      </c>
    </row>
    <row r="67">
      <c r="A67" s="195"/>
      <c r="B67" s="196"/>
      <c r="C67" s="197"/>
      <c r="D67" s="198"/>
      <c r="E67" s="199" t="b">
        <v>0</v>
      </c>
      <c r="F67" s="196"/>
      <c r="G67" s="200">
        <f t="shared" si="16"/>
        <v>0</v>
      </c>
      <c r="H67" s="181" t="s">
        <v>20</v>
      </c>
      <c r="I67" s="204" t="s">
        <v>20</v>
      </c>
      <c r="J67" s="182" t="s">
        <v>2369</v>
      </c>
      <c r="K67" s="182" t="s">
        <v>20</v>
      </c>
    </row>
    <row r="68">
      <c r="A68" s="195"/>
      <c r="B68" s="196"/>
      <c r="C68" s="197"/>
      <c r="D68" s="198"/>
      <c r="E68" s="199" t="b">
        <v>0</v>
      </c>
      <c r="F68" s="196"/>
      <c r="G68" s="200">
        <f t="shared" si="16"/>
        <v>0</v>
      </c>
      <c r="H68" s="181" t="s">
        <v>20</v>
      </c>
      <c r="I68" s="204" t="s">
        <v>20</v>
      </c>
      <c r="J68" s="182" t="s">
        <v>2369</v>
      </c>
      <c r="K68" s="182" t="s">
        <v>20</v>
      </c>
    </row>
    <row r="69">
      <c r="A69" s="195"/>
      <c r="B69" s="196"/>
      <c r="C69" s="197"/>
      <c r="D69" s="198"/>
      <c r="E69" s="199" t="b">
        <v>0</v>
      </c>
      <c r="F69" s="196"/>
      <c r="G69" s="200">
        <f t="shared" si="16"/>
        <v>0</v>
      </c>
      <c r="H69" s="181" t="s">
        <v>20</v>
      </c>
      <c r="I69" s="204" t="s">
        <v>20</v>
      </c>
      <c r="J69" s="182" t="s">
        <v>2369</v>
      </c>
      <c r="K69" s="182" t="s">
        <v>20</v>
      </c>
    </row>
    <row r="70">
      <c r="A70" s="195"/>
      <c r="B70" s="196"/>
      <c r="C70" s="197"/>
      <c r="D70" s="198"/>
      <c r="E70" s="199" t="b">
        <v>0</v>
      </c>
      <c r="F70" s="196"/>
      <c r="G70" s="200">
        <f t="shared" si="16"/>
        <v>0</v>
      </c>
      <c r="H70" s="181" t="s">
        <v>20</v>
      </c>
      <c r="I70" s="204" t="s">
        <v>20</v>
      </c>
      <c r="J70" s="182" t="s">
        <v>2369</v>
      </c>
      <c r="K70" s="182" t="s">
        <v>20</v>
      </c>
    </row>
    <row r="71">
      <c r="A71" s="195"/>
      <c r="B71" s="196"/>
      <c r="C71" s="197"/>
      <c r="D71" s="198"/>
      <c r="E71" s="199" t="b">
        <v>0</v>
      </c>
      <c r="F71" s="196"/>
      <c r="G71" s="200">
        <f t="shared" si="16"/>
        <v>0</v>
      </c>
      <c r="H71" s="181" t="s">
        <v>20</v>
      </c>
      <c r="I71" s="204" t="s">
        <v>20</v>
      </c>
      <c r="J71" s="182" t="s">
        <v>2369</v>
      </c>
      <c r="K71" s="182" t="s">
        <v>20</v>
      </c>
    </row>
    <row r="72">
      <c r="A72" s="195"/>
      <c r="B72" s="196"/>
      <c r="C72" s="197"/>
      <c r="D72" s="198"/>
      <c r="E72" s="199" t="b">
        <v>0</v>
      </c>
      <c r="F72" s="196"/>
      <c r="G72" s="200">
        <f t="shared" si="16"/>
        <v>0</v>
      </c>
      <c r="H72" s="181" t="s">
        <v>20</v>
      </c>
      <c r="I72" s="204" t="s">
        <v>20</v>
      </c>
      <c r="J72" s="182" t="s">
        <v>2369</v>
      </c>
      <c r="K72" s="182" t="s">
        <v>20</v>
      </c>
    </row>
    <row r="73">
      <c r="A73" s="195"/>
      <c r="B73" s="196"/>
      <c r="C73" s="197"/>
      <c r="D73" s="198"/>
      <c r="E73" s="199" t="b">
        <v>0</v>
      </c>
      <c r="F73" s="196"/>
      <c r="G73" s="200">
        <f t="shared" si="16"/>
        <v>0</v>
      </c>
      <c r="H73" s="181" t="s">
        <v>20</v>
      </c>
      <c r="I73" s="204" t="s">
        <v>20</v>
      </c>
      <c r="J73" s="182" t="s">
        <v>2369</v>
      </c>
      <c r="K73" s="182" t="s">
        <v>20</v>
      </c>
    </row>
    <row r="74">
      <c r="A74" s="195"/>
      <c r="B74" s="196"/>
      <c r="C74" s="197"/>
      <c r="D74" s="198"/>
      <c r="E74" s="199" t="b">
        <v>0</v>
      </c>
      <c r="F74" s="196"/>
      <c r="G74" s="200">
        <f t="shared" si="16"/>
        <v>0</v>
      </c>
      <c r="H74" s="181" t="s">
        <v>20</v>
      </c>
      <c r="I74" s="204" t="s">
        <v>20</v>
      </c>
      <c r="J74" s="182" t="s">
        <v>2369</v>
      </c>
      <c r="K74" s="182" t="s">
        <v>20</v>
      </c>
    </row>
    <row r="75">
      <c r="A75" s="195"/>
      <c r="B75" s="196"/>
      <c r="C75" s="197"/>
      <c r="D75" s="198"/>
      <c r="E75" s="199" t="b">
        <v>0</v>
      </c>
      <c r="F75" s="196"/>
      <c r="G75" s="200">
        <f t="shared" si="16"/>
        <v>0</v>
      </c>
      <c r="H75" s="181" t="s">
        <v>20</v>
      </c>
      <c r="I75" s="204" t="s">
        <v>20</v>
      </c>
      <c r="J75" s="182" t="s">
        <v>2369</v>
      </c>
      <c r="K75" s="182" t="s">
        <v>20</v>
      </c>
    </row>
    <row r="76">
      <c r="A76" s="195"/>
      <c r="B76" s="196"/>
      <c r="C76" s="197"/>
      <c r="D76" s="198"/>
      <c r="E76" s="199" t="b">
        <v>0</v>
      </c>
      <c r="F76" s="196"/>
      <c r="G76" s="200">
        <f t="shared" si="16"/>
        <v>0</v>
      </c>
      <c r="H76" s="181" t="s">
        <v>20</v>
      </c>
      <c r="I76" s="204" t="s">
        <v>20</v>
      </c>
      <c r="J76" s="182" t="s">
        <v>2369</v>
      </c>
      <c r="K76" s="182" t="s">
        <v>20</v>
      </c>
    </row>
    <row r="77">
      <c r="A77" s="195"/>
      <c r="B77" s="196"/>
      <c r="C77" s="197"/>
      <c r="D77" s="198"/>
      <c r="E77" s="199" t="b">
        <v>0</v>
      </c>
      <c r="F77" s="196"/>
      <c r="G77" s="200">
        <f t="shared" si="16"/>
        <v>0</v>
      </c>
      <c r="H77" s="181" t="s">
        <v>20</v>
      </c>
      <c r="I77" s="204" t="s">
        <v>20</v>
      </c>
      <c r="J77" s="182" t="s">
        <v>2369</v>
      </c>
      <c r="K77" s="182" t="s">
        <v>20</v>
      </c>
    </row>
    <row r="78">
      <c r="A78" s="195"/>
      <c r="B78" s="196"/>
      <c r="C78" s="197"/>
      <c r="D78" s="198"/>
      <c r="E78" s="199" t="b">
        <v>0</v>
      </c>
      <c r="F78" s="196"/>
      <c r="G78" s="200">
        <f t="shared" si="16"/>
        <v>0</v>
      </c>
      <c r="H78" s="181" t="s">
        <v>20</v>
      </c>
      <c r="I78" s="204" t="s">
        <v>20</v>
      </c>
      <c r="J78" s="182" t="s">
        <v>2369</v>
      </c>
      <c r="K78" s="182" t="s">
        <v>20</v>
      </c>
    </row>
    <row r="79">
      <c r="A79" s="195"/>
      <c r="B79" s="196"/>
      <c r="C79" s="197"/>
      <c r="D79" s="198"/>
      <c r="E79" s="199" t="b">
        <v>0</v>
      </c>
      <c r="F79" s="196"/>
      <c r="G79" s="200">
        <f t="shared" si="16"/>
        <v>0</v>
      </c>
      <c r="H79" s="181" t="s">
        <v>20</v>
      </c>
      <c r="I79" s="204" t="s">
        <v>20</v>
      </c>
      <c r="J79" s="182" t="s">
        <v>2369</v>
      </c>
      <c r="K79" s="182" t="s">
        <v>20</v>
      </c>
    </row>
    <row r="80">
      <c r="A80" s="195"/>
      <c r="B80" s="196"/>
      <c r="C80" s="197"/>
      <c r="D80" s="198"/>
      <c r="E80" s="199" t="b">
        <v>0</v>
      </c>
      <c r="F80" s="196"/>
      <c r="G80" s="200">
        <f t="shared" si="16"/>
        <v>0</v>
      </c>
      <c r="H80" s="181" t="s">
        <v>20</v>
      </c>
      <c r="I80" s="204" t="s">
        <v>20</v>
      </c>
      <c r="J80" s="182" t="s">
        <v>2369</v>
      </c>
      <c r="K80" s="182" t="s">
        <v>20</v>
      </c>
    </row>
    <row r="81">
      <c r="C81" s="140"/>
      <c r="D81" s="140"/>
      <c r="G81" s="140"/>
    </row>
    <row r="82">
      <c r="C82" s="140"/>
      <c r="D82" s="140"/>
      <c r="G82" s="140"/>
    </row>
    <row r="83">
      <c r="C83" s="140"/>
      <c r="D83" s="140"/>
      <c r="G83" s="140"/>
    </row>
    <row r="84">
      <c r="C84" s="140"/>
      <c r="D84" s="140"/>
      <c r="G84" s="140"/>
    </row>
    <row r="85">
      <c r="C85" s="140"/>
      <c r="D85" s="140"/>
      <c r="G85" s="140"/>
    </row>
    <row r="86">
      <c r="C86" s="140"/>
      <c r="D86" s="140"/>
      <c r="G86" s="140"/>
    </row>
    <row r="87">
      <c r="C87" s="140"/>
      <c r="D87" s="140"/>
      <c r="G87" s="140"/>
    </row>
    <row r="88">
      <c r="C88" s="140"/>
      <c r="D88" s="140"/>
      <c r="G88" s="140"/>
    </row>
    <row r="89">
      <c r="C89" s="140"/>
      <c r="D89" s="140"/>
      <c r="G89" s="140"/>
    </row>
    <row r="90">
      <c r="C90" s="140"/>
      <c r="D90" s="140"/>
      <c r="G90" s="140"/>
    </row>
    <row r="91">
      <c r="C91" s="140"/>
      <c r="D91" s="140"/>
      <c r="G91" s="140"/>
    </row>
    <row r="92">
      <c r="C92" s="140"/>
      <c r="D92" s="140"/>
      <c r="G92" s="140"/>
    </row>
    <row r="93">
      <c r="C93" s="140"/>
      <c r="D93" s="140"/>
      <c r="G93" s="140"/>
    </row>
    <row r="94">
      <c r="C94" s="140"/>
      <c r="D94" s="140"/>
      <c r="G94" s="140"/>
    </row>
    <row r="95">
      <c r="C95" s="140"/>
      <c r="D95" s="140"/>
      <c r="G95" s="140"/>
    </row>
    <row r="96">
      <c r="C96" s="140"/>
      <c r="D96" s="140"/>
      <c r="G96" s="140"/>
    </row>
    <row r="97">
      <c r="C97" s="140"/>
      <c r="D97" s="140"/>
      <c r="G97" s="140"/>
    </row>
    <row r="98">
      <c r="C98" s="140"/>
      <c r="D98" s="140"/>
      <c r="G98" s="140"/>
    </row>
    <row r="99">
      <c r="C99" s="140"/>
      <c r="D99" s="140"/>
      <c r="G99" s="140"/>
    </row>
    <row r="100">
      <c r="C100" s="140"/>
      <c r="D100" s="140"/>
      <c r="G100" s="140"/>
    </row>
    <row r="101">
      <c r="C101" s="140"/>
      <c r="D101" s="140"/>
      <c r="G101" s="140"/>
    </row>
    <row r="102">
      <c r="C102" s="140"/>
      <c r="D102" s="140"/>
      <c r="G102" s="140"/>
    </row>
    <row r="103">
      <c r="C103" s="140"/>
      <c r="D103" s="140"/>
      <c r="G103" s="140"/>
    </row>
    <row r="104">
      <c r="C104" s="140"/>
      <c r="D104" s="140"/>
      <c r="G104" s="140"/>
    </row>
    <row r="105">
      <c r="C105" s="140"/>
      <c r="D105" s="140"/>
      <c r="G105" s="140"/>
    </row>
    <row r="106">
      <c r="C106" s="140"/>
      <c r="D106" s="140"/>
      <c r="G106" s="140"/>
    </row>
    <row r="107">
      <c r="C107" s="140"/>
      <c r="D107" s="140"/>
      <c r="G107" s="140"/>
    </row>
    <row r="108">
      <c r="C108" s="140"/>
      <c r="D108" s="140"/>
      <c r="G108" s="140"/>
    </row>
    <row r="109">
      <c r="C109" s="140"/>
      <c r="D109" s="140"/>
      <c r="G109" s="140"/>
    </row>
    <row r="110">
      <c r="C110" s="140"/>
      <c r="D110" s="140"/>
      <c r="G110" s="140"/>
    </row>
    <row r="111">
      <c r="C111" s="140"/>
      <c r="D111" s="140"/>
      <c r="G111" s="140"/>
    </row>
    <row r="112">
      <c r="C112" s="140"/>
      <c r="D112" s="140"/>
      <c r="G112" s="140"/>
    </row>
    <row r="113">
      <c r="C113" s="140"/>
      <c r="D113" s="140"/>
      <c r="G113" s="140"/>
    </row>
    <row r="114">
      <c r="C114" s="140"/>
      <c r="D114" s="140"/>
      <c r="G114" s="140"/>
    </row>
    <row r="115">
      <c r="C115" s="140"/>
      <c r="D115" s="140"/>
      <c r="G115" s="140"/>
    </row>
    <row r="116">
      <c r="C116" s="140"/>
      <c r="D116" s="140"/>
      <c r="G116" s="140"/>
    </row>
    <row r="117">
      <c r="C117" s="140"/>
      <c r="D117" s="140"/>
      <c r="G117" s="140"/>
    </row>
    <row r="118">
      <c r="C118" s="140"/>
      <c r="D118" s="140"/>
      <c r="G118" s="140"/>
    </row>
    <row r="119">
      <c r="C119" s="140"/>
      <c r="D119" s="140"/>
      <c r="G119" s="140"/>
    </row>
    <row r="120">
      <c r="C120" s="140"/>
      <c r="D120" s="140"/>
      <c r="G120" s="140"/>
    </row>
    <row r="121">
      <c r="C121" s="140"/>
      <c r="D121" s="140"/>
      <c r="G121" s="140"/>
    </row>
    <row r="122">
      <c r="C122" s="140"/>
      <c r="D122" s="140"/>
      <c r="G122" s="140"/>
    </row>
    <row r="123">
      <c r="C123" s="140"/>
      <c r="D123" s="140"/>
      <c r="G123" s="140"/>
    </row>
    <row r="124">
      <c r="C124" s="140"/>
      <c r="D124" s="140"/>
      <c r="G124" s="140"/>
    </row>
    <row r="125">
      <c r="C125" s="140"/>
      <c r="D125" s="140"/>
      <c r="G125" s="140"/>
    </row>
    <row r="126">
      <c r="C126" s="140"/>
      <c r="D126" s="140"/>
      <c r="G126" s="140"/>
    </row>
    <row r="127">
      <c r="C127" s="140"/>
      <c r="D127" s="140"/>
      <c r="G127" s="140"/>
    </row>
    <row r="128">
      <c r="C128" s="140"/>
      <c r="D128" s="140"/>
      <c r="G128" s="140"/>
    </row>
    <row r="129">
      <c r="C129" s="140"/>
      <c r="D129" s="140"/>
      <c r="G129" s="140"/>
    </row>
    <row r="130">
      <c r="C130" s="140"/>
      <c r="D130" s="140"/>
      <c r="G130" s="140"/>
    </row>
    <row r="131">
      <c r="C131" s="140"/>
      <c r="D131" s="140"/>
      <c r="G131" s="140"/>
    </row>
    <row r="132">
      <c r="C132" s="140"/>
      <c r="D132" s="140"/>
      <c r="G132" s="140"/>
    </row>
    <row r="133">
      <c r="C133" s="140"/>
      <c r="D133" s="140"/>
      <c r="G133" s="140"/>
    </row>
    <row r="134">
      <c r="C134" s="140"/>
      <c r="D134" s="140"/>
      <c r="G134" s="140"/>
    </row>
    <row r="135">
      <c r="C135" s="140"/>
      <c r="D135" s="140"/>
      <c r="G135" s="140"/>
    </row>
    <row r="136">
      <c r="C136" s="140"/>
      <c r="D136" s="140"/>
      <c r="G136" s="140"/>
    </row>
    <row r="137">
      <c r="C137" s="140"/>
      <c r="D137" s="140"/>
      <c r="G137" s="140"/>
    </row>
    <row r="138">
      <c r="C138" s="140"/>
      <c r="D138" s="140"/>
      <c r="G138" s="140"/>
    </row>
    <row r="139">
      <c r="C139" s="140"/>
      <c r="D139" s="140"/>
      <c r="G139" s="140"/>
    </row>
    <row r="140">
      <c r="C140" s="140"/>
      <c r="D140" s="140"/>
      <c r="G140" s="140"/>
    </row>
    <row r="141">
      <c r="C141" s="140"/>
      <c r="D141" s="140"/>
      <c r="G141" s="140"/>
    </row>
    <row r="142">
      <c r="C142" s="140"/>
      <c r="D142" s="140"/>
      <c r="G142" s="140"/>
    </row>
    <row r="143">
      <c r="C143" s="140"/>
      <c r="D143" s="140"/>
      <c r="G143" s="140"/>
    </row>
    <row r="144">
      <c r="C144" s="140"/>
      <c r="D144" s="140"/>
      <c r="G144" s="140"/>
    </row>
    <row r="145">
      <c r="C145" s="140"/>
      <c r="D145" s="140"/>
      <c r="G145" s="140"/>
    </row>
    <row r="146">
      <c r="C146" s="140"/>
      <c r="D146" s="140"/>
      <c r="G146" s="140"/>
    </row>
    <row r="147">
      <c r="C147" s="140"/>
      <c r="D147" s="140"/>
      <c r="G147" s="140"/>
    </row>
    <row r="148">
      <c r="C148" s="140"/>
      <c r="D148" s="140"/>
      <c r="G148" s="140"/>
    </row>
    <row r="149">
      <c r="C149" s="140"/>
      <c r="D149" s="140"/>
      <c r="G149" s="140"/>
    </row>
    <row r="150">
      <c r="C150" s="140"/>
      <c r="D150" s="140"/>
      <c r="G150" s="140"/>
    </row>
    <row r="151">
      <c r="C151" s="140"/>
      <c r="D151" s="140"/>
      <c r="G151" s="140"/>
    </row>
    <row r="152">
      <c r="C152" s="140"/>
      <c r="D152" s="140"/>
      <c r="G152" s="140"/>
    </row>
    <row r="153">
      <c r="C153" s="140"/>
      <c r="D153" s="140"/>
      <c r="G153" s="140"/>
    </row>
    <row r="154">
      <c r="C154" s="140"/>
      <c r="D154" s="140"/>
      <c r="G154" s="140"/>
    </row>
    <row r="155">
      <c r="C155" s="140"/>
      <c r="D155" s="140"/>
      <c r="G155" s="140"/>
    </row>
    <row r="156">
      <c r="C156" s="140"/>
      <c r="D156" s="140"/>
      <c r="G156" s="140"/>
    </row>
    <row r="157">
      <c r="C157" s="140"/>
      <c r="D157" s="140"/>
      <c r="G157" s="140"/>
    </row>
    <row r="158">
      <c r="C158" s="140"/>
      <c r="D158" s="140"/>
      <c r="G158" s="140"/>
    </row>
    <row r="159">
      <c r="C159" s="140"/>
      <c r="D159" s="140"/>
      <c r="G159" s="140"/>
    </row>
    <row r="160">
      <c r="C160" s="140"/>
      <c r="D160" s="140"/>
      <c r="G160" s="140"/>
    </row>
    <row r="161">
      <c r="C161" s="140"/>
      <c r="D161" s="140"/>
      <c r="G161" s="140"/>
    </row>
    <row r="162">
      <c r="C162" s="140"/>
      <c r="D162" s="140"/>
      <c r="G162" s="140"/>
    </row>
    <row r="163">
      <c r="C163" s="140"/>
      <c r="D163" s="140"/>
      <c r="G163" s="140"/>
    </row>
    <row r="164">
      <c r="C164" s="140"/>
      <c r="D164" s="140"/>
      <c r="G164" s="140"/>
    </row>
    <row r="165">
      <c r="C165" s="140"/>
      <c r="D165" s="140"/>
      <c r="G165" s="140"/>
    </row>
    <row r="166">
      <c r="C166" s="140"/>
      <c r="D166" s="140"/>
      <c r="G166" s="140"/>
    </row>
    <row r="167">
      <c r="C167" s="140"/>
      <c r="D167" s="140"/>
      <c r="G167" s="140"/>
    </row>
    <row r="168">
      <c r="C168" s="140"/>
      <c r="D168" s="140"/>
      <c r="G168" s="140"/>
    </row>
    <row r="169">
      <c r="C169" s="140"/>
      <c r="D169" s="140"/>
      <c r="G169" s="140"/>
    </row>
    <row r="170">
      <c r="C170" s="140"/>
      <c r="D170" s="140"/>
      <c r="G170" s="140"/>
    </row>
    <row r="171">
      <c r="C171" s="140"/>
      <c r="D171" s="140"/>
      <c r="G171" s="140"/>
    </row>
    <row r="172">
      <c r="C172" s="140"/>
      <c r="D172" s="140"/>
      <c r="G172" s="140"/>
    </row>
    <row r="173">
      <c r="C173" s="140"/>
      <c r="D173" s="140"/>
      <c r="G173" s="140"/>
    </row>
    <row r="174">
      <c r="C174" s="140"/>
      <c r="D174" s="140"/>
      <c r="G174" s="140"/>
    </row>
    <row r="175">
      <c r="C175" s="140"/>
      <c r="D175" s="140"/>
      <c r="G175" s="140"/>
    </row>
    <row r="176">
      <c r="C176" s="140"/>
      <c r="D176" s="140"/>
      <c r="G176" s="140"/>
    </row>
    <row r="177">
      <c r="C177" s="140"/>
      <c r="D177" s="140"/>
      <c r="G177" s="140"/>
    </row>
    <row r="178">
      <c r="C178" s="140"/>
      <c r="D178" s="140"/>
      <c r="G178" s="140"/>
    </row>
    <row r="179">
      <c r="C179" s="140"/>
      <c r="D179" s="140"/>
      <c r="G179" s="140"/>
    </row>
    <row r="180">
      <c r="C180" s="140"/>
      <c r="D180" s="140"/>
      <c r="G180" s="140"/>
    </row>
    <row r="181">
      <c r="C181" s="140"/>
      <c r="D181" s="140"/>
      <c r="G181" s="140"/>
    </row>
    <row r="182">
      <c r="C182" s="140"/>
      <c r="D182" s="140"/>
      <c r="G182" s="140"/>
    </row>
    <row r="183">
      <c r="C183" s="140"/>
      <c r="D183" s="140"/>
      <c r="G183" s="140"/>
    </row>
    <row r="184">
      <c r="C184" s="140"/>
      <c r="D184" s="140"/>
      <c r="G184" s="140"/>
    </row>
    <row r="185">
      <c r="C185" s="140"/>
      <c r="D185" s="140"/>
      <c r="G185" s="140"/>
    </row>
    <row r="186">
      <c r="C186" s="140"/>
      <c r="D186" s="140"/>
      <c r="G186" s="140"/>
    </row>
    <row r="187">
      <c r="C187" s="140"/>
      <c r="D187" s="140"/>
      <c r="G187" s="140"/>
    </row>
    <row r="188">
      <c r="C188" s="140"/>
      <c r="D188" s="140"/>
      <c r="G188" s="140"/>
    </row>
    <row r="189">
      <c r="C189" s="140"/>
      <c r="D189" s="140"/>
      <c r="G189" s="140"/>
    </row>
    <row r="190">
      <c r="C190" s="140"/>
      <c r="D190" s="140"/>
      <c r="G190" s="140"/>
    </row>
    <row r="191">
      <c r="C191" s="140"/>
      <c r="D191" s="140"/>
      <c r="G191" s="140"/>
    </row>
    <row r="192">
      <c r="C192" s="140"/>
      <c r="D192" s="140"/>
      <c r="G192" s="140"/>
    </row>
    <row r="193">
      <c r="C193" s="140"/>
      <c r="D193" s="140"/>
      <c r="G193" s="140"/>
    </row>
    <row r="194">
      <c r="C194" s="140"/>
      <c r="D194" s="140"/>
      <c r="G194" s="140"/>
    </row>
    <row r="195">
      <c r="C195" s="140"/>
      <c r="D195" s="140"/>
      <c r="G195" s="140"/>
    </row>
    <row r="196">
      <c r="C196" s="140"/>
      <c r="D196" s="140"/>
      <c r="G196" s="140"/>
    </row>
    <row r="197">
      <c r="C197" s="140"/>
      <c r="D197" s="140"/>
      <c r="G197" s="140"/>
    </row>
    <row r="198">
      <c r="C198" s="140"/>
      <c r="D198" s="140"/>
      <c r="G198" s="140"/>
    </row>
    <row r="199">
      <c r="C199" s="140"/>
      <c r="D199" s="140"/>
      <c r="G199" s="140"/>
    </row>
    <row r="200">
      <c r="C200" s="140"/>
      <c r="D200" s="140"/>
      <c r="G200" s="140"/>
    </row>
    <row r="201">
      <c r="C201" s="140"/>
      <c r="D201" s="140"/>
      <c r="G201" s="140"/>
    </row>
    <row r="202">
      <c r="C202" s="140"/>
      <c r="D202" s="140"/>
      <c r="G202" s="140"/>
    </row>
    <row r="203">
      <c r="C203" s="140"/>
      <c r="D203" s="140"/>
      <c r="G203" s="140"/>
    </row>
    <row r="204">
      <c r="C204" s="140"/>
      <c r="D204" s="140"/>
      <c r="G204" s="140"/>
    </row>
    <row r="205">
      <c r="C205" s="140"/>
      <c r="D205" s="140"/>
      <c r="G205" s="140"/>
    </row>
    <row r="206">
      <c r="C206" s="140"/>
      <c r="D206" s="140"/>
      <c r="G206" s="140"/>
    </row>
    <row r="207">
      <c r="C207" s="140"/>
      <c r="D207" s="140"/>
      <c r="G207" s="140"/>
    </row>
    <row r="208">
      <c r="C208" s="140"/>
      <c r="D208" s="140"/>
      <c r="G208" s="140"/>
    </row>
    <row r="209">
      <c r="C209" s="140"/>
      <c r="D209" s="140"/>
      <c r="G209" s="140"/>
    </row>
    <row r="210">
      <c r="C210" s="140"/>
      <c r="D210" s="140"/>
      <c r="G210" s="140"/>
    </row>
    <row r="211">
      <c r="C211" s="140"/>
      <c r="D211" s="140"/>
      <c r="G211" s="140"/>
    </row>
    <row r="212">
      <c r="C212" s="140"/>
      <c r="D212" s="140"/>
      <c r="G212" s="140"/>
    </row>
    <row r="213">
      <c r="C213" s="140"/>
      <c r="D213" s="140"/>
      <c r="G213" s="140"/>
    </row>
    <row r="214">
      <c r="C214" s="140"/>
      <c r="D214" s="140"/>
      <c r="G214" s="140"/>
    </row>
    <row r="215">
      <c r="C215" s="140"/>
      <c r="D215" s="140"/>
      <c r="G215" s="140"/>
    </row>
    <row r="216">
      <c r="C216" s="140"/>
      <c r="D216" s="140"/>
      <c r="G216" s="140"/>
    </row>
    <row r="217">
      <c r="C217" s="140"/>
      <c r="D217" s="140"/>
      <c r="G217" s="140"/>
    </row>
    <row r="218">
      <c r="C218" s="140"/>
      <c r="D218" s="140"/>
      <c r="G218" s="140"/>
    </row>
    <row r="219">
      <c r="C219" s="140"/>
      <c r="D219" s="140"/>
      <c r="G219" s="140"/>
    </row>
    <row r="220">
      <c r="C220" s="140"/>
      <c r="D220" s="140"/>
      <c r="G220" s="140"/>
    </row>
    <row r="221">
      <c r="C221" s="140"/>
      <c r="D221" s="140"/>
      <c r="G221" s="140"/>
    </row>
    <row r="222">
      <c r="C222" s="140"/>
      <c r="D222" s="140"/>
      <c r="G222" s="140"/>
    </row>
    <row r="223">
      <c r="C223" s="140"/>
      <c r="D223" s="140"/>
      <c r="G223" s="140"/>
    </row>
    <row r="224">
      <c r="C224" s="140"/>
      <c r="D224" s="140"/>
      <c r="G224" s="140"/>
    </row>
    <row r="225">
      <c r="C225" s="140"/>
      <c r="D225" s="140"/>
      <c r="G225" s="140"/>
    </row>
    <row r="226">
      <c r="C226" s="140"/>
      <c r="D226" s="140"/>
      <c r="G226" s="140"/>
    </row>
    <row r="227">
      <c r="C227" s="140"/>
      <c r="D227" s="140"/>
      <c r="G227" s="140"/>
    </row>
    <row r="228">
      <c r="C228" s="140"/>
      <c r="D228" s="140"/>
      <c r="G228" s="140"/>
    </row>
    <row r="229">
      <c r="C229" s="140"/>
      <c r="D229" s="140"/>
      <c r="G229" s="140"/>
    </row>
    <row r="230">
      <c r="C230" s="140"/>
      <c r="D230" s="140"/>
      <c r="G230" s="140"/>
    </row>
    <row r="231">
      <c r="C231" s="140"/>
      <c r="D231" s="140"/>
      <c r="G231" s="140"/>
    </row>
    <row r="232">
      <c r="C232" s="140"/>
      <c r="D232" s="140"/>
      <c r="G232" s="140"/>
    </row>
    <row r="233">
      <c r="C233" s="140"/>
      <c r="D233" s="140"/>
      <c r="G233" s="140"/>
    </row>
    <row r="234">
      <c r="C234" s="140"/>
      <c r="D234" s="140"/>
      <c r="G234" s="140"/>
    </row>
    <row r="235">
      <c r="C235" s="140"/>
      <c r="D235" s="140"/>
      <c r="G235" s="140"/>
    </row>
    <row r="236">
      <c r="C236" s="140"/>
      <c r="D236" s="140"/>
      <c r="G236" s="140"/>
    </row>
    <row r="237">
      <c r="C237" s="140"/>
      <c r="D237" s="140"/>
      <c r="G237" s="140"/>
    </row>
    <row r="238">
      <c r="C238" s="140"/>
      <c r="D238" s="140"/>
      <c r="G238" s="140"/>
    </row>
    <row r="239">
      <c r="C239" s="140"/>
      <c r="D239" s="140"/>
      <c r="G239" s="140"/>
    </row>
    <row r="240">
      <c r="C240" s="140"/>
      <c r="D240" s="140"/>
      <c r="G240" s="140"/>
    </row>
    <row r="241">
      <c r="C241" s="140"/>
      <c r="D241" s="140"/>
      <c r="G241" s="140"/>
    </row>
    <row r="242">
      <c r="C242" s="140"/>
      <c r="D242" s="140"/>
      <c r="G242" s="140"/>
    </row>
    <row r="243">
      <c r="C243" s="140"/>
      <c r="D243" s="140"/>
      <c r="G243" s="140"/>
    </row>
    <row r="244">
      <c r="C244" s="140"/>
      <c r="D244" s="140"/>
      <c r="G244" s="140"/>
    </row>
    <row r="245">
      <c r="C245" s="140"/>
      <c r="D245" s="140"/>
      <c r="G245" s="140"/>
    </row>
    <row r="246">
      <c r="C246" s="140"/>
      <c r="D246" s="140"/>
      <c r="G246" s="140"/>
    </row>
    <row r="247">
      <c r="C247" s="140"/>
      <c r="D247" s="140"/>
      <c r="G247" s="140"/>
    </row>
    <row r="248">
      <c r="C248" s="140"/>
      <c r="D248" s="140"/>
      <c r="G248" s="140"/>
    </row>
    <row r="249">
      <c r="C249" s="140"/>
      <c r="D249" s="140"/>
      <c r="G249" s="140"/>
    </row>
    <row r="250">
      <c r="C250" s="140"/>
      <c r="D250" s="140"/>
      <c r="G250" s="140"/>
    </row>
    <row r="251">
      <c r="C251" s="140"/>
      <c r="D251" s="140"/>
      <c r="G251" s="140"/>
    </row>
    <row r="252">
      <c r="C252" s="140"/>
      <c r="D252" s="140"/>
      <c r="G252" s="140"/>
    </row>
    <row r="253">
      <c r="C253" s="140"/>
      <c r="D253" s="140"/>
      <c r="G253" s="140"/>
    </row>
    <row r="254">
      <c r="C254" s="140"/>
      <c r="D254" s="140"/>
      <c r="G254" s="140"/>
    </row>
    <row r="255">
      <c r="C255" s="140"/>
      <c r="D255" s="140"/>
      <c r="G255" s="140"/>
    </row>
    <row r="256">
      <c r="C256" s="140"/>
      <c r="D256" s="140"/>
      <c r="G256" s="140"/>
    </row>
    <row r="257">
      <c r="C257" s="140"/>
      <c r="D257" s="140"/>
      <c r="G257" s="140"/>
    </row>
    <row r="258">
      <c r="C258" s="140"/>
      <c r="D258" s="140"/>
      <c r="G258" s="140"/>
    </row>
    <row r="259">
      <c r="C259" s="140"/>
      <c r="D259" s="140"/>
      <c r="G259" s="140"/>
    </row>
    <row r="260">
      <c r="C260" s="140"/>
      <c r="D260" s="140"/>
      <c r="G260" s="140"/>
    </row>
    <row r="261">
      <c r="C261" s="140"/>
      <c r="D261" s="140"/>
      <c r="G261" s="140"/>
    </row>
    <row r="262">
      <c r="C262" s="140"/>
      <c r="D262" s="140"/>
      <c r="G262" s="140"/>
    </row>
    <row r="263">
      <c r="C263" s="140"/>
      <c r="D263" s="140"/>
      <c r="G263" s="140"/>
    </row>
    <row r="264">
      <c r="C264" s="140"/>
      <c r="D264" s="140"/>
      <c r="G264" s="140"/>
    </row>
    <row r="265">
      <c r="C265" s="140"/>
      <c r="D265" s="140"/>
      <c r="G265" s="140"/>
    </row>
    <row r="266">
      <c r="C266" s="140"/>
      <c r="D266" s="140"/>
      <c r="G266" s="140"/>
    </row>
    <row r="267">
      <c r="C267" s="140"/>
      <c r="D267" s="140"/>
      <c r="G267" s="140"/>
    </row>
    <row r="268">
      <c r="C268" s="140"/>
      <c r="D268" s="140"/>
      <c r="G268" s="140"/>
    </row>
    <row r="269">
      <c r="C269" s="140"/>
      <c r="D269" s="140"/>
      <c r="G269" s="140"/>
    </row>
    <row r="270">
      <c r="C270" s="140"/>
      <c r="D270" s="140"/>
      <c r="G270" s="140"/>
    </row>
    <row r="271">
      <c r="C271" s="140"/>
      <c r="D271" s="140"/>
      <c r="G271" s="140"/>
    </row>
    <row r="272">
      <c r="C272" s="140"/>
      <c r="D272" s="140"/>
      <c r="G272" s="140"/>
    </row>
    <row r="273">
      <c r="C273" s="140"/>
      <c r="D273" s="140"/>
      <c r="G273" s="140"/>
    </row>
    <row r="274">
      <c r="C274" s="140"/>
      <c r="D274" s="140"/>
      <c r="G274" s="140"/>
    </row>
    <row r="275">
      <c r="C275" s="140"/>
      <c r="D275" s="140"/>
      <c r="G275" s="140"/>
    </row>
    <row r="276">
      <c r="C276" s="140"/>
      <c r="D276" s="140"/>
      <c r="G276" s="140"/>
    </row>
    <row r="277">
      <c r="C277" s="140"/>
      <c r="D277" s="140"/>
      <c r="G277" s="140"/>
    </row>
    <row r="278">
      <c r="C278" s="140"/>
      <c r="D278" s="140"/>
      <c r="G278" s="140"/>
    </row>
    <row r="279">
      <c r="C279" s="140"/>
      <c r="D279" s="140"/>
      <c r="G279" s="140"/>
    </row>
    <row r="280">
      <c r="C280" s="140"/>
      <c r="D280" s="140"/>
      <c r="G280" s="140"/>
    </row>
    <row r="281">
      <c r="C281" s="140"/>
      <c r="D281" s="140"/>
      <c r="G281" s="140"/>
    </row>
    <row r="282">
      <c r="C282" s="140"/>
      <c r="D282" s="140"/>
      <c r="G282" s="140"/>
    </row>
    <row r="283">
      <c r="C283" s="140"/>
      <c r="D283" s="140"/>
      <c r="G283" s="140"/>
    </row>
    <row r="284">
      <c r="C284" s="140"/>
      <c r="D284" s="140"/>
      <c r="G284" s="140"/>
    </row>
    <row r="285">
      <c r="C285" s="140"/>
      <c r="D285" s="140"/>
      <c r="G285" s="140"/>
    </row>
    <row r="286">
      <c r="C286" s="140"/>
      <c r="D286" s="140"/>
      <c r="G286" s="140"/>
    </row>
    <row r="287">
      <c r="C287" s="140"/>
      <c r="D287" s="140"/>
      <c r="G287" s="140"/>
    </row>
    <row r="288">
      <c r="C288" s="140"/>
      <c r="D288" s="140"/>
      <c r="G288" s="140"/>
    </row>
    <row r="289">
      <c r="C289" s="140"/>
      <c r="D289" s="140"/>
      <c r="G289" s="140"/>
    </row>
    <row r="290">
      <c r="C290" s="140"/>
      <c r="D290" s="140"/>
      <c r="G290" s="140"/>
    </row>
    <row r="291">
      <c r="C291" s="140"/>
      <c r="D291" s="140"/>
      <c r="G291" s="140"/>
    </row>
    <row r="292">
      <c r="C292" s="140"/>
      <c r="D292" s="140"/>
      <c r="G292" s="140"/>
    </row>
    <row r="293">
      <c r="C293" s="140"/>
      <c r="D293" s="140"/>
      <c r="G293" s="140"/>
    </row>
    <row r="294">
      <c r="C294" s="140"/>
      <c r="D294" s="140"/>
      <c r="G294" s="140"/>
    </row>
    <row r="295">
      <c r="C295" s="140"/>
      <c r="D295" s="140"/>
      <c r="G295" s="140"/>
    </row>
    <row r="296">
      <c r="C296" s="140"/>
      <c r="D296" s="140"/>
      <c r="G296" s="140"/>
    </row>
    <row r="297">
      <c r="C297" s="140"/>
      <c r="D297" s="140"/>
      <c r="G297" s="140"/>
    </row>
    <row r="298">
      <c r="C298" s="140"/>
      <c r="D298" s="140"/>
      <c r="G298" s="140"/>
    </row>
    <row r="299">
      <c r="C299" s="140"/>
      <c r="D299" s="140"/>
      <c r="G299" s="140"/>
    </row>
    <row r="300">
      <c r="C300" s="140"/>
      <c r="D300" s="140"/>
      <c r="G300" s="140"/>
    </row>
    <row r="301">
      <c r="C301" s="140"/>
      <c r="D301" s="140"/>
      <c r="G301" s="140"/>
    </row>
    <row r="302">
      <c r="C302" s="140"/>
      <c r="D302" s="140"/>
      <c r="G302" s="140"/>
    </row>
    <row r="303">
      <c r="C303" s="140"/>
      <c r="D303" s="140"/>
      <c r="G303" s="140"/>
    </row>
    <row r="304">
      <c r="C304" s="140"/>
      <c r="D304" s="140"/>
      <c r="G304" s="140"/>
    </row>
    <row r="305">
      <c r="C305" s="140"/>
      <c r="D305" s="140"/>
      <c r="G305" s="140"/>
    </row>
    <row r="306">
      <c r="C306" s="140"/>
      <c r="D306" s="140"/>
      <c r="G306" s="140"/>
    </row>
    <row r="307">
      <c r="C307" s="140"/>
      <c r="D307" s="140"/>
      <c r="G307" s="140"/>
    </row>
    <row r="308">
      <c r="C308" s="140"/>
      <c r="D308" s="140"/>
      <c r="G308" s="140"/>
    </row>
    <row r="309">
      <c r="C309" s="140"/>
      <c r="D309" s="140"/>
      <c r="G309" s="140"/>
    </row>
    <row r="310">
      <c r="C310" s="140"/>
      <c r="D310" s="140"/>
      <c r="G310" s="140"/>
    </row>
    <row r="311">
      <c r="C311" s="140"/>
      <c r="D311" s="140"/>
      <c r="G311" s="140"/>
    </row>
    <row r="312">
      <c r="C312" s="140"/>
      <c r="D312" s="140"/>
      <c r="G312" s="140"/>
    </row>
    <row r="313">
      <c r="C313" s="140"/>
      <c r="D313" s="140"/>
      <c r="G313" s="140"/>
    </row>
    <row r="314">
      <c r="C314" s="140"/>
      <c r="D314" s="140"/>
      <c r="G314" s="140"/>
    </row>
    <row r="315">
      <c r="C315" s="140"/>
      <c r="D315" s="140"/>
      <c r="G315" s="140"/>
    </row>
    <row r="316">
      <c r="C316" s="140"/>
      <c r="D316" s="140"/>
      <c r="G316" s="140"/>
    </row>
    <row r="317">
      <c r="C317" s="140"/>
      <c r="D317" s="140"/>
      <c r="G317" s="140"/>
    </row>
    <row r="318">
      <c r="C318" s="140"/>
      <c r="D318" s="140"/>
      <c r="G318" s="140"/>
    </row>
    <row r="319">
      <c r="C319" s="140"/>
      <c r="D319" s="140"/>
      <c r="G319" s="140"/>
    </row>
    <row r="320">
      <c r="C320" s="140"/>
      <c r="D320" s="140"/>
      <c r="G320" s="140"/>
    </row>
    <row r="321">
      <c r="C321" s="140"/>
      <c r="D321" s="140"/>
      <c r="G321" s="140"/>
    </row>
    <row r="322">
      <c r="C322" s="140"/>
      <c r="D322" s="140"/>
      <c r="G322" s="140"/>
    </row>
    <row r="323">
      <c r="C323" s="140"/>
      <c r="D323" s="140"/>
      <c r="G323" s="140"/>
    </row>
    <row r="324">
      <c r="C324" s="140"/>
      <c r="D324" s="140"/>
      <c r="G324" s="140"/>
    </row>
    <row r="325">
      <c r="C325" s="140"/>
      <c r="D325" s="140"/>
      <c r="G325" s="140"/>
    </row>
    <row r="326">
      <c r="C326" s="140"/>
      <c r="D326" s="140"/>
      <c r="G326" s="140"/>
    </row>
    <row r="327">
      <c r="C327" s="140"/>
      <c r="D327" s="140"/>
      <c r="G327" s="140"/>
    </row>
    <row r="328">
      <c r="C328" s="140"/>
      <c r="D328" s="140"/>
      <c r="G328" s="140"/>
    </row>
    <row r="329">
      <c r="C329" s="140"/>
      <c r="D329" s="140"/>
      <c r="G329" s="140"/>
    </row>
    <row r="330">
      <c r="C330" s="140"/>
      <c r="D330" s="140"/>
      <c r="G330" s="140"/>
    </row>
    <row r="331">
      <c r="C331" s="140"/>
      <c r="D331" s="140"/>
      <c r="G331" s="140"/>
    </row>
    <row r="332">
      <c r="C332" s="140"/>
      <c r="D332" s="140"/>
      <c r="G332" s="140"/>
    </row>
    <row r="333">
      <c r="C333" s="140"/>
      <c r="D333" s="140"/>
      <c r="G333" s="140"/>
    </row>
    <row r="334">
      <c r="C334" s="140"/>
      <c r="D334" s="140"/>
      <c r="G334" s="140"/>
    </row>
    <row r="335">
      <c r="C335" s="140"/>
      <c r="D335" s="140"/>
      <c r="G335" s="140"/>
    </row>
    <row r="336">
      <c r="C336" s="140"/>
      <c r="D336" s="140"/>
      <c r="G336" s="140"/>
    </row>
    <row r="337">
      <c r="C337" s="140"/>
      <c r="D337" s="140"/>
      <c r="G337" s="140"/>
    </row>
    <row r="338">
      <c r="C338" s="140"/>
      <c r="D338" s="140"/>
      <c r="G338" s="140"/>
    </row>
    <row r="339">
      <c r="C339" s="140"/>
      <c r="D339" s="140"/>
      <c r="G339" s="140"/>
    </row>
    <row r="340">
      <c r="C340" s="140"/>
      <c r="D340" s="140"/>
      <c r="G340" s="140"/>
    </row>
    <row r="341">
      <c r="C341" s="140"/>
      <c r="D341" s="140"/>
      <c r="G341" s="140"/>
    </row>
    <row r="342">
      <c r="C342" s="140"/>
      <c r="D342" s="140"/>
      <c r="G342" s="140"/>
    </row>
    <row r="343">
      <c r="C343" s="140"/>
      <c r="D343" s="140"/>
      <c r="G343" s="140"/>
    </row>
    <row r="344">
      <c r="C344" s="140"/>
      <c r="D344" s="140"/>
      <c r="G344" s="140"/>
    </row>
    <row r="345">
      <c r="C345" s="140"/>
      <c r="D345" s="140"/>
      <c r="G345" s="140"/>
    </row>
    <row r="346">
      <c r="C346" s="140"/>
      <c r="D346" s="140"/>
      <c r="G346" s="140"/>
    </row>
    <row r="347">
      <c r="C347" s="140"/>
      <c r="D347" s="140"/>
      <c r="G347" s="140"/>
    </row>
    <row r="348">
      <c r="C348" s="140"/>
      <c r="D348" s="140"/>
      <c r="G348" s="140"/>
    </row>
    <row r="349">
      <c r="C349" s="140"/>
      <c r="D349" s="140"/>
      <c r="G349" s="140"/>
    </row>
    <row r="350">
      <c r="C350" s="140"/>
      <c r="D350" s="140"/>
      <c r="G350" s="140"/>
    </row>
    <row r="351">
      <c r="C351" s="140"/>
      <c r="D351" s="140"/>
      <c r="G351" s="140"/>
    </row>
    <row r="352">
      <c r="C352" s="140"/>
      <c r="D352" s="140"/>
      <c r="G352" s="140"/>
    </row>
    <row r="353">
      <c r="C353" s="140"/>
      <c r="D353" s="140"/>
      <c r="G353" s="140"/>
    </row>
    <row r="354">
      <c r="C354" s="140"/>
      <c r="D354" s="140"/>
      <c r="G354" s="140"/>
    </row>
    <row r="355">
      <c r="C355" s="140"/>
      <c r="D355" s="140"/>
      <c r="G355" s="140"/>
    </row>
    <row r="356">
      <c r="C356" s="140"/>
      <c r="D356" s="140"/>
      <c r="G356" s="140"/>
    </row>
    <row r="357">
      <c r="C357" s="140"/>
      <c r="D357" s="140"/>
      <c r="G357" s="140"/>
    </row>
    <row r="358">
      <c r="C358" s="140"/>
      <c r="D358" s="140"/>
      <c r="G358" s="140"/>
    </row>
    <row r="359">
      <c r="C359" s="140"/>
      <c r="D359" s="140"/>
      <c r="G359" s="140"/>
    </row>
    <row r="360">
      <c r="C360" s="140"/>
      <c r="D360" s="140"/>
      <c r="G360" s="140"/>
    </row>
    <row r="361">
      <c r="C361" s="140"/>
      <c r="D361" s="140"/>
      <c r="G361" s="140"/>
    </row>
    <row r="362">
      <c r="C362" s="140"/>
      <c r="D362" s="140"/>
      <c r="G362" s="140"/>
    </row>
    <row r="363">
      <c r="C363" s="140"/>
      <c r="D363" s="140"/>
      <c r="G363" s="140"/>
    </row>
    <row r="364">
      <c r="C364" s="140"/>
      <c r="D364" s="140"/>
      <c r="G364" s="140"/>
    </row>
    <row r="365">
      <c r="C365" s="140"/>
      <c r="D365" s="140"/>
      <c r="G365" s="140"/>
    </row>
    <row r="366">
      <c r="C366" s="140"/>
      <c r="D366" s="140"/>
      <c r="G366" s="140"/>
    </row>
    <row r="367">
      <c r="C367" s="140"/>
      <c r="D367" s="140"/>
      <c r="G367" s="140"/>
    </row>
    <row r="368">
      <c r="C368" s="140"/>
      <c r="D368" s="140"/>
      <c r="G368" s="140"/>
    </row>
    <row r="369">
      <c r="C369" s="140"/>
      <c r="D369" s="140"/>
      <c r="G369" s="140"/>
    </row>
    <row r="370">
      <c r="C370" s="140"/>
      <c r="D370" s="140"/>
      <c r="G370" s="140"/>
    </row>
    <row r="371">
      <c r="C371" s="140"/>
      <c r="D371" s="140"/>
      <c r="G371" s="140"/>
    </row>
    <row r="372">
      <c r="C372" s="140"/>
      <c r="D372" s="140"/>
      <c r="G372" s="140"/>
    </row>
    <row r="373">
      <c r="C373" s="140"/>
      <c r="D373" s="140"/>
      <c r="G373" s="140"/>
    </row>
    <row r="374">
      <c r="C374" s="140"/>
      <c r="D374" s="140"/>
      <c r="G374" s="140"/>
    </row>
    <row r="375">
      <c r="C375" s="140"/>
      <c r="D375" s="140"/>
      <c r="G375" s="140"/>
    </row>
    <row r="376">
      <c r="C376" s="140"/>
      <c r="D376" s="140"/>
      <c r="G376" s="140"/>
    </row>
    <row r="377">
      <c r="C377" s="140"/>
      <c r="D377" s="140"/>
      <c r="G377" s="140"/>
    </row>
    <row r="378">
      <c r="C378" s="140"/>
      <c r="D378" s="140"/>
      <c r="G378" s="140"/>
    </row>
    <row r="379">
      <c r="C379" s="140"/>
      <c r="D379" s="140"/>
      <c r="G379" s="140"/>
    </row>
    <row r="380">
      <c r="C380" s="140"/>
      <c r="D380" s="140"/>
      <c r="G380" s="140"/>
    </row>
    <row r="381">
      <c r="C381" s="140"/>
      <c r="D381" s="140"/>
      <c r="G381" s="140"/>
    </row>
    <row r="382">
      <c r="C382" s="140"/>
      <c r="D382" s="140"/>
      <c r="G382" s="140"/>
    </row>
    <row r="383">
      <c r="C383" s="140"/>
      <c r="D383" s="140"/>
      <c r="G383" s="140"/>
    </row>
    <row r="384">
      <c r="C384" s="140"/>
      <c r="D384" s="140"/>
      <c r="G384" s="140"/>
    </row>
    <row r="385">
      <c r="C385" s="140"/>
      <c r="D385" s="140"/>
      <c r="G385" s="140"/>
    </row>
    <row r="386">
      <c r="C386" s="140"/>
      <c r="D386" s="140"/>
      <c r="G386" s="140"/>
    </row>
    <row r="387">
      <c r="C387" s="140"/>
      <c r="D387" s="140"/>
      <c r="G387" s="140"/>
    </row>
    <row r="388">
      <c r="C388" s="140"/>
      <c r="D388" s="140"/>
      <c r="G388" s="140"/>
    </row>
    <row r="389">
      <c r="C389" s="140"/>
      <c r="D389" s="140"/>
      <c r="G389" s="140"/>
    </row>
    <row r="390">
      <c r="C390" s="140"/>
      <c r="D390" s="140"/>
      <c r="G390" s="140"/>
    </row>
    <row r="391">
      <c r="C391" s="140"/>
      <c r="D391" s="140"/>
      <c r="G391" s="140"/>
    </row>
    <row r="392">
      <c r="C392" s="140"/>
      <c r="D392" s="140"/>
      <c r="G392" s="140"/>
    </row>
    <row r="393">
      <c r="C393" s="140"/>
      <c r="D393" s="140"/>
      <c r="G393" s="140"/>
    </row>
    <row r="394">
      <c r="C394" s="140"/>
      <c r="D394" s="140"/>
      <c r="G394" s="140"/>
    </row>
    <row r="395">
      <c r="C395" s="140"/>
      <c r="D395" s="140"/>
      <c r="G395" s="140"/>
    </row>
    <row r="396">
      <c r="C396" s="140"/>
      <c r="D396" s="140"/>
      <c r="G396" s="140"/>
    </row>
    <row r="397">
      <c r="C397" s="140"/>
      <c r="D397" s="140"/>
      <c r="G397" s="140"/>
    </row>
    <row r="398">
      <c r="C398" s="140"/>
      <c r="D398" s="140"/>
      <c r="G398" s="140"/>
    </row>
    <row r="399">
      <c r="C399" s="140"/>
      <c r="D399" s="140"/>
      <c r="G399" s="140"/>
    </row>
    <row r="400">
      <c r="C400" s="140"/>
      <c r="D400" s="140"/>
      <c r="G400" s="140"/>
    </row>
    <row r="401">
      <c r="C401" s="140"/>
      <c r="D401" s="140"/>
      <c r="G401" s="140"/>
    </row>
    <row r="402">
      <c r="C402" s="140"/>
      <c r="D402" s="140"/>
      <c r="G402" s="140"/>
    </row>
    <row r="403">
      <c r="C403" s="140"/>
      <c r="D403" s="140"/>
      <c r="G403" s="140"/>
    </row>
    <row r="404">
      <c r="C404" s="140"/>
      <c r="D404" s="140"/>
      <c r="G404" s="140"/>
    </row>
    <row r="405">
      <c r="C405" s="140"/>
      <c r="D405" s="140"/>
      <c r="G405" s="140"/>
    </row>
    <row r="406">
      <c r="C406" s="140"/>
      <c r="D406" s="140"/>
      <c r="G406" s="140"/>
    </row>
    <row r="407">
      <c r="C407" s="140"/>
      <c r="D407" s="140"/>
      <c r="G407" s="140"/>
    </row>
    <row r="408">
      <c r="C408" s="140"/>
      <c r="D408" s="140"/>
      <c r="G408" s="140"/>
    </row>
    <row r="409">
      <c r="C409" s="140"/>
      <c r="D409" s="140"/>
      <c r="G409" s="140"/>
    </row>
    <row r="410">
      <c r="C410" s="140"/>
      <c r="D410" s="140"/>
      <c r="G410" s="140"/>
    </row>
    <row r="411">
      <c r="C411" s="140"/>
      <c r="D411" s="140"/>
      <c r="G411" s="140"/>
    </row>
    <row r="412">
      <c r="C412" s="140"/>
      <c r="D412" s="140"/>
      <c r="G412" s="140"/>
    </row>
    <row r="413">
      <c r="C413" s="140"/>
      <c r="D413" s="140"/>
      <c r="G413" s="140"/>
    </row>
    <row r="414">
      <c r="C414" s="140"/>
      <c r="D414" s="140"/>
      <c r="G414" s="140"/>
    </row>
    <row r="415">
      <c r="C415" s="140"/>
      <c r="D415" s="140"/>
      <c r="G415" s="140"/>
    </row>
    <row r="416">
      <c r="C416" s="140"/>
      <c r="D416" s="140"/>
      <c r="G416" s="140"/>
    </row>
    <row r="417">
      <c r="C417" s="140"/>
      <c r="D417" s="140"/>
      <c r="G417" s="140"/>
    </row>
    <row r="418">
      <c r="C418" s="140"/>
      <c r="D418" s="140"/>
      <c r="G418" s="140"/>
    </row>
    <row r="419">
      <c r="C419" s="140"/>
      <c r="D419" s="140"/>
      <c r="G419" s="140"/>
    </row>
    <row r="420">
      <c r="C420" s="140"/>
      <c r="D420" s="140"/>
      <c r="G420" s="140"/>
    </row>
    <row r="421">
      <c r="C421" s="140"/>
      <c r="D421" s="140"/>
      <c r="G421" s="140"/>
    </row>
    <row r="422">
      <c r="C422" s="140"/>
      <c r="D422" s="140"/>
      <c r="G422" s="140"/>
    </row>
    <row r="423">
      <c r="C423" s="140"/>
      <c r="D423" s="140"/>
      <c r="G423" s="140"/>
    </row>
    <row r="424">
      <c r="C424" s="140"/>
      <c r="D424" s="140"/>
      <c r="G424" s="140"/>
    </row>
    <row r="425">
      <c r="C425" s="140"/>
      <c r="D425" s="140"/>
      <c r="G425" s="140"/>
    </row>
    <row r="426">
      <c r="C426" s="140"/>
      <c r="D426" s="140"/>
      <c r="G426" s="140"/>
    </row>
    <row r="427">
      <c r="C427" s="140"/>
      <c r="D427" s="140"/>
      <c r="G427" s="140"/>
    </row>
    <row r="428">
      <c r="C428" s="140"/>
      <c r="D428" s="140"/>
      <c r="G428" s="140"/>
    </row>
    <row r="429">
      <c r="C429" s="140"/>
      <c r="D429" s="140"/>
      <c r="G429" s="140"/>
    </row>
    <row r="430">
      <c r="C430" s="140"/>
      <c r="D430" s="140"/>
      <c r="G430" s="140"/>
    </row>
    <row r="431">
      <c r="C431" s="140"/>
      <c r="D431" s="140"/>
      <c r="G431" s="140"/>
    </row>
    <row r="432">
      <c r="C432" s="140"/>
      <c r="D432" s="140"/>
      <c r="G432" s="140"/>
    </row>
    <row r="433">
      <c r="C433" s="140"/>
      <c r="D433" s="140"/>
      <c r="G433" s="140"/>
    </row>
    <row r="434">
      <c r="C434" s="140"/>
      <c r="D434" s="140"/>
      <c r="G434" s="140"/>
    </row>
    <row r="435">
      <c r="C435" s="140"/>
      <c r="D435" s="140"/>
      <c r="G435" s="140"/>
    </row>
    <row r="436">
      <c r="C436" s="140"/>
      <c r="D436" s="140"/>
      <c r="G436" s="140"/>
    </row>
    <row r="437">
      <c r="C437" s="140"/>
      <c r="D437" s="140"/>
      <c r="G437" s="140"/>
    </row>
    <row r="438">
      <c r="C438" s="140"/>
      <c r="D438" s="140"/>
      <c r="G438" s="140"/>
    </row>
    <row r="439">
      <c r="C439" s="140"/>
      <c r="D439" s="140"/>
      <c r="G439" s="140"/>
    </row>
    <row r="440">
      <c r="C440" s="140"/>
      <c r="D440" s="140"/>
      <c r="G440" s="140"/>
    </row>
    <row r="441">
      <c r="C441" s="140"/>
      <c r="D441" s="140"/>
      <c r="G441" s="140"/>
    </row>
    <row r="442">
      <c r="C442" s="140"/>
      <c r="D442" s="140"/>
      <c r="G442" s="140"/>
    </row>
    <row r="443">
      <c r="C443" s="140"/>
      <c r="D443" s="140"/>
      <c r="G443" s="140"/>
    </row>
    <row r="444">
      <c r="C444" s="140"/>
      <c r="D444" s="140"/>
      <c r="G444" s="140"/>
    </row>
    <row r="445">
      <c r="C445" s="140"/>
      <c r="D445" s="140"/>
      <c r="G445" s="140"/>
    </row>
    <row r="446">
      <c r="C446" s="140"/>
      <c r="D446" s="140"/>
      <c r="G446" s="140"/>
    </row>
    <row r="447">
      <c r="C447" s="140"/>
      <c r="D447" s="140"/>
      <c r="G447" s="140"/>
    </row>
    <row r="448">
      <c r="C448" s="140"/>
      <c r="D448" s="140"/>
      <c r="G448" s="140"/>
    </row>
    <row r="449">
      <c r="C449" s="140"/>
      <c r="D449" s="140"/>
      <c r="G449" s="140"/>
    </row>
    <row r="450">
      <c r="C450" s="140"/>
      <c r="D450" s="140"/>
      <c r="G450" s="140"/>
    </row>
    <row r="451">
      <c r="C451" s="140"/>
      <c r="D451" s="140"/>
      <c r="G451" s="140"/>
    </row>
    <row r="452">
      <c r="C452" s="140"/>
      <c r="D452" s="140"/>
      <c r="G452" s="140"/>
    </row>
    <row r="453">
      <c r="C453" s="140"/>
      <c r="D453" s="140"/>
      <c r="G453" s="140"/>
    </row>
    <row r="454">
      <c r="C454" s="140"/>
      <c r="D454" s="140"/>
      <c r="G454" s="140"/>
    </row>
    <row r="455">
      <c r="C455" s="140"/>
      <c r="D455" s="140"/>
      <c r="G455" s="140"/>
    </row>
    <row r="456">
      <c r="C456" s="140"/>
      <c r="D456" s="140"/>
      <c r="G456" s="140"/>
    </row>
    <row r="457">
      <c r="C457" s="140"/>
      <c r="D457" s="140"/>
      <c r="G457" s="140"/>
    </row>
    <row r="458">
      <c r="C458" s="140"/>
      <c r="D458" s="140"/>
      <c r="G458" s="140"/>
    </row>
    <row r="459">
      <c r="C459" s="140"/>
      <c r="D459" s="140"/>
      <c r="G459" s="140"/>
    </row>
    <row r="460">
      <c r="C460" s="140"/>
      <c r="D460" s="140"/>
      <c r="G460" s="140"/>
    </row>
    <row r="461">
      <c r="C461" s="140"/>
      <c r="D461" s="140"/>
      <c r="G461" s="140"/>
    </row>
    <row r="462">
      <c r="C462" s="140"/>
      <c r="D462" s="140"/>
      <c r="G462" s="140"/>
    </row>
    <row r="463">
      <c r="C463" s="140"/>
      <c r="D463" s="140"/>
      <c r="G463" s="140"/>
    </row>
    <row r="464">
      <c r="C464" s="140"/>
      <c r="D464" s="140"/>
      <c r="G464" s="140"/>
    </row>
    <row r="465">
      <c r="C465" s="140"/>
      <c r="D465" s="140"/>
      <c r="G465" s="140"/>
    </row>
    <row r="466">
      <c r="C466" s="140"/>
      <c r="D466" s="140"/>
      <c r="G466" s="140"/>
    </row>
    <row r="467">
      <c r="C467" s="140"/>
      <c r="D467" s="140"/>
      <c r="G467" s="140"/>
    </row>
    <row r="468">
      <c r="C468" s="140"/>
      <c r="D468" s="140"/>
      <c r="G468" s="140"/>
    </row>
    <row r="469">
      <c r="C469" s="140"/>
      <c r="D469" s="140"/>
      <c r="G469" s="140"/>
    </row>
    <row r="470">
      <c r="C470" s="140"/>
      <c r="D470" s="140"/>
      <c r="G470" s="140"/>
    </row>
    <row r="471">
      <c r="C471" s="140"/>
      <c r="D471" s="140"/>
      <c r="G471" s="140"/>
    </row>
    <row r="472">
      <c r="C472" s="140"/>
      <c r="D472" s="140"/>
      <c r="G472" s="140"/>
    </row>
    <row r="473">
      <c r="C473" s="140"/>
      <c r="D473" s="140"/>
      <c r="G473" s="140"/>
    </row>
    <row r="474">
      <c r="C474" s="140"/>
      <c r="D474" s="140"/>
      <c r="G474" s="140"/>
    </row>
    <row r="475">
      <c r="C475" s="140"/>
      <c r="D475" s="140"/>
      <c r="G475" s="140"/>
    </row>
    <row r="476">
      <c r="C476" s="140"/>
      <c r="D476" s="140"/>
      <c r="G476" s="140"/>
    </row>
    <row r="477">
      <c r="C477" s="140"/>
      <c r="D477" s="140"/>
      <c r="G477" s="140"/>
    </row>
    <row r="478">
      <c r="C478" s="140"/>
      <c r="D478" s="140"/>
      <c r="G478" s="140"/>
    </row>
    <row r="479">
      <c r="C479" s="140"/>
      <c r="D479" s="140"/>
      <c r="G479" s="140"/>
    </row>
    <row r="480">
      <c r="C480" s="140"/>
      <c r="D480" s="140"/>
      <c r="G480" s="140"/>
    </row>
    <row r="481">
      <c r="C481" s="140"/>
      <c r="D481" s="140"/>
      <c r="G481" s="140"/>
    </row>
    <row r="482">
      <c r="C482" s="140"/>
      <c r="D482" s="140"/>
      <c r="G482" s="140"/>
    </row>
    <row r="483">
      <c r="C483" s="140"/>
      <c r="D483" s="140"/>
      <c r="G483" s="140"/>
    </row>
    <row r="484">
      <c r="C484" s="140"/>
      <c r="D484" s="140"/>
      <c r="G484" s="140"/>
    </row>
    <row r="485">
      <c r="C485" s="140"/>
      <c r="D485" s="140"/>
      <c r="G485" s="140"/>
    </row>
    <row r="486">
      <c r="C486" s="140"/>
      <c r="D486" s="140"/>
      <c r="G486" s="140"/>
    </row>
    <row r="487">
      <c r="C487" s="140"/>
      <c r="D487" s="140"/>
      <c r="G487" s="140"/>
    </row>
    <row r="488">
      <c r="C488" s="140"/>
      <c r="D488" s="140"/>
      <c r="G488" s="140"/>
    </row>
    <row r="489">
      <c r="C489" s="140"/>
      <c r="D489" s="140"/>
      <c r="G489" s="140"/>
    </row>
    <row r="490">
      <c r="C490" s="140"/>
      <c r="D490" s="140"/>
      <c r="G490" s="140"/>
    </row>
    <row r="491">
      <c r="C491" s="140"/>
      <c r="D491" s="140"/>
      <c r="G491" s="140"/>
    </row>
    <row r="492">
      <c r="C492" s="140"/>
      <c r="D492" s="140"/>
      <c r="G492" s="140"/>
    </row>
    <row r="493">
      <c r="C493" s="140"/>
      <c r="D493" s="140"/>
      <c r="G493" s="140"/>
    </row>
    <row r="494">
      <c r="C494" s="140"/>
      <c r="D494" s="140"/>
      <c r="G494" s="140"/>
    </row>
    <row r="495">
      <c r="C495" s="140"/>
      <c r="D495" s="140"/>
      <c r="G495" s="140"/>
    </row>
    <row r="496">
      <c r="C496" s="140"/>
      <c r="D496" s="140"/>
      <c r="G496" s="140"/>
    </row>
    <row r="497">
      <c r="C497" s="140"/>
      <c r="D497" s="140"/>
      <c r="G497" s="140"/>
    </row>
    <row r="498">
      <c r="C498" s="140"/>
      <c r="D498" s="140"/>
      <c r="G498" s="140"/>
    </row>
    <row r="499">
      <c r="C499" s="140"/>
      <c r="D499" s="140"/>
      <c r="G499" s="140"/>
    </row>
    <row r="500">
      <c r="C500" s="140"/>
      <c r="D500" s="140"/>
      <c r="G500" s="140"/>
    </row>
    <row r="501">
      <c r="C501" s="140"/>
      <c r="D501" s="140"/>
      <c r="G501" s="140"/>
    </row>
    <row r="502">
      <c r="C502" s="140"/>
      <c r="D502" s="140"/>
      <c r="G502" s="140"/>
    </row>
    <row r="503">
      <c r="C503" s="140"/>
      <c r="D503" s="140"/>
      <c r="G503" s="140"/>
    </row>
    <row r="504">
      <c r="C504" s="140"/>
      <c r="D504" s="140"/>
      <c r="G504" s="140"/>
    </row>
    <row r="505">
      <c r="C505" s="140"/>
      <c r="D505" s="140"/>
      <c r="G505" s="140"/>
    </row>
    <row r="506">
      <c r="C506" s="140"/>
      <c r="D506" s="140"/>
      <c r="G506" s="140"/>
    </row>
    <row r="507">
      <c r="C507" s="140"/>
      <c r="D507" s="140"/>
      <c r="G507" s="140"/>
    </row>
    <row r="508">
      <c r="C508" s="140"/>
      <c r="D508" s="140"/>
      <c r="G508" s="140"/>
    </row>
    <row r="509">
      <c r="C509" s="140"/>
      <c r="D509" s="140"/>
      <c r="G509" s="140"/>
    </row>
    <row r="510">
      <c r="C510" s="140"/>
      <c r="D510" s="140"/>
      <c r="G510" s="140"/>
    </row>
    <row r="511">
      <c r="C511" s="140"/>
      <c r="D511" s="140"/>
      <c r="G511" s="140"/>
    </row>
    <row r="512">
      <c r="C512" s="140"/>
      <c r="D512" s="140"/>
      <c r="G512" s="140"/>
    </row>
    <row r="513">
      <c r="C513" s="140"/>
      <c r="D513" s="140"/>
      <c r="G513" s="140"/>
    </row>
    <row r="514">
      <c r="C514" s="140"/>
      <c r="D514" s="140"/>
      <c r="G514" s="140"/>
    </row>
    <row r="515">
      <c r="C515" s="140"/>
      <c r="D515" s="140"/>
      <c r="G515" s="140"/>
    </row>
    <row r="516">
      <c r="C516" s="140"/>
      <c r="D516" s="140"/>
      <c r="G516" s="140"/>
    </row>
    <row r="517">
      <c r="C517" s="140"/>
      <c r="D517" s="140"/>
      <c r="G517" s="140"/>
    </row>
    <row r="518">
      <c r="C518" s="140"/>
      <c r="D518" s="140"/>
      <c r="G518" s="140"/>
    </row>
    <row r="519">
      <c r="C519" s="140"/>
      <c r="D519" s="140"/>
      <c r="G519" s="140"/>
    </row>
    <row r="520">
      <c r="C520" s="140"/>
      <c r="D520" s="140"/>
      <c r="G520" s="140"/>
    </row>
    <row r="521">
      <c r="C521" s="140"/>
      <c r="D521" s="140"/>
      <c r="G521" s="140"/>
    </row>
    <row r="522">
      <c r="C522" s="140"/>
      <c r="D522" s="140"/>
      <c r="G522" s="140"/>
    </row>
    <row r="523">
      <c r="C523" s="140"/>
      <c r="D523" s="140"/>
      <c r="G523" s="140"/>
    </row>
    <row r="524">
      <c r="C524" s="140"/>
      <c r="D524" s="140"/>
      <c r="G524" s="140"/>
    </row>
    <row r="525">
      <c r="C525" s="140"/>
      <c r="D525" s="140"/>
      <c r="G525" s="140"/>
    </row>
    <row r="526">
      <c r="C526" s="140"/>
      <c r="D526" s="140"/>
      <c r="G526" s="140"/>
    </row>
    <row r="527">
      <c r="C527" s="140"/>
      <c r="D527" s="140"/>
      <c r="G527" s="140"/>
    </row>
    <row r="528">
      <c r="C528" s="140"/>
      <c r="D528" s="140"/>
      <c r="G528" s="140"/>
    </row>
    <row r="529">
      <c r="C529" s="140"/>
      <c r="D529" s="140"/>
      <c r="G529" s="140"/>
    </row>
    <row r="530">
      <c r="C530" s="140"/>
      <c r="D530" s="140"/>
      <c r="G530" s="140"/>
    </row>
    <row r="531">
      <c r="C531" s="140"/>
      <c r="D531" s="140"/>
      <c r="G531" s="140"/>
    </row>
    <row r="532">
      <c r="C532" s="140"/>
      <c r="D532" s="140"/>
      <c r="G532" s="140"/>
    </row>
    <row r="533">
      <c r="C533" s="140"/>
      <c r="D533" s="140"/>
      <c r="G533" s="140"/>
    </row>
    <row r="534">
      <c r="C534" s="140"/>
      <c r="D534" s="140"/>
      <c r="G534" s="140"/>
    </row>
    <row r="535">
      <c r="C535" s="140"/>
      <c r="D535" s="140"/>
      <c r="G535" s="140"/>
    </row>
    <row r="536">
      <c r="C536" s="140"/>
      <c r="D536" s="140"/>
      <c r="G536" s="140"/>
    </row>
    <row r="537">
      <c r="C537" s="140"/>
      <c r="D537" s="140"/>
      <c r="G537" s="140"/>
    </row>
    <row r="538">
      <c r="C538" s="140"/>
      <c r="D538" s="140"/>
      <c r="G538" s="140"/>
    </row>
    <row r="539">
      <c r="C539" s="140"/>
      <c r="D539" s="140"/>
      <c r="G539" s="140"/>
    </row>
    <row r="540">
      <c r="C540" s="140"/>
      <c r="D540" s="140"/>
      <c r="G540" s="140"/>
    </row>
    <row r="541">
      <c r="C541" s="140"/>
      <c r="D541" s="140"/>
      <c r="G541" s="140"/>
    </row>
    <row r="542">
      <c r="C542" s="140"/>
      <c r="D542" s="140"/>
      <c r="G542" s="140"/>
    </row>
    <row r="543">
      <c r="C543" s="140"/>
      <c r="D543" s="140"/>
      <c r="G543" s="140"/>
    </row>
    <row r="544">
      <c r="C544" s="140"/>
      <c r="D544" s="140"/>
      <c r="G544" s="140"/>
    </row>
    <row r="545">
      <c r="C545" s="140"/>
      <c r="D545" s="140"/>
      <c r="G545" s="140"/>
    </row>
    <row r="546">
      <c r="C546" s="140"/>
      <c r="D546" s="140"/>
      <c r="G546" s="140"/>
    </row>
    <row r="547">
      <c r="C547" s="140"/>
      <c r="D547" s="140"/>
      <c r="G547" s="140"/>
    </row>
    <row r="548">
      <c r="C548" s="140"/>
      <c r="D548" s="140"/>
      <c r="G548" s="140"/>
    </row>
    <row r="549">
      <c r="C549" s="140"/>
      <c r="D549" s="140"/>
      <c r="G549" s="140"/>
    </row>
    <row r="550">
      <c r="C550" s="140"/>
      <c r="D550" s="140"/>
      <c r="G550" s="140"/>
    </row>
    <row r="551">
      <c r="C551" s="140"/>
      <c r="D551" s="140"/>
      <c r="G551" s="140"/>
    </row>
    <row r="552">
      <c r="C552" s="140"/>
      <c r="D552" s="140"/>
      <c r="G552" s="140"/>
    </row>
    <row r="553">
      <c r="C553" s="140"/>
      <c r="D553" s="140"/>
      <c r="G553" s="140"/>
    </row>
    <row r="554">
      <c r="C554" s="140"/>
      <c r="D554" s="140"/>
      <c r="G554" s="140"/>
    </row>
    <row r="555">
      <c r="C555" s="140"/>
      <c r="D555" s="140"/>
      <c r="G555" s="140"/>
    </row>
    <row r="556">
      <c r="C556" s="140"/>
      <c r="D556" s="140"/>
      <c r="G556" s="140"/>
    </row>
    <row r="557">
      <c r="C557" s="140"/>
      <c r="D557" s="140"/>
      <c r="G557" s="140"/>
    </row>
    <row r="558">
      <c r="C558" s="140"/>
      <c r="D558" s="140"/>
      <c r="G558" s="140"/>
    </row>
    <row r="559">
      <c r="C559" s="140"/>
      <c r="D559" s="140"/>
      <c r="G559" s="140"/>
    </row>
    <row r="560">
      <c r="C560" s="140"/>
      <c r="D560" s="140"/>
      <c r="G560" s="140"/>
    </row>
    <row r="561">
      <c r="C561" s="140"/>
      <c r="D561" s="140"/>
      <c r="G561" s="140"/>
    </row>
    <row r="562">
      <c r="C562" s="140"/>
      <c r="D562" s="140"/>
      <c r="G562" s="140"/>
    </row>
    <row r="563">
      <c r="C563" s="140"/>
      <c r="D563" s="140"/>
      <c r="G563" s="140"/>
    </row>
    <row r="564">
      <c r="C564" s="140"/>
      <c r="D564" s="140"/>
      <c r="G564" s="140"/>
    </row>
    <row r="565">
      <c r="C565" s="140"/>
      <c r="D565" s="140"/>
      <c r="G565" s="140"/>
    </row>
    <row r="566">
      <c r="C566" s="140"/>
      <c r="D566" s="140"/>
      <c r="G566" s="140"/>
    </row>
    <row r="567">
      <c r="C567" s="140"/>
      <c r="D567" s="140"/>
      <c r="G567" s="140"/>
    </row>
    <row r="568">
      <c r="C568" s="140"/>
      <c r="D568" s="140"/>
      <c r="G568" s="140"/>
    </row>
    <row r="569">
      <c r="C569" s="140"/>
      <c r="D569" s="140"/>
      <c r="G569" s="140"/>
    </row>
    <row r="570">
      <c r="C570" s="140"/>
      <c r="D570" s="140"/>
      <c r="G570" s="140"/>
    </row>
    <row r="571">
      <c r="C571" s="140"/>
      <c r="D571" s="140"/>
      <c r="G571" s="140"/>
    </row>
    <row r="572">
      <c r="C572" s="140"/>
      <c r="D572" s="140"/>
      <c r="G572" s="140"/>
    </row>
    <row r="573">
      <c r="C573" s="140"/>
      <c r="D573" s="140"/>
      <c r="G573" s="140"/>
    </row>
    <row r="574">
      <c r="C574" s="140"/>
      <c r="D574" s="140"/>
      <c r="G574" s="140"/>
    </row>
    <row r="575">
      <c r="C575" s="140"/>
      <c r="D575" s="140"/>
      <c r="G575" s="140"/>
    </row>
    <row r="576">
      <c r="C576" s="140"/>
      <c r="D576" s="140"/>
      <c r="G576" s="140"/>
    </row>
    <row r="577">
      <c r="C577" s="140"/>
      <c r="D577" s="140"/>
      <c r="G577" s="140"/>
    </row>
    <row r="578">
      <c r="C578" s="140"/>
      <c r="D578" s="140"/>
      <c r="G578" s="140"/>
    </row>
    <row r="579">
      <c r="C579" s="140"/>
      <c r="D579" s="140"/>
      <c r="G579" s="140"/>
    </row>
    <row r="580">
      <c r="C580" s="140"/>
      <c r="D580" s="140"/>
      <c r="G580" s="140"/>
    </row>
    <row r="581">
      <c r="C581" s="140"/>
      <c r="D581" s="140"/>
      <c r="G581" s="140"/>
    </row>
    <row r="582">
      <c r="C582" s="140"/>
      <c r="D582" s="140"/>
      <c r="G582" s="140"/>
    </row>
    <row r="583">
      <c r="C583" s="140"/>
      <c r="D583" s="140"/>
      <c r="G583" s="140"/>
    </row>
    <row r="584">
      <c r="C584" s="140"/>
      <c r="D584" s="140"/>
      <c r="G584" s="140"/>
    </row>
    <row r="585">
      <c r="C585" s="140"/>
      <c r="D585" s="140"/>
      <c r="G585" s="140"/>
    </row>
    <row r="586">
      <c r="C586" s="140"/>
      <c r="D586" s="140"/>
      <c r="G586" s="140"/>
    </row>
    <row r="587">
      <c r="C587" s="140"/>
      <c r="D587" s="140"/>
      <c r="G587" s="140"/>
    </row>
    <row r="588">
      <c r="C588" s="140"/>
      <c r="D588" s="140"/>
      <c r="G588" s="140"/>
    </row>
    <row r="589">
      <c r="C589" s="140"/>
      <c r="D589" s="140"/>
      <c r="G589" s="140"/>
    </row>
    <row r="590">
      <c r="C590" s="140"/>
      <c r="D590" s="140"/>
      <c r="G590" s="140"/>
    </row>
    <row r="591">
      <c r="C591" s="140"/>
      <c r="D591" s="140"/>
      <c r="G591" s="140"/>
    </row>
    <row r="592">
      <c r="C592" s="140"/>
      <c r="D592" s="140"/>
      <c r="G592" s="140"/>
    </row>
    <row r="593">
      <c r="C593" s="140"/>
      <c r="D593" s="140"/>
      <c r="G593" s="140"/>
    </row>
    <row r="594">
      <c r="C594" s="140"/>
      <c r="D594" s="140"/>
      <c r="G594" s="140"/>
    </row>
    <row r="595">
      <c r="C595" s="140"/>
      <c r="D595" s="140"/>
      <c r="G595" s="140"/>
    </row>
    <row r="596">
      <c r="C596" s="140"/>
      <c r="D596" s="140"/>
      <c r="G596" s="140"/>
    </row>
    <row r="597">
      <c r="C597" s="140"/>
      <c r="D597" s="140"/>
      <c r="G597" s="140"/>
    </row>
    <row r="598">
      <c r="C598" s="140"/>
      <c r="D598" s="140"/>
      <c r="G598" s="140"/>
    </row>
    <row r="599">
      <c r="C599" s="140"/>
      <c r="D599" s="140"/>
      <c r="G599" s="140"/>
    </row>
    <row r="600">
      <c r="C600" s="140"/>
      <c r="D600" s="140"/>
      <c r="G600" s="140"/>
    </row>
    <row r="601">
      <c r="C601" s="140"/>
      <c r="D601" s="140"/>
      <c r="G601" s="140"/>
    </row>
    <row r="602">
      <c r="C602" s="140"/>
      <c r="D602" s="140"/>
      <c r="G602" s="140"/>
    </row>
    <row r="603">
      <c r="C603" s="140"/>
      <c r="D603" s="140"/>
      <c r="G603" s="140"/>
    </row>
    <row r="604">
      <c r="C604" s="140"/>
      <c r="D604" s="140"/>
      <c r="G604" s="140"/>
    </row>
    <row r="605">
      <c r="C605" s="140"/>
      <c r="D605" s="140"/>
      <c r="G605" s="140"/>
    </row>
    <row r="606">
      <c r="C606" s="140"/>
      <c r="D606" s="140"/>
      <c r="G606" s="140"/>
    </row>
    <row r="607">
      <c r="C607" s="140"/>
      <c r="D607" s="140"/>
      <c r="G607" s="140"/>
    </row>
    <row r="608">
      <c r="C608" s="140"/>
      <c r="D608" s="140"/>
      <c r="G608" s="140"/>
    </row>
    <row r="609">
      <c r="C609" s="140"/>
      <c r="D609" s="140"/>
      <c r="G609" s="140"/>
    </row>
    <row r="610">
      <c r="C610" s="140"/>
      <c r="D610" s="140"/>
      <c r="G610" s="140"/>
    </row>
    <row r="611">
      <c r="C611" s="140"/>
      <c r="D611" s="140"/>
      <c r="G611" s="140"/>
    </row>
    <row r="612">
      <c r="C612" s="140"/>
      <c r="D612" s="140"/>
      <c r="G612" s="140"/>
    </row>
    <row r="613">
      <c r="C613" s="140"/>
      <c r="D613" s="140"/>
      <c r="G613" s="140"/>
    </row>
    <row r="614">
      <c r="C614" s="140"/>
      <c r="D614" s="140"/>
      <c r="G614" s="140"/>
    </row>
    <row r="615">
      <c r="C615" s="140"/>
      <c r="D615" s="140"/>
      <c r="G615" s="140"/>
    </row>
    <row r="616">
      <c r="C616" s="140"/>
      <c r="D616" s="140"/>
      <c r="G616" s="140"/>
    </row>
    <row r="617">
      <c r="C617" s="140"/>
      <c r="D617" s="140"/>
      <c r="G617" s="140"/>
    </row>
    <row r="618">
      <c r="C618" s="140"/>
      <c r="D618" s="140"/>
      <c r="G618" s="140"/>
    </row>
    <row r="619">
      <c r="C619" s="140"/>
      <c r="D619" s="140"/>
      <c r="G619" s="140"/>
    </row>
    <row r="620">
      <c r="C620" s="140"/>
      <c r="D620" s="140"/>
      <c r="G620" s="140"/>
    </row>
    <row r="621">
      <c r="C621" s="140"/>
      <c r="D621" s="140"/>
      <c r="G621" s="140"/>
    </row>
    <row r="622">
      <c r="C622" s="140"/>
      <c r="D622" s="140"/>
      <c r="G622" s="140"/>
    </row>
    <row r="623">
      <c r="C623" s="140"/>
      <c r="D623" s="140"/>
      <c r="G623" s="140"/>
    </row>
    <row r="624">
      <c r="C624" s="140"/>
      <c r="D624" s="140"/>
      <c r="G624" s="140"/>
    </row>
    <row r="625">
      <c r="C625" s="140"/>
      <c r="D625" s="140"/>
      <c r="G625" s="140"/>
    </row>
    <row r="626">
      <c r="C626" s="140"/>
      <c r="D626" s="140"/>
      <c r="G626" s="140"/>
    </row>
    <row r="627">
      <c r="C627" s="140"/>
      <c r="D627" s="140"/>
      <c r="G627" s="140"/>
    </row>
    <row r="628">
      <c r="C628" s="140"/>
      <c r="D628" s="140"/>
      <c r="G628" s="140"/>
    </row>
    <row r="629">
      <c r="C629" s="140"/>
      <c r="D629" s="140"/>
      <c r="G629" s="140"/>
    </row>
    <row r="630">
      <c r="C630" s="140"/>
      <c r="D630" s="140"/>
      <c r="G630" s="140"/>
    </row>
    <row r="631">
      <c r="C631" s="140"/>
      <c r="D631" s="140"/>
      <c r="G631" s="140"/>
    </row>
    <row r="632">
      <c r="C632" s="140"/>
      <c r="D632" s="140"/>
      <c r="G632" s="140"/>
    </row>
    <row r="633">
      <c r="C633" s="140"/>
      <c r="D633" s="140"/>
      <c r="G633" s="140"/>
    </row>
    <row r="634">
      <c r="C634" s="140"/>
      <c r="D634" s="140"/>
      <c r="G634" s="140"/>
    </row>
    <row r="635">
      <c r="C635" s="140"/>
      <c r="D635" s="140"/>
      <c r="G635" s="140"/>
    </row>
    <row r="636">
      <c r="C636" s="140"/>
      <c r="D636" s="140"/>
      <c r="G636" s="140"/>
    </row>
    <row r="637">
      <c r="C637" s="140"/>
      <c r="D637" s="140"/>
      <c r="G637" s="140"/>
    </row>
    <row r="638">
      <c r="C638" s="140"/>
      <c r="D638" s="140"/>
      <c r="G638" s="140"/>
    </row>
    <row r="639">
      <c r="C639" s="140"/>
      <c r="D639" s="140"/>
      <c r="G639" s="140"/>
    </row>
    <row r="640">
      <c r="C640" s="140"/>
      <c r="D640" s="140"/>
      <c r="G640" s="140"/>
    </row>
    <row r="641">
      <c r="C641" s="140"/>
      <c r="D641" s="140"/>
      <c r="G641" s="140"/>
    </row>
    <row r="642">
      <c r="C642" s="140"/>
      <c r="D642" s="140"/>
      <c r="G642" s="140"/>
    </row>
    <row r="643">
      <c r="C643" s="140"/>
      <c r="D643" s="140"/>
      <c r="G643" s="140"/>
    </row>
    <row r="644">
      <c r="C644" s="140"/>
      <c r="D644" s="140"/>
      <c r="G644" s="140"/>
    </row>
    <row r="645">
      <c r="C645" s="140"/>
      <c r="D645" s="140"/>
      <c r="G645" s="140"/>
    </row>
    <row r="646">
      <c r="C646" s="140"/>
      <c r="D646" s="140"/>
      <c r="G646" s="140"/>
    </row>
    <row r="647">
      <c r="C647" s="140"/>
      <c r="D647" s="140"/>
      <c r="G647" s="140"/>
    </row>
    <row r="648">
      <c r="C648" s="140"/>
      <c r="D648" s="140"/>
      <c r="G648" s="140"/>
    </row>
    <row r="649">
      <c r="C649" s="140"/>
      <c r="D649" s="140"/>
      <c r="G649" s="140"/>
    </row>
    <row r="650">
      <c r="C650" s="140"/>
      <c r="D650" s="140"/>
      <c r="G650" s="140"/>
    </row>
    <row r="651">
      <c r="C651" s="140"/>
      <c r="D651" s="140"/>
      <c r="G651" s="140"/>
    </row>
    <row r="652">
      <c r="C652" s="140"/>
      <c r="D652" s="140"/>
      <c r="G652" s="140"/>
    </row>
    <row r="653">
      <c r="C653" s="140"/>
      <c r="D653" s="140"/>
      <c r="G653" s="140"/>
    </row>
    <row r="654">
      <c r="C654" s="140"/>
      <c r="D654" s="140"/>
      <c r="G654" s="140"/>
    </row>
    <row r="655">
      <c r="C655" s="140"/>
      <c r="D655" s="140"/>
      <c r="G655" s="140"/>
    </row>
    <row r="656">
      <c r="C656" s="140"/>
      <c r="D656" s="140"/>
      <c r="G656" s="140"/>
    </row>
    <row r="657">
      <c r="C657" s="140"/>
      <c r="D657" s="140"/>
      <c r="G657" s="140"/>
    </row>
    <row r="658">
      <c r="C658" s="140"/>
      <c r="D658" s="140"/>
      <c r="G658" s="140"/>
    </row>
    <row r="659">
      <c r="C659" s="140"/>
      <c r="D659" s="140"/>
      <c r="G659" s="140"/>
    </row>
    <row r="660">
      <c r="C660" s="140"/>
      <c r="D660" s="140"/>
      <c r="G660" s="140"/>
    </row>
    <row r="661">
      <c r="C661" s="140"/>
      <c r="D661" s="140"/>
      <c r="G661" s="140"/>
    </row>
    <row r="662">
      <c r="C662" s="140"/>
      <c r="D662" s="140"/>
      <c r="G662" s="140"/>
    </row>
    <row r="663">
      <c r="C663" s="140"/>
      <c r="D663" s="140"/>
      <c r="G663" s="140"/>
    </row>
    <row r="664">
      <c r="C664" s="140"/>
      <c r="D664" s="140"/>
      <c r="G664" s="140"/>
    </row>
    <row r="665">
      <c r="C665" s="140"/>
      <c r="D665" s="140"/>
      <c r="G665" s="140"/>
    </row>
    <row r="666">
      <c r="C666" s="140"/>
      <c r="D666" s="140"/>
      <c r="G666" s="140"/>
    </row>
    <row r="667">
      <c r="C667" s="140"/>
      <c r="D667" s="140"/>
      <c r="G667" s="140"/>
    </row>
    <row r="668">
      <c r="C668" s="140"/>
      <c r="D668" s="140"/>
      <c r="G668" s="140"/>
    </row>
    <row r="669">
      <c r="C669" s="140"/>
      <c r="D669" s="140"/>
      <c r="G669" s="140"/>
    </row>
    <row r="670">
      <c r="C670" s="140"/>
      <c r="D670" s="140"/>
      <c r="G670" s="140"/>
    </row>
    <row r="671">
      <c r="C671" s="140"/>
      <c r="D671" s="140"/>
      <c r="G671" s="140"/>
    </row>
    <row r="672">
      <c r="C672" s="140"/>
      <c r="D672" s="140"/>
      <c r="G672" s="140"/>
    </row>
    <row r="673">
      <c r="C673" s="140"/>
      <c r="D673" s="140"/>
      <c r="G673" s="140"/>
    </row>
    <row r="674">
      <c r="C674" s="140"/>
      <c r="D674" s="140"/>
      <c r="G674" s="140"/>
    </row>
    <row r="675">
      <c r="C675" s="140"/>
      <c r="D675" s="140"/>
      <c r="G675" s="140"/>
    </row>
    <row r="676">
      <c r="C676" s="140"/>
      <c r="D676" s="140"/>
      <c r="G676" s="140"/>
    </row>
    <row r="677">
      <c r="C677" s="140"/>
      <c r="D677" s="140"/>
      <c r="G677" s="140"/>
    </row>
    <row r="678">
      <c r="C678" s="140"/>
      <c r="D678" s="140"/>
      <c r="G678" s="140"/>
    </row>
    <row r="679">
      <c r="C679" s="140"/>
      <c r="D679" s="140"/>
      <c r="G679" s="140"/>
    </row>
    <row r="680">
      <c r="C680" s="140"/>
      <c r="D680" s="140"/>
      <c r="G680" s="140"/>
    </row>
    <row r="681">
      <c r="C681" s="140"/>
      <c r="D681" s="140"/>
      <c r="G681" s="140"/>
    </row>
    <row r="682">
      <c r="C682" s="140"/>
      <c r="D682" s="140"/>
      <c r="G682" s="140"/>
    </row>
    <row r="683">
      <c r="C683" s="140"/>
      <c r="D683" s="140"/>
      <c r="G683" s="140"/>
    </row>
    <row r="684">
      <c r="C684" s="140"/>
      <c r="D684" s="140"/>
      <c r="G684" s="140"/>
    </row>
    <row r="685">
      <c r="C685" s="140"/>
      <c r="D685" s="140"/>
      <c r="G685" s="140"/>
    </row>
    <row r="686">
      <c r="C686" s="140"/>
      <c r="D686" s="140"/>
      <c r="G686" s="140"/>
    </row>
    <row r="687">
      <c r="C687" s="140"/>
      <c r="D687" s="140"/>
      <c r="G687" s="140"/>
    </row>
    <row r="688">
      <c r="C688" s="140"/>
      <c r="D688" s="140"/>
      <c r="G688" s="140"/>
    </row>
    <row r="689">
      <c r="C689" s="140"/>
      <c r="D689" s="140"/>
      <c r="G689" s="140"/>
    </row>
    <row r="690">
      <c r="C690" s="140"/>
      <c r="D690" s="140"/>
      <c r="G690" s="140"/>
    </row>
    <row r="691">
      <c r="C691" s="140"/>
      <c r="D691" s="140"/>
      <c r="G691" s="140"/>
    </row>
    <row r="692">
      <c r="C692" s="140"/>
      <c r="D692" s="140"/>
      <c r="G692" s="140"/>
    </row>
    <row r="693">
      <c r="C693" s="140"/>
      <c r="D693" s="140"/>
      <c r="G693" s="140"/>
    </row>
    <row r="694">
      <c r="C694" s="140"/>
      <c r="D694" s="140"/>
      <c r="G694" s="140"/>
    </row>
    <row r="695">
      <c r="C695" s="140"/>
      <c r="D695" s="140"/>
      <c r="G695" s="140"/>
    </row>
    <row r="696">
      <c r="C696" s="140"/>
      <c r="D696" s="140"/>
      <c r="G696" s="140"/>
    </row>
    <row r="697">
      <c r="C697" s="140"/>
      <c r="D697" s="140"/>
      <c r="G697" s="140"/>
    </row>
    <row r="698">
      <c r="C698" s="140"/>
      <c r="D698" s="140"/>
      <c r="G698" s="140"/>
    </row>
    <row r="699">
      <c r="C699" s="140"/>
      <c r="D699" s="140"/>
      <c r="G699" s="140"/>
    </row>
    <row r="700">
      <c r="C700" s="140"/>
      <c r="D700" s="140"/>
      <c r="G700" s="140"/>
    </row>
    <row r="701">
      <c r="C701" s="140"/>
      <c r="D701" s="140"/>
      <c r="G701" s="140"/>
    </row>
    <row r="702">
      <c r="C702" s="140"/>
      <c r="D702" s="140"/>
      <c r="G702" s="140"/>
    </row>
    <row r="703">
      <c r="C703" s="140"/>
      <c r="D703" s="140"/>
      <c r="G703" s="140"/>
    </row>
    <row r="704">
      <c r="C704" s="140"/>
      <c r="D704" s="140"/>
      <c r="G704" s="140"/>
    </row>
    <row r="705">
      <c r="C705" s="140"/>
      <c r="D705" s="140"/>
      <c r="G705" s="140"/>
    </row>
    <row r="706">
      <c r="C706" s="140"/>
      <c r="D706" s="140"/>
      <c r="G706" s="140"/>
    </row>
    <row r="707">
      <c r="C707" s="140"/>
      <c r="D707" s="140"/>
      <c r="G707" s="140"/>
    </row>
    <row r="708">
      <c r="C708" s="140"/>
      <c r="D708" s="140"/>
      <c r="G708" s="140"/>
    </row>
    <row r="709">
      <c r="C709" s="140"/>
      <c r="D709" s="140"/>
      <c r="G709" s="140"/>
    </row>
    <row r="710">
      <c r="C710" s="140"/>
      <c r="D710" s="140"/>
      <c r="G710" s="140"/>
    </row>
    <row r="711">
      <c r="C711" s="140"/>
      <c r="D711" s="140"/>
      <c r="G711" s="140"/>
    </row>
    <row r="712">
      <c r="C712" s="140"/>
      <c r="D712" s="140"/>
      <c r="G712" s="140"/>
    </row>
    <row r="713">
      <c r="C713" s="140"/>
      <c r="D713" s="140"/>
      <c r="G713" s="140"/>
    </row>
    <row r="714">
      <c r="C714" s="140"/>
      <c r="D714" s="140"/>
      <c r="G714" s="140"/>
    </row>
    <row r="715">
      <c r="C715" s="140"/>
      <c r="D715" s="140"/>
      <c r="G715" s="140"/>
    </row>
    <row r="716">
      <c r="C716" s="140"/>
      <c r="D716" s="140"/>
      <c r="G716" s="140"/>
    </row>
    <row r="717">
      <c r="C717" s="140"/>
      <c r="D717" s="140"/>
      <c r="G717" s="140"/>
    </row>
    <row r="718">
      <c r="C718" s="140"/>
      <c r="D718" s="140"/>
      <c r="G718" s="140"/>
    </row>
    <row r="719">
      <c r="C719" s="140"/>
      <c r="D719" s="140"/>
      <c r="G719" s="140"/>
    </row>
    <row r="720">
      <c r="C720" s="140"/>
      <c r="D720" s="140"/>
      <c r="G720" s="140"/>
    </row>
    <row r="721">
      <c r="C721" s="140"/>
      <c r="D721" s="140"/>
      <c r="G721" s="140"/>
    </row>
    <row r="722">
      <c r="C722" s="140"/>
      <c r="D722" s="140"/>
      <c r="G722" s="140"/>
    </row>
    <row r="723">
      <c r="C723" s="140"/>
      <c r="D723" s="140"/>
      <c r="G723" s="140"/>
    </row>
    <row r="724">
      <c r="C724" s="140"/>
      <c r="D724" s="140"/>
      <c r="G724" s="140"/>
    </row>
    <row r="725">
      <c r="C725" s="140"/>
      <c r="D725" s="140"/>
      <c r="G725" s="140"/>
    </row>
    <row r="726">
      <c r="C726" s="140"/>
      <c r="D726" s="140"/>
      <c r="G726" s="140"/>
    </row>
    <row r="727">
      <c r="C727" s="140"/>
      <c r="D727" s="140"/>
      <c r="G727" s="140"/>
    </row>
    <row r="728">
      <c r="C728" s="140"/>
      <c r="D728" s="140"/>
      <c r="G728" s="140"/>
    </row>
    <row r="729">
      <c r="C729" s="140"/>
      <c r="D729" s="140"/>
      <c r="G729" s="140"/>
    </row>
    <row r="730">
      <c r="C730" s="140"/>
      <c r="D730" s="140"/>
      <c r="G730" s="140"/>
    </row>
    <row r="731">
      <c r="C731" s="140"/>
      <c r="D731" s="140"/>
      <c r="G731" s="140"/>
    </row>
    <row r="732">
      <c r="C732" s="140"/>
      <c r="D732" s="140"/>
      <c r="G732" s="140"/>
    </row>
    <row r="733">
      <c r="C733" s="140"/>
      <c r="D733" s="140"/>
      <c r="G733" s="140"/>
    </row>
    <row r="734">
      <c r="C734" s="140"/>
      <c r="D734" s="140"/>
      <c r="G734" s="140"/>
    </row>
    <row r="735">
      <c r="C735" s="140"/>
      <c r="D735" s="140"/>
      <c r="G735" s="140"/>
    </row>
    <row r="736">
      <c r="C736" s="140"/>
      <c r="D736" s="140"/>
      <c r="G736" s="140"/>
    </row>
    <row r="737">
      <c r="C737" s="140"/>
      <c r="D737" s="140"/>
      <c r="G737" s="140"/>
    </row>
    <row r="738">
      <c r="C738" s="140"/>
      <c r="D738" s="140"/>
      <c r="G738" s="140"/>
    </row>
    <row r="739">
      <c r="C739" s="140"/>
      <c r="D739" s="140"/>
      <c r="G739" s="140"/>
    </row>
    <row r="740">
      <c r="C740" s="140"/>
      <c r="D740" s="140"/>
      <c r="G740" s="140"/>
    </row>
    <row r="741">
      <c r="C741" s="140"/>
      <c r="D741" s="140"/>
      <c r="G741" s="140"/>
    </row>
    <row r="742">
      <c r="C742" s="140"/>
      <c r="D742" s="140"/>
      <c r="G742" s="140"/>
    </row>
    <row r="743">
      <c r="C743" s="140"/>
      <c r="D743" s="140"/>
      <c r="G743" s="140"/>
    </row>
    <row r="744">
      <c r="C744" s="140"/>
      <c r="D744" s="140"/>
      <c r="G744" s="140"/>
    </row>
    <row r="745">
      <c r="C745" s="140"/>
      <c r="D745" s="140"/>
      <c r="G745" s="140"/>
    </row>
    <row r="746">
      <c r="C746" s="140"/>
      <c r="D746" s="140"/>
      <c r="G746" s="140"/>
    </row>
    <row r="747">
      <c r="C747" s="140"/>
      <c r="D747" s="140"/>
      <c r="G747" s="140"/>
    </row>
    <row r="748">
      <c r="C748" s="140"/>
      <c r="D748" s="140"/>
      <c r="G748" s="140"/>
    </row>
    <row r="749">
      <c r="C749" s="140"/>
      <c r="D749" s="140"/>
      <c r="G749" s="140"/>
    </row>
    <row r="750">
      <c r="C750" s="140"/>
      <c r="D750" s="140"/>
      <c r="G750" s="140"/>
    </row>
    <row r="751">
      <c r="C751" s="140"/>
      <c r="D751" s="140"/>
      <c r="G751" s="140"/>
    </row>
    <row r="752">
      <c r="C752" s="140"/>
      <c r="D752" s="140"/>
      <c r="G752" s="140"/>
    </row>
    <row r="753">
      <c r="C753" s="140"/>
      <c r="D753" s="140"/>
      <c r="G753" s="140"/>
    </row>
    <row r="754">
      <c r="C754" s="140"/>
      <c r="D754" s="140"/>
      <c r="G754" s="140"/>
    </row>
    <row r="755">
      <c r="C755" s="140"/>
      <c r="D755" s="140"/>
      <c r="G755" s="140"/>
    </row>
    <row r="756">
      <c r="C756" s="140"/>
      <c r="D756" s="140"/>
      <c r="G756" s="140"/>
    </row>
    <row r="757">
      <c r="C757" s="140"/>
      <c r="D757" s="140"/>
      <c r="G757" s="140"/>
    </row>
    <row r="758">
      <c r="C758" s="140"/>
      <c r="D758" s="140"/>
      <c r="G758" s="140"/>
    </row>
    <row r="759">
      <c r="C759" s="140"/>
      <c r="D759" s="140"/>
      <c r="G759" s="140"/>
    </row>
    <row r="760">
      <c r="C760" s="140"/>
      <c r="D760" s="140"/>
      <c r="G760" s="140"/>
    </row>
    <row r="761">
      <c r="C761" s="140"/>
      <c r="D761" s="140"/>
      <c r="G761" s="140"/>
    </row>
    <row r="762">
      <c r="C762" s="140"/>
      <c r="D762" s="140"/>
      <c r="G762" s="140"/>
    </row>
    <row r="763">
      <c r="C763" s="140"/>
      <c r="D763" s="140"/>
      <c r="G763" s="140"/>
    </row>
    <row r="764">
      <c r="C764" s="140"/>
      <c r="D764" s="140"/>
      <c r="G764" s="140"/>
    </row>
    <row r="765">
      <c r="C765" s="140"/>
      <c r="D765" s="140"/>
      <c r="G765" s="140"/>
    </row>
    <row r="766">
      <c r="C766" s="140"/>
      <c r="D766" s="140"/>
      <c r="G766" s="140"/>
    </row>
    <row r="767">
      <c r="C767" s="140"/>
      <c r="D767" s="140"/>
      <c r="G767" s="140"/>
    </row>
    <row r="768">
      <c r="C768" s="140"/>
      <c r="D768" s="140"/>
      <c r="G768" s="140"/>
    </row>
    <row r="769">
      <c r="C769" s="140"/>
      <c r="D769" s="140"/>
      <c r="G769" s="140"/>
    </row>
    <row r="770">
      <c r="C770" s="140"/>
      <c r="D770" s="140"/>
      <c r="G770" s="140"/>
    </row>
    <row r="771">
      <c r="C771" s="140"/>
      <c r="D771" s="140"/>
      <c r="G771" s="140"/>
    </row>
    <row r="772">
      <c r="C772" s="140"/>
      <c r="D772" s="140"/>
      <c r="G772" s="140"/>
    </row>
    <row r="773">
      <c r="C773" s="140"/>
      <c r="D773" s="140"/>
      <c r="G773" s="140"/>
    </row>
    <row r="774">
      <c r="C774" s="140"/>
      <c r="D774" s="140"/>
      <c r="G774" s="140"/>
    </row>
    <row r="775">
      <c r="C775" s="140"/>
      <c r="D775" s="140"/>
      <c r="G775" s="140"/>
    </row>
    <row r="776">
      <c r="C776" s="140"/>
      <c r="D776" s="140"/>
      <c r="G776" s="140"/>
    </row>
    <row r="777">
      <c r="C777" s="140"/>
      <c r="D777" s="140"/>
      <c r="G777" s="140"/>
    </row>
    <row r="778">
      <c r="C778" s="140"/>
      <c r="D778" s="140"/>
      <c r="G778" s="140"/>
    </row>
    <row r="779">
      <c r="C779" s="140"/>
      <c r="D779" s="140"/>
      <c r="G779" s="140"/>
    </row>
    <row r="780">
      <c r="C780" s="140"/>
      <c r="D780" s="140"/>
      <c r="G780" s="140"/>
    </row>
    <row r="781">
      <c r="C781" s="140"/>
      <c r="D781" s="140"/>
      <c r="G781" s="140"/>
    </row>
    <row r="782">
      <c r="C782" s="140"/>
      <c r="D782" s="140"/>
      <c r="G782" s="140"/>
    </row>
    <row r="783">
      <c r="C783" s="140"/>
      <c r="D783" s="140"/>
      <c r="G783" s="140"/>
    </row>
    <row r="784">
      <c r="C784" s="140"/>
      <c r="D784" s="140"/>
      <c r="G784" s="140"/>
    </row>
    <row r="785">
      <c r="C785" s="140"/>
      <c r="D785" s="140"/>
      <c r="G785" s="140"/>
    </row>
    <row r="786">
      <c r="C786" s="140"/>
      <c r="D786" s="140"/>
      <c r="G786" s="140"/>
    </row>
    <row r="787">
      <c r="C787" s="140"/>
      <c r="D787" s="140"/>
      <c r="G787" s="140"/>
    </row>
    <row r="788">
      <c r="C788" s="140"/>
      <c r="D788" s="140"/>
      <c r="G788" s="140"/>
    </row>
    <row r="789">
      <c r="C789" s="140"/>
      <c r="D789" s="140"/>
      <c r="G789" s="140"/>
    </row>
    <row r="790">
      <c r="C790" s="140"/>
      <c r="D790" s="140"/>
      <c r="G790" s="140"/>
    </row>
    <row r="791">
      <c r="C791" s="140"/>
      <c r="D791" s="140"/>
      <c r="G791" s="140"/>
    </row>
    <row r="792">
      <c r="C792" s="140"/>
      <c r="D792" s="140"/>
      <c r="G792" s="140"/>
    </row>
    <row r="793">
      <c r="C793" s="140"/>
      <c r="D793" s="140"/>
      <c r="G793" s="140"/>
    </row>
    <row r="794">
      <c r="C794" s="140"/>
      <c r="D794" s="140"/>
      <c r="G794" s="140"/>
    </row>
    <row r="795">
      <c r="C795" s="140"/>
      <c r="D795" s="140"/>
      <c r="G795" s="140"/>
    </row>
    <row r="796">
      <c r="C796" s="140"/>
      <c r="D796" s="140"/>
      <c r="G796" s="140"/>
    </row>
    <row r="797">
      <c r="C797" s="140"/>
      <c r="D797" s="140"/>
      <c r="G797" s="140"/>
    </row>
    <row r="798">
      <c r="C798" s="140"/>
      <c r="D798" s="140"/>
      <c r="G798" s="140"/>
    </row>
    <row r="799">
      <c r="C799" s="140"/>
      <c r="D799" s="140"/>
      <c r="G799" s="140"/>
    </row>
    <row r="800">
      <c r="C800" s="140"/>
      <c r="D800" s="140"/>
      <c r="G800" s="140"/>
    </row>
    <row r="801">
      <c r="C801" s="140"/>
      <c r="D801" s="140"/>
      <c r="G801" s="140"/>
    </row>
    <row r="802">
      <c r="C802" s="140"/>
      <c r="D802" s="140"/>
      <c r="G802" s="140"/>
    </row>
    <row r="803">
      <c r="C803" s="140"/>
      <c r="D803" s="140"/>
      <c r="G803" s="140"/>
    </row>
    <row r="804">
      <c r="C804" s="140"/>
      <c r="D804" s="140"/>
      <c r="G804" s="140"/>
    </row>
    <row r="805">
      <c r="C805" s="140"/>
      <c r="D805" s="140"/>
      <c r="G805" s="140"/>
    </row>
    <row r="806">
      <c r="C806" s="140"/>
      <c r="D806" s="140"/>
      <c r="G806" s="140"/>
    </row>
    <row r="807">
      <c r="C807" s="140"/>
      <c r="D807" s="140"/>
      <c r="G807" s="140"/>
    </row>
    <row r="808">
      <c r="C808" s="140"/>
      <c r="D808" s="140"/>
      <c r="G808" s="140"/>
    </row>
    <row r="809">
      <c r="C809" s="140"/>
      <c r="D809" s="140"/>
      <c r="G809" s="140"/>
    </row>
    <row r="810">
      <c r="C810" s="140"/>
      <c r="D810" s="140"/>
      <c r="G810" s="140"/>
    </row>
    <row r="811">
      <c r="C811" s="140"/>
      <c r="D811" s="140"/>
      <c r="G811" s="140"/>
    </row>
    <row r="812">
      <c r="C812" s="140"/>
      <c r="D812" s="140"/>
      <c r="G812" s="140"/>
    </row>
    <row r="813">
      <c r="C813" s="140"/>
      <c r="D813" s="140"/>
      <c r="G813" s="140"/>
    </row>
    <row r="814">
      <c r="C814" s="140"/>
      <c r="D814" s="140"/>
      <c r="G814" s="140"/>
    </row>
    <row r="815">
      <c r="C815" s="140"/>
      <c r="D815" s="140"/>
      <c r="G815" s="140"/>
    </row>
    <row r="816">
      <c r="C816" s="140"/>
      <c r="D816" s="140"/>
      <c r="G816" s="140"/>
    </row>
    <row r="817">
      <c r="C817" s="140"/>
      <c r="D817" s="140"/>
      <c r="G817" s="140"/>
    </row>
    <row r="818">
      <c r="C818" s="140"/>
      <c r="D818" s="140"/>
      <c r="G818" s="140"/>
    </row>
    <row r="819">
      <c r="C819" s="140"/>
      <c r="D819" s="140"/>
      <c r="G819" s="140"/>
    </row>
    <row r="820">
      <c r="C820" s="140"/>
      <c r="D820" s="140"/>
      <c r="G820" s="140"/>
    </row>
    <row r="821">
      <c r="C821" s="140"/>
      <c r="D821" s="140"/>
      <c r="G821" s="140"/>
    </row>
    <row r="822">
      <c r="C822" s="140"/>
      <c r="D822" s="140"/>
      <c r="G822" s="140"/>
    </row>
    <row r="823">
      <c r="C823" s="140"/>
      <c r="D823" s="140"/>
      <c r="G823" s="140"/>
    </row>
    <row r="824">
      <c r="C824" s="140"/>
      <c r="D824" s="140"/>
      <c r="G824" s="140"/>
    </row>
    <row r="825">
      <c r="C825" s="140"/>
      <c r="D825" s="140"/>
      <c r="G825" s="140"/>
    </row>
    <row r="826">
      <c r="C826" s="140"/>
      <c r="D826" s="140"/>
      <c r="G826" s="140"/>
    </row>
    <row r="827">
      <c r="C827" s="140"/>
      <c r="D827" s="140"/>
      <c r="G827" s="140"/>
    </row>
    <row r="828">
      <c r="C828" s="140"/>
      <c r="D828" s="140"/>
      <c r="G828" s="140"/>
    </row>
    <row r="829">
      <c r="C829" s="140"/>
      <c r="D829" s="140"/>
      <c r="G829" s="140"/>
    </row>
    <row r="830">
      <c r="C830" s="140"/>
      <c r="D830" s="140"/>
      <c r="G830" s="140"/>
    </row>
    <row r="831">
      <c r="C831" s="140"/>
      <c r="D831" s="140"/>
      <c r="G831" s="140"/>
    </row>
    <row r="832">
      <c r="C832" s="140"/>
      <c r="D832" s="140"/>
      <c r="G832" s="140"/>
    </row>
    <row r="833">
      <c r="C833" s="140"/>
      <c r="D833" s="140"/>
      <c r="G833" s="140"/>
    </row>
    <row r="834">
      <c r="C834" s="140"/>
      <c r="D834" s="140"/>
      <c r="G834" s="140"/>
    </row>
    <row r="835">
      <c r="C835" s="140"/>
      <c r="D835" s="140"/>
      <c r="G835" s="140"/>
    </row>
    <row r="836">
      <c r="C836" s="140"/>
      <c r="D836" s="140"/>
      <c r="G836" s="140"/>
    </row>
    <row r="837">
      <c r="C837" s="140"/>
      <c r="D837" s="140"/>
      <c r="G837" s="140"/>
    </row>
    <row r="838">
      <c r="C838" s="140"/>
      <c r="D838" s="140"/>
      <c r="G838" s="140"/>
    </row>
    <row r="839">
      <c r="C839" s="140"/>
      <c r="D839" s="140"/>
      <c r="G839" s="140"/>
    </row>
    <row r="840">
      <c r="C840" s="140"/>
      <c r="D840" s="140"/>
      <c r="G840" s="140"/>
    </row>
    <row r="841">
      <c r="C841" s="140"/>
      <c r="D841" s="140"/>
      <c r="G841" s="140"/>
    </row>
    <row r="842">
      <c r="C842" s="140"/>
      <c r="D842" s="140"/>
      <c r="G842" s="140"/>
    </row>
    <row r="843">
      <c r="C843" s="140"/>
      <c r="D843" s="140"/>
      <c r="G843" s="140"/>
    </row>
    <row r="844">
      <c r="C844" s="140"/>
      <c r="D844" s="140"/>
      <c r="G844" s="140"/>
    </row>
    <row r="845">
      <c r="C845" s="140"/>
      <c r="D845" s="140"/>
      <c r="G845" s="140"/>
    </row>
    <row r="846">
      <c r="C846" s="140"/>
      <c r="D846" s="140"/>
      <c r="G846" s="140"/>
    </row>
    <row r="847">
      <c r="C847" s="140"/>
      <c r="D847" s="140"/>
      <c r="G847" s="140"/>
    </row>
    <row r="848">
      <c r="C848" s="140"/>
      <c r="D848" s="140"/>
      <c r="G848" s="140"/>
    </row>
    <row r="849">
      <c r="C849" s="140"/>
      <c r="D849" s="140"/>
      <c r="G849" s="140"/>
    </row>
    <row r="850">
      <c r="C850" s="140"/>
      <c r="D850" s="140"/>
      <c r="G850" s="140"/>
    </row>
    <row r="851">
      <c r="C851" s="140"/>
      <c r="D851" s="140"/>
      <c r="G851" s="140"/>
    </row>
    <row r="852">
      <c r="C852" s="140"/>
      <c r="D852" s="140"/>
      <c r="G852" s="140"/>
    </row>
    <row r="853">
      <c r="C853" s="140"/>
      <c r="D853" s="140"/>
      <c r="G853" s="140"/>
    </row>
    <row r="854">
      <c r="C854" s="140"/>
      <c r="D854" s="140"/>
      <c r="G854" s="140"/>
    </row>
    <row r="855">
      <c r="C855" s="140"/>
      <c r="D855" s="140"/>
      <c r="G855" s="140"/>
    </row>
    <row r="856">
      <c r="C856" s="140"/>
      <c r="D856" s="140"/>
      <c r="G856" s="140"/>
    </row>
    <row r="857">
      <c r="C857" s="140"/>
      <c r="D857" s="140"/>
      <c r="G857" s="140"/>
    </row>
    <row r="858">
      <c r="C858" s="140"/>
      <c r="D858" s="140"/>
      <c r="G858" s="140"/>
    </row>
    <row r="859">
      <c r="C859" s="140"/>
      <c r="D859" s="140"/>
      <c r="G859" s="140"/>
    </row>
    <row r="860">
      <c r="C860" s="140"/>
      <c r="D860" s="140"/>
      <c r="G860" s="140"/>
    </row>
    <row r="861">
      <c r="C861" s="140"/>
      <c r="D861" s="140"/>
      <c r="G861" s="140"/>
    </row>
    <row r="862">
      <c r="C862" s="140"/>
      <c r="D862" s="140"/>
      <c r="G862" s="140"/>
    </row>
    <row r="863">
      <c r="C863" s="140"/>
      <c r="D863" s="140"/>
      <c r="G863" s="140"/>
    </row>
    <row r="864">
      <c r="C864" s="140"/>
      <c r="D864" s="140"/>
      <c r="G864" s="140"/>
    </row>
    <row r="865">
      <c r="C865" s="140"/>
      <c r="D865" s="140"/>
      <c r="G865" s="140"/>
    </row>
    <row r="866">
      <c r="C866" s="140"/>
      <c r="D866" s="140"/>
      <c r="G866" s="140"/>
    </row>
    <row r="867">
      <c r="C867" s="140"/>
      <c r="D867" s="140"/>
      <c r="G867" s="140"/>
    </row>
    <row r="868">
      <c r="C868" s="140"/>
      <c r="D868" s="140"/>
      <c r="G868" s="140"/>
    </row>
    <row r="869">
      <c r="C869" s="140"/>
      <c r="D869" s="140"/>
      <c r="G869" s="140"/>
    </row>
    <row r="870">
      <c r="C870" s="140"/>
      <c r="D870" s="140"/>
      <c r="G870" s="140"/>
    </row>
    <row r="871">
      <c r="C871" s="140"/>
      <c r="D871" s="140"/>
      <c r="G871" s="140"/>
    </row>
    <row r="872">
      <c r="C872" s="140"/>
      <c r="D872" s="140"/>
      <c r="G872" s="140"/>
    </row>
    <row r="873">
      <c r="C873" s="140"/>
      <c r="D873" s="140"/>
      <c r="G873" s="140"/>
    </row>
    <row r="874">
      <c r="C874" s="140"/>
      <c r="D874" s="140"/>
      <c r="G874" s="140"/>
    </row>
    <row r="875">
      <c r="C875" s="140"/>
      <c r="D875" s="140"/>
      <c r="G875" s="140"/>
    </row>
    <row r="876">
      <c r="C876" s="140"/>
      <c r="D876" s="140"/>
      <c r="G876" s="140"/>
    </row>
    <row r="877">
      <c r="C877" s="140"/>
      <c r="D877" s="140"/>
      <c r="G877" s="140"/>
    </row>
    <row r="878">
      <c r="C878" s="140"/>
      <c r="D878" s="140"/>
      <c r="G878" s="140"/>
    </row>
    <row r="879">
      <c r="C879" s="140"/>
      <c r="D879" s="140"/>
      <c r="G879" s="140"/>
    </row>
    <row r="880">
      <c r="C880" s="140"/>
      <c r="D880" s="140"/>
      <c r="G880" s="140"/>
    </row>
    <row r="881">
      <c r="C881" s="140"/>
      <c r="D881" s="140"/>
      <c r="G881" s="140"/>
    </row>
    <row r="882">
      <c r="C882" s="140"/>
      <c r="D882" s="140"/>
      <c r="G882" s="140"/>
    </row>
    <row r="883">
      <c r="C883" s="140"/>
      <c r="D883" s="140"/>
      <c r="G883" s="140"/>
    </row>
    <row r="884">
      <c r="C884" s="140"/>
      <c r="D884" s="140"/>
      <c r="G884" s="140"/>
    </row>
    <row r="885">
      <c r="C885" s="140"/>
      <c r="D885" s="140"/>
      <c r="G885" s="140"/>
    </row>
    <row r="886">
      <c r="C886" s="140"/>
      <c r="D886" s="140"/>
      <c r="G886" s="140"/>
    </row>
    <row r="887">
      <c r="C887" s="140"/>
      <c r="D887" s="140"/>
      <c r="G887" s="140"/>
    </row>
    <row r="888">
      <c r="C888" s="140"/>
      <c r="D888" s="140"/>
      <c r="G888" s="140"/>
    </row>
    <row r="889">
      <c r="C889" s="140"/>
      <c r="D889" s="140"/>
      <c r="G889" s="140"/>
    </row>
    <row r="890">
      <c r="C890" s="140"/>
      <c r="D890" s="140"/>
      <c r="G890" s="140"/>
    </row>
    <row r="891">
      <c r="C891" s="140"/>
      <c r="D891" s="140"/>
      <c r="G891" s="140"/>
    </row>
    <row r="892">
      <c r="C892" s="140"/>
      <c r="D892" s="140"/>
      <c r="G892" s="140"/>
    </row>
    <row r="893">
      <c r="C893" s="140"/>
      <c r="D893" s="140"/>
      <c r="G893" s="140"/>
    </row>
    <row r="894">
      <c r="C894" s="140"/>
      <c r="D894" s="140"/>
      <c r="G894" s="140"/>
    </row>
    <row r="895">
      <c r="C895" s="140"/>
      <c r="D895" s="140"/>
      <c r="G895" s="140"/>
    </row>
    <row r="896">
      <c r="C896" s="140"/>
      <c r="D896" s="140"/>
      <c r="G896" s="140"/>
    </row>
    <row r="897">
      <c r="C897" s="140"/>
      <c r="D897" s="140"/>
      <c r="G897" s="140"/>
    </row>
    <row r="898">
      <c r="C898" s="140"/>
      <c r="D898" s="140"/>
      <c r="G898" s="140"/>
    </row>
    <row r="899">
      <c r="C899" s="140"/>
      <c r="D899" s="140"/>
      <c r="G899" s="140"/>
    </row>
    <row r="900">
      <c r="C900" s="140"/>
      <c r="D900" s="140"/>
      <c r="G900" s="140"/>
    </row>
    <row r="901">
      <c r="C901" s="140"/>
      <c r="D901" s="140"/>
      <c r="G901" s="140"/>
    </row>
    <row r="902">
      <c r="C902" s="140"/>
      <c r="D902" s="140"/>
      <c r="G902" s="140"/>
    </row>
    <row r="903">
      <c r="C903" s="140"/>
      <c r="D903" s="140"/>
      <c r="G903" s="140"/>
    </row>
    <row r="904">
      <c r="C904" s="140"/>
      <c r="D904" s="140"/>
      <c r="G904" s="140"/>
    </row>
    <row r="905">
      <c r="C905" s="140"/>
      <c r="D905" s="140"/>
      <c r="G905" s="140"/>
    </row>
    <row r="906">
      <c r="C906" s="140"/>
      <c r="D906" s="140"/>
      <c r="G906" s="140"/>
    </row>
    <row r="907">
      <c r="C907" s="140"/>
      <c r="D907" s="140"/>
      <c r="G907" s="140"/>
    </row>
    <row r="908">
      <c r="C908" s="140"/>
      <c r="D908" s="140"/>
      <c r="G908" s="140"/>
    </row>
    <row r="909">
      <c r="C909" s="140"/>
      <c r="D909" s="140"/>
      <c r="G909" s="140"/>
    </row>
    <row r="910">
      <c r="C910" s="140"/>
      <c r="D910" s="140"/>
      <c r="G910" s="140"/>
    </row>
    <row r="911">
      <c r="C911" s="140"/>
      <c r="D911" s="140"/>
      <c r="G911" s="140"/>
    </row>
    <row r="912">
      <c r="C912" s="140"/>
      <c r="D912" s="140"/>
      <c r="G912" s="140"/>
    </row>
    <row r="913">
      <c r="C913" s="140"/>
      <c r="D913" s="140"/>
      <c r="G913" s="140"/>
    </row>
    <row r="914">
      <c r="C914" s="140"/>
      <c r="D914" s="140"/>
      <c r="G914" s="140"/>
    </row>
    <row r="915">
      <c r="C915" s="140"/>
      <c r="D915" s="140"/>
      <c r="G915" s="140"/>
    </row>
    <row r="916">
      <c r="C916" s="140"/>
      <c r="D916" s="140"/>
      <c r="G916" s="140"/>
    </row>
    <row r="917">
      <c r="C917" s="140"/>
      <c r="D917" s="140"/>
      <c r="G917" s="140"/>
    </row>
    <row r="918">
      <c r="C918" s="140"/>
      <c r="D918" s="140"/>
      <c r="G918" s="140"/>
    </row>
    <row r="919">
      <c r="C919" s="140"/>
      <c r="D919" s="140"/>
      <c r="G919" s="140"/>
    </row>
    <row r="920">
      <c r="C920" s="140"/>
      <c r="D920" s="140"/>
      <c r="G920" s="140"/>
    </row>
    <row r="921">
      <c r="C921" s="140"/>
      <c r="D921" s="140"/>
      <c r="G921" s="140"/>
    </row>
    <row r="922">
      <c r="C922" s="140"/>
      <c r="D922" s="140"/>
      <c r="G922" s="140"/>
    </row>
    <row r="923">
      <c r="C923" s="140"/>
      <c r="D923" s="140"/>
      <c r="G923" s="140"/>
    </row>
    <row r="924">
      <c r="C924" s="140"/>
      <c r="D924" s="140"/>
      <c r="G924" s="140"/>
    </row>
    <row r="925">
      <c r="C925" s="140"/>
      <c r="D925" s="140"/>
      <c r="G925" s="140"/>
    </row>
    <row r="926">
      <c r="C926" s="140"/>
      <c r="D926" s="140"/>
      <c r="G926" s="140"/>
    </row>
    <row r="927">
      <c r="C927" s="140"/>
      <c r="D927" s="140"/>
      <c r="G927" s="140"/>
    </row>
    <row r="928">
      <c r="C928" s="140"/>
      <c r="D928" s="140"/>
      <c r="G928" s="140"/>
    </row>
    <row r="929">
      <c r="C929" s="140"/>
      <c r="D929" s="140"/>
      <c r="G929" s="140"/>
    </row>
    <row r="930">
      <c r="C930" s="140"/>
      <c r="D930" s="140"/>
      <c r="G930" s="140"/>
    </row>
    <row r="931">
      <c r="C931" s="140"/>
      <c r="D931" s="140"/>
      <c r="G931" s="140"/>
    </row>
    <row r="932">
      <c r="C932" s="140"/>
      <c r="D932" s="140"/>
      <c r="G932" s="140"/>
    </row>
    <row r="933">
      <c r="C933" s="140"/>
      <c r="D933" s="140"/>
      <c r="G933" s="140"/>
    </row>
    <row r="934">
      <c r="C934" s="140"/>
      <c r="D934" s="140"/>
      <c r="G934" s="140"/>
    </row>
    <row r="935">
      <c r="C935" s="140"/>
      <c r="D935" s="140"/>
      <c r="G935" s="140"/>
    </row>
    <row r="936">
      <c r="C936" s="140"/>
      <c r="D936" s="140"/>
      <c r="G936" s="140"/>
    </row>
    <row r="937">
      <c r="C937" s="140"/>
      <c r="D937" s="140"/>
      <c r="G937" s="140"/>
    </row>
    <row r="938">
      <c r="C938" s="140"/>
      <c r="D938" s="140"/>
      <c r="G938" s="140"/>
    </row>
    <row r="939">
      <c r="C939" s="140"/>
      <c r="D939" s="140"/>
      <c r="G939" s="140"/>
    </row>
    <row r="940">
      <c r="C940" s="140"/>
      <c r="D940" s="140"/>
      <c r="G940" s="140"/>
    </row>
    <row r="941">
      <c r="C941" s="140"/>
      <c r="D941" s="140"/>
      <c r="G941" s="140"/>
    </row>
    <row r="942">
      <c r="C942" s="140"/>
      <c r="D942" s="140"/>
      <c r="G942" s="140"/>
    </row>
    <row r="943">
      <c r="C943" s="140"/>
      <c r="D943" s="140"/>
      <c r="G943" s="140"/>
    </row>
    <row r="944">
      <c r="C944" s="140"/>
      <c r="D944" s="140"/>
      <c r="G944" s="140"/>
    </row>
    <row r="945">
      <c r="C945" s="140"/>
      <c r="D945" s="140"/>
      <c r="G945" s="140"/>
    </row>
    <row r="946">
      <c r="C946" s="140"/>
      <c r="D946" s="140"/>
      <c r="G946" s="140"/>
    </row>
    <row r="947">
      <c r="C947" s="140"/>
      <c r="D947" s="140"/>
      <c r="G947" s="140"/>
    </row>
    <row r="948">
      <c r="C948" s="140"/>
      <c r="D948" s="140"/>
      <c r="G948" s="140"/>
    </row>
    <row r="949">
      <c r="C949" s="140"/>
      <c r="D949" s="140"/>
      <c r="G949" s="140"/>
    </row>
    <row r="950">
      <c r="C950" s="140"/>
      <c r="D950" s="140"/>
      <c r="G950" s="140"/>
    </row>
    <row r="951">
      <c r="C951" s="140"/>
      <c r="D951" s="140"/>
      <c r="G951" s="140"/>
    </row>
    <row r="952">
      <c r="C952" s="140"/>
      <c r="D952" s="140"/>
      <c r="G952" s="140"/>
    </row>
    <row r="953">
      <c r="C953" s="140"/>
      <c r="D953" s="140"/>
      <c r="G953" s="140"/>
    </row>
    <row r="954">
      <c r="C954" s="140"/>
      <c r="D954" s="140"/>
      <c r="G954" s="140"/>
    </row>
    <row r="955">
      <c r="C955" s="140"/>
      <c r="D955" s="140"/>
      <c r="G955" s="140"/>
    </row>
    <row r="956">
      <c r="C956" s="140"/>
      <c r="D956" s="140"/>
      <c r="G956" s="140"/>
    </row>
    <row r="957">
      <c r="C957" s="140"/>
      <c r="D957" s="140"/>
      <c r="G957" s="140"/>
    </row>
    <row r="958">
      <c r="C958" s="140"/>
      <c r="D958" s="140"/>
      <c r="G958" s="140"/>
    </row>
    <row r="959">
      <c r="C959" s="140"/>
      <c r="D959" s="140"/>
      <c r="G959" s="140"/>
    </row>
    <row r="960">
      <c r="C960" s="140"/>
      <c r="D960" s="140"/>
      <c r="G960" s="140"/>
    </row>
    <row r="961">
      <c r="C961" s="140"/>
      <c r="D961" s="140"/>
      <c r="G961" s="140"/>
    </row>
    <row r="962">
      <c r="C962" s="140"/>
      <c r="D962" s="140"/>
      <c r="G962" s="140"/>
    </row>
    <row r="963">
      <c r="C963" s="140"/>
      <c r="D963" s="140"/>
      <c r="G963" s="140"/>
    </row>
    <row r="964">
      <c r="C964" s="140"/>
      <c r="D964" s="140"/>
      <c r="G964" s="140"/>
    </row>
    <row r="965">
      <c r="C965" s="140"/>
      <c r="D965" s="140"/>
      <c r="G965" s="140"/>
    </row>
    <row r="966">
      <c r="C966" s="140"/>
      <c r="D966" s="140"/>
      <c r="G966" s="140"/>
    </row>
    <row r="967">
      <c r="C967" s="140"/>
      <c r="D967" s="140"/>
      <c r="G967" s="140"/>
    </row>
    <row r="968">
      <c r="C968" s="140"/>
      <c r="D968" s="140"/>
      <c r="G968" s="140"/>
    </row>
    <row r="969">
      <c r="C969" s="140"/>
      <c r="D969" s="140"/>
      <c r="G969" s="140"/>
    </row>
    <row r="970">
      <c r="C970" s="140"/>
      <c r="D970" s="140"/>
      <c r="G970" s="140"/>
    </row>
    <row r="971">
      <c r="C971" s="140"/>
      <c r="D971" s="140"/>
      <c r="G971" s="140"/>
    </row>
    <row r="972">
      <c r="C972" s="140"/>
      <c r="D972" s="140"/>
      <c r="G972" s="140"/>
    </row>
    <row r="973">
      <c r="C973" s="140"/>
      <c r="D973" s="140"/>
      <c r="G973" s="140"/>
    </row>
    <row r="974">
      <c r="C974" s="140"/>
      <c r="D974" s="140"/>
      <c r="G974" s="140"/>
    </row>
    <row r="975">
      <c r="C975" s="140"/>
      <c r="D975" s="140"/>
      <c r="G975" s="140"/>
    </row>
    <row r="976">
      <c r="C976" s="140"/>
      <c r="D976" s="140"/>
      <c r="G976" s="140"/>
    </row>
    <row r="977">
      <c r="C977" s="140"/>
      <c r="D977" s="140"/>
      <c r="G977" s="140"/>
    </row>
    <row r="978">
      <c r="C978" s="140"/>
      <c r="D978" s="140"/>
      <c r="G978" s="140"/>
    </row>
    <row r="979">
      <c r="C979" s="140"/>
      <c r="D979" s="140"/>
      <c r="G979" s="140"/>
    </row>
    <row r="980">
      <c r="C980" s="140"/>
      <c r="D980" s="140"/>
      <c r="G980" s="140"/>
    </row>
    <row r="981">
      <c r="C981" s="140"/>
      <c r="D981" s="140"/>
      <c r="G981" s="140"/>
    </row>
    <row r="982">
      <c r="C982" s="140"/>
      <c r="D982" s="140"/>
      <c r="G982" s="140"/>
    </row>
    <row r="983">
      <c r="C983" s="140"/>
      <c r="D983" s="140"/>
      <c r="G983" s="140"/>
    </row>
    <row r="984">
      <c r="C984" s="140"/>
      <c r="D984" s="140"/>
      <c r="G984" s="140"/>
    </row>
    <row r="985">
      <c r="C985" s="140"/>
      <c r="D985" s="140"/>
      <c r="G985" s="140"/>
    </row>
    <row r="986">
      <c r="C986" s="140"/>
      <c r="D986" s="140"/>
      <c r="G986" s="140"/>
    </row>
    <row r="987">
      <c r="C987" s="140"/>
      <c r="D987" s="140"/>
      <c r="G987" s="140"/>
    </row>
    <row r="988">
      <c r="C988" s="140"/>
      <c r="D988" s="140"/>
      <c r="G988" s="140"/>
    </row>
    <row r="989">
      <c r="C989" s="140"/>
      <c r="D989" s="140"/>
      <c r="G989" s="140"/>
    </row>
    <row r="990">
      <c r="C990" s="140"/>
      <c r="D990" s="140"/>
      <c r="G990" s="140"/>
    </row>
    <row r="991">
      <c r="C991" s="140"/>
      <c r="D991" s="140"/>
      <c r="G991" s="140"/>
    </row>
  </sheetData>
  <autoFilter ref="$A$1:$R$65"/>
  <mergeCells count="3">
    <mergeCell ref="L2:O2"/>
    <mergeCell ref="L4:O4"/>
    <mergeCell ref="M11:R11"/>
  </mergeCells>
  <dataValidations>
    <dataValidation type="list" allowBlank="1" showErrorMessage="1" sqref="J2:J33">
      <formula1>"FEDE,NAHUE"</formula1>
    </dataValidation>
    <dataValidation type="list" allowBlank="1" showErrorMessage="1" sqref="H2:I80 K2:K80">
      <formula1>"SI,NO"</formula1>
    </dataValidation>
    <dataValidation type="list" allowBlank="1" showErrorMessage="1" sqref="J34:J80">
      <formula1>"FEDE,NAHUE,Sin abonar"</formula1>
    </dataValidation>
  </dataValidations>
  <hyperlinks>
    <hyperlink r:id="rId2" location="gid=0" ref="F17"/>
    <hyperlink r:id="rId3" location="gid=0" ref="F24"/>
    <hyperlink r:id="rId4" ref="F27"/>
    <hyperlink r:id="rId5" location="gid=0" ref="F29"/>
    <hyperlink r:id="rId6" location="gid=0" ref="F30"/>
    <hyperlink r:id="rId7" location="gid=0" ref="F35"/>
    <hyperlink r:id="rId8" location="gid=0" ref="F36"/>
    <hyperlink r:id="rId9" location="gid=0" ref="F42"/>
    <hyperlink r:id="rId10" ref="F43"/>
    <hyperlink r:id="rId11" location="gid=0" ref="F44"/>
    <hyperlink r:id="rId12" location="gid=0" ref="F49"/>
    <hyperlink r:id="rId13" location="gid=0" ref="F50"/>
    <hyperlink r:id="rId14" location="gid=0" ref="F52"/>
    <hyperlink r:id="rId15" location="gid=0" ref="F53"/>
    <hyperlink r:id="rId16" location="gid=0" ref="F54"/>
    <hyperlink r:id="rId17" location="gid=0" ref="F55"/>
    <hyperlink r:id="rId18" location="gid=0" ref="F56"/>
    <hyperlink r:id="rId19" location="gid=0" ref="F57"/>
  </hyperlinks>
  <drawing r:id="rId20"/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</cols>
  <sheetData>
    <row r="1">
      <c r="B1" s="140"/>
    </row>
    <row r="2">
      <c r="B2" s="140"/>
    </row>
    <row r="3">
      <c r="A3" s="185" t="s">
        <v>2381</v>
      </c>
      <c r="B3" s="166">
        <f>REPRO!N9</f>
        <v>1075</v>
      </c>
      <c r="E3" s="185" t="s">
        <v>2382</v>
      </c>
      <c r="F3" s="206"/>
      <c r="G3" s="206"/>
    </row>
    <row r="4">
      <c r="A4" s="185" t="s">
        <v>2383</v>
      </c>
      <c r="B4" s="140">
        <f>STOCK!H10</f>
        <v>398</v>
      </c>
      <c r="E4" s="185" t="s">
        <v>2384</v>
      </c>
      <c r="F4" s="185" t="s">
        <v>2385</v>
      </c>
      <c r="G4" s="185" t="s">
        <v>2386</v>
      </c>
    </row>
    <row r="5">
      <c r="A5" s="185" t="s">
        <v>2387</v>
      </c>
      <c r="B5" s="140">
        <f>STOCK!H4</f>
        <v>781.46</v>
      </c>
      <c r="E5" s="17">
        <v>0.4</v>
      </c>
      <c r="F5" s="17">
        <v>0.3</v>
      </c>
      <c r="G5" s="17">
        <v>0.2</v>
      </c>
    </row>
    <row r="6">
      <c r="A6" s="185" t="s">
        <v>2388</v>
      </c>
      <c r="B6" s="140">
        <f>STOCK!H9</f>
        <v>1158</v>
      </c>
    </row>
    <row r="7">
      <c r="A7" s="185" t="s">
        <v>2389</v>
      </c>
      <c r="B7" s="140">
        <f>STOCK!H7</f>
        <v>2225</v>
      </c>
    </row>
    <row r="8">
      <c r="A8" s="185" t="s">
        <v>2390</v>
      </c>
      <c r="B8" s="140">
        <f>STOCK!H6</f>
        <v>98.2</v>
      </c>
    </row>
    <row r="9">
      <c r="B9" s="140"/>
    </row>
    <row r="10">
      <c r="B10" s="140"/>
    </row>
    <row r="11">
      <c r="B11" s="140"/>
    </row>
    <row r="12">
      <c r="A12" s="41" t="s">
        <v>2254</v>
      </c>
      <c r="B12" s="159" t="s">
        <v>2391</v>
      </c>
      <c r="C12" s="41" t="s">
        <v>2384</v>
      </c>
      <c r="D12" s="41" t="s">
        <v>2385</v>
      </c>
      <c r="E12" s="44" t="s">
        <v>2386</v>
      </c>
      <c r="H12" s="185" t="s">
        <v>2392</v>
      </c>
    </row>
    <row r="13">
      <c r="A13" s="17" t="s">
        <v>2393</v>
      </c>
      <c r="B13" s="140">
        <f>B4</f>
        <v>398</v>
      </c>
      <c r="C13" s="207">
        <f>B13*E5</f>
        <v>159.2</v>
      </c>
      <c r="D13" s="207">
        <f>B13*F5</f>
        <v>119.4</v>
      </c>
      <c r="E13" s="207">
        <f>B13*G5</f>
        <v>79.6</v>
      </c>
      <c r="H13" s="140">
        <f>B5</f>
        <v>781.46</v>
      </c>
    </row>
    <row r="14">
      <c r="A14" s="17" t="s">
        <v>220</v>
      </c>
      <c r="B14" s="140">
        <f>B6</f>
        <v>1158</v>
      </c>
      <c r="C14" s="207">
        <f>B14*E5</f>
        <v>463.2</v>
      </c>
      <c r="D14" s="207">
        <f>B14*F5</f>
        <v>347.4</v>
      </c>
      <c r="E14" s="207">
        <f>B14*G5</f>
        <v>231.6</v>
      </c>
      <c r="H14" s="140">
        <f t="shared" ref="H14:H15" si="1">B7</f>
        <v>2225</v>
      </c>
    </row>
    <row r="15">
      <c r="A15" s="17" t="s">
        <v>2394</v>
      </c>
      <c r="B15" s="140">
        <f>B8</f>
        <v>98.2</v>
      </c>
      <c r="C15" s="207">
        <f>B15*E5</f>
        <v>39.28</v>
      </c>
      <c r="D15" s="207">
        <f>B15*F5</f>
        <v>29.46</v>
      </c>
      <c r="E15" s="207">
        <f>B15*G5</f>
        <v>19.64</v>
      </c>
      <c r="H15" s="140">
        <f t="shared" si="1"/>
        <v>98.2</v>
      </c>
    </row>
    <row r="16">
      <c r="A16" s="17" t="s">
        <v>2395</v>
      </c>
      <c r="B16" s="140">
        <f>B3</f>
        <v>1075</v>
      </c>
      <c r="C16" s="207">
        <f>B16*E5</f>
        <v>430</v>
      </c>
      <c r="D16" s="207">
        <f>B16*F5</f>
        <v>322.5</v>
      </c>
      <c r="E16" s="207">
        <f>B16*G5</f>
        <v>215</v>
      </c>
      <c r="H16" s="140">
        <f>B3</f>
        <v>1075</v>
      </c>
    </row>
    <row r="17">
      <c r="A17" s="185" t="s">
        <v>2396</v>
      </c>
      <c r="B17" s="208">
        <f t="shared" ref="B17:E17" si="2">SUM(B13:B16)</f>
        <v>2729.2</v>
      </c>
      <c r="C17" s="207">
        <f t="shared" si="2"/>
        <v>1091.68</v>
      </c>
      <c r="D17" s="207">
        <f t="shared" si="2"/>
        <v>818.76</v>
      </c>
      <c r="E17" s="207">
        <f t="shared" si="2"/>
        <v>545.84</v>
      </c>
      <c r="H17" s="208">
        <f>SUM(H13:H16)</f>
        <v>4179.66</v>
      </c>
    </row>
    <row r="18">
      <c r="B18" s="140"/>
    </row>
    <row r="19">
      <c r="A19" s="185" t="s">
        <v>2397</v>
      </c>
      <c r="B19" s="208">
        <f>SUM(B13,B15,B16)</f>
        <v>1571.2</v>
      </c>
      <c r="C19" s="206"/>
      <c r="H19" s="208">
        <f>SUM(H13,H15,H16)</f>
        <v>1954.66</v>
      </c>
    </row>
    <row r="20">
      <c r="B20" s="140"/>
    </row>
    <row r="21">
      <c r="B21" s="140"/>
    </row>
    <row r="22">
      <c r="B22" s="140"/>
    </row>
    <row r="23">
      <c r="B23" s="140"/>
    </row>
    <row r="24">
      <c r="B24" s="140"/>
    </row>
    <row r="25">
      <c r="B25" s="140"/>
    </row>
    <row r="26">
      <c r="B26" s="140"/>
    </row>
    <row r="27">
      <c r="B27" s="140"/>
    </row>
    <row r="28">
      <c r="B28" s="140"/>
    </row>
    <row r="29">
      <c r="B29" s="140"/>
    </row>
    <row r="30">
      <c r="B30" s="140"/>
    </row>
    <row r="31">
      <c r="B31" s="140"/>
    </row>
    <row r="32">
      <c r="B32" s="140"/>
    </row>
    <row r="33">
      <c r="B33" s="140"/>
    </row>
    <row r="34">
      <c r="B34" s="140"/>
    </row>
    <row r="35">
      <c r="B35" s="140"/>
    </row>
    <row r="36">
      <c r="B36" s="140"/>
    </row>
    <row r="37">
      <c r="B37" s="140"/>
    </row>
    <row r="38">
      <c r="B38" s="140"/>
    </row>
    <row r="39">
      <c r="B39" s="140"/>
    </row>
    <row r="40">
      <c r="B40" s="140"/>
    </row>
    <row r="41">
      <c r="B41" s="140"/>
    </row>
    <row r="42">
      <c r="B42" s="140"/>
    </row>
    <row r="43">
      <c r="B43" s="140"/>
    </row>
    <row r="44">
      <c r="B44" s="140"/>
    </row>
    <row r="45">
      <c r="B45" s="140"/>
    </row>
    <row r="46">
      <c r="B46" s="140"/>
    </row>
    <row r="47">
      <c r="B47" s="140"/>
    </row>
    <row r="48">
      <c r="B48" s="140"/>
    </row>
    <row r="49">
      <c r="B49" s="140"/>
    </row>
    <row r="50">
      <c r="B50" s="140"/>
    </row>
    <row r="51">
      <c r="B51" s="140"/>
    </row>
    <row r="52">
      <c r="B52" s="140"/>
    </row>
    <row r="53">
      <c r="B53" s="140"/>
    </row>
    <row r="54">
      <c r="B54" s="140"/>
    </row>
    <row r="55">
      <c r="B55" s="140"/>
    </row>
    <row r="56">
      <c r="B56" s="140"/>
    </row>
    <row r="57">
      <c r="B57" s="140"/>
    </row>
    <row r="58">
      <c r="B58" s="140"/>
    </row>
    <row r="59">
      <c r="B59" s="140"/>
    </row>
    <row r="60">
      <c r="B60" s="140"/>
    </row>
    <row r="61">
      <c r="B61" s="140"/>
    </row>
    <row r="62">
      <c r="B62" s="140"/>
    </row>
    <row r="63">
      <c r="B63" s="140"/>
    </row>
    <row r="64">
      <c r="B64" s="140"/>
    </row>
    <row r="65">
      <c r="B65" s="140"/>
    </row>
    <row r="66">
      <c r="B66" s="140"/>
    </row>
    <row r="67">
      <c r="B67" s="140"/>
    </row>
    <row r="68">
      <c r="B68" s="140"/>
    </row>
    <row r="69">
      <c r="B69" s="140"/>
    </row>
    <row r="70">
      <c r="B70" s="140"/>
    </row>
    <row r="71">
      <c r="B71" s="140"/>
    </row>
    <row r="72">
      <c r="B72" s="140"/>
    </row>
    <row r="73">
      <c r="B73" s="140"/>
    </row>
    <row r="74">
      <c r="B74" s="140"/>
    </row>
    <row r="75">
      <c r="B75" s="140"/>
    </row>
    <row r="76">
      <c r="B76" s="140"/>
    </row>
    <row r="77">
      <c r="B77" s="140"/>
    </row>
    <row r="78">
      <c r="B78" s="140"/>
    </row>
    <row r="79">
      <c r="B79" s="140"/>
    </row>
    <row r="80">
      <c r="B80" s="140"/>
    </row>
    <row r="81">
      <c r="B81" s="140"/>
    </row>
    <row r="82">
      <c r="B82" s="140"/>
    </row>
    <row r="83">
      <c r="B83" s="140"/>
    </row>
    <row r="84">
      <c r="B84" s="140"/>
    </row>
    <row r="85">
      <c r="B85" s="140"/>
    </row>
    <row r="86">
      <c r="B86" s="140"/>
    </row>
    <row r="87">
      <c r="B87" s="140"/>
    </row>
    <row r="88">
      <c r="B88" s="140"/>
    </row>
    <row r="89">
      <c r="B89" s="140"/>
    </row>
    <row r="90">
      <c r="B90" s="140"/>
    </row>
    <row r="91">
      <c r="B91" s="140"/>
    </row>
    <row r="92">
      <c r="B92" s="140"/>
    </row>
    <row r="93">
      <c r="B93" s="140"/>
    </row>
    <row r="94">
      <c r="B94" s="140"/>
    </row>
    <row r="95">
      <c r="B95" s="140"/>
    </row>
    <row r="96">
      <c r="B96" s="140"/>
    </row>
    <row r="97">
      <c r="B97" s="140"/>
    </row>
    <row r="98">
      <c r="B98" s="140"/>
    </row>
    <row r="99">
      <c r="B99" s="140"/>
    </row>
    <row r="100">
      <c r="B100" s="140"/>
    </row>
    <row r="101">
      <c r="B101" s="140"/>
    </row>
    <row r="102">
      <c r="B102" s="140"/>
    </row>
    <row r="103">
      <c r="B103" s="140"/>
    </row>
    <row r="104">
      <c r="B104" s="140"/>
    </row>
    <row r="105">
      <c r="B105" s="140"/>
    </row>
    <row r="106">
      <c r="B106" s="140"/>
    </row>
    <row r="107">
      <c r="B107" s="140"/>
    </row>
    <row r="108">
      <c r="B108" s="140"/>
    </row>
    <row r="109">
      <c r="B109" s="140"/>
    </row>
    <row r="110">
      <c r="B110" s="140"/>
    </row>
    <row r="111">
      <c r="B111" s="140"/>
    </row>
    <row r="112">
      <c r="B112" s="140"/>
    </row>
    <row r="113">
      <c r="B113" s="140"/>
    </row>
    <row r="114">
      <c r="B114" s="140"/>
    </row>
    <row r="115">
      <c r="B115" s="140"/>
    </row>
    <row r="116">
      <c r="B116" s="140"/>
    </row>
    <row r="117">
      <c r="B117" s="140"/>
    </row>
    <row r="118">
      <c r="B118" s="140"/>
    </row>
    <row r="119">
      <c r="B119" s="140"/>
    </row>
    <row r="120">
      <c r="B120" s="140"/>
    </row>
    <row r="121">
      <c r="B121" s="140"/>
    </row>
    <row r="122">
      <c r="B122" s="140"/>
    </row>
    <row r="123">
      <c r="B123" s="140"/>
    </row>
    <row r="124">
      <c r="B124" s="140"/>
    </row>
    <row r="125">
      <c r="B125" s="140"/>
    </row>
    <row r="126">
      <c r="B126" s="140"/>
    </row>
    <row r="127">
      <c r="B127" s="140"/>
    </row>
    <row r="128">
      <c r="B128" s="140"/>
    </row>
    <row r="129">
      <c r="B129" s="140"/>
    </row>
    <row r="130">
      <c r="B130" s="140"/>
    </row>
    <row r="131">
      <c r="B131" s="140"/>
    </row>
    <row r="132">
      <c r="B132" s="140"/>
    </row>
    <row r="133">
      <c r="B133" s="140"/>
    </row>
    <row r="134">
      <c r="B134" s="140"/>
    </row>
    <row r="135">
      <c r="B135" s="140"/>
    </row>
    <row r="136">
      <c r="B136" s="140"/>
    </row>
    <row r="137">
      <c r="B137" s="140"/>
    </row>
    <row r="138">
      <c r="B138" s="140"/>
    </row>
    <row r="139">
      <c r="B139" s="140"/>
    </row>
    <row r="140">
      <c r="B140" s="140"/>
    </row>
    <row r="141">
      <c r="B141" s="140"/>
    </row>
    <row r="142">
      <c r="B142" s="140"/>
    </row>
    <row r="143">
      <c r="B143" s="140"/>
    </row>
    <row r="144">
      <c r="B144" s="140"/>
    </row>
    <row r="145">
      <c r="B145" s="140"/>
    </row>
    <row r="146">
      <c r="B146" s="140"/>
    </row>
    <row r="147">
      <c r="B147" s="140"/>
    </row>
    <row r="148">
      <c r="B148" s="140"/>
    </row>
    <row r="149">
      <c r="B149" s="140"/>
    </row>
    <row r="150">
      <c r="B150" s="140"/>
    </row>
    <row r="151">
      <c r="B151" s="140"/>
    </row>
    <row r="152">
      <c r="B152" s="140"/>
    </row>
    <row r="153">
      <c r="B153" s="140"/>
    </row>
    <row r="154">
      <c r="B154" s="140"/>
    </row>
    <row r="155">
      <c r="B155" s="140"/>
    </row>
    <row r="156">
      <c r="B156" s="140"/>
    </row>
    <row r="157">
      <c r="B157" s="140"/>
    </row>
    <row r="158">
      <c r="B158" s="140"/>
    </row>
    <row r="159">
      <c r="B159" s="140"/>
    </row>
    <row r="160">
      <c r="B160" s="140"/>
    </row>
    <row r="161">
      <c r="B161" s="140"/>
    </row>
    <row r="162">
      <c r="B162" s="140"/>
    </row>
    <row r="163">
      <c r="B163" s="140"/>
    </row>
    <row r="164">
      <c r="B164" s="140"/>
    </row>
    <row r="165">
      <c r="B165" s="140"/>
    </row>
    <row r="166">
      <c r="B166" s="140"/>
    </row>
    <row r="167">
      <c r="B167" s="140"/>
    </row>
    <row r="168">
      <c r="B168" s="140"/>
    </row>
    <row r="169">
      <c r="B169" s="140"/>
    </row>
    <row r="170">
      <c r="B170" s="140"/>
    </row>
    <row r="171">
      <c r="B171" s="140"/>
    </row>
    <row r="172">
      <c r="B172" s="140"/>
    </row>
    <row r="173">
      <c r="B173" s="140"/>
    </row>
    <row r="174">
      <c r="B174" s="140"/>
    </row>
    <row r="175">
      <c r="B175" s="140"/>
    </row>
    <row r="176">
      <c r="B176" s="140"/>
    </row>
    <row r="177">
      <c r="B177" s="140"/>
    </row>
    <row r="178">
      <c r="B178" s="140"/>
    </row>
    <row r="179">
      <c r="B179" s="140"/>
    </row>
    <row r="180">
      <c r="B180" s="140"/>
    </row>
    <row r="181">
      <c r="B181" s="140"/>
    </row>
    <row r="182">
      <c r="B182" s="140"/>
    </row>
    <row r="183">
      <c r="B183" s="140"/>
    </row>
    <row r="184">
      <c r="B184" s="140"/>
    </row>
    <row r="185">
      <c r="B185" s="140"/>
    </row>
    <row r="186">
      <c r="B186" s="140"/>
    </row>
    <row r="187">
      <c r="B187" s="140"/>
    </row>
    <row r="188">
      <c r="B188" s="140"/>
    </row>
    <row r="189">
      <c r="B189" s="140"/>
    </row>
    <row r="190">
      <c r="B190" s="140"/>
    </row>
    <row r="191">
      <c r="B191" s="140"/>
    </row>
    <row r="192">
      <c r="B192" s="140"/>
    </row>
    <row r="193">
      <c r="B193" s="140"/>
    </row>
    <row r="194">
      <c r="B194" s="140"/>
    </row>
    <row r="195">
      <c r="B195" s="140"/>
    </row>
    <row r="196">
      <c r="B196" s="140"/>
    </row>
    <row r="197">
      <c r="B197" s="140"/>
    </row>
    <row r="198">
      <c r="B198" s="140"/>
    </row>
    <row r="199">
      <c r="B199" s="140"/>
    </row>
    <row r="200">
      <c r="B200" s="140"/>
    </row>
    <row r="201">
      <c r="B201" s="140"/>
    </row>
    <row r="202">
      <c r="B202" s="140"/>
    </row>
    <row r="203">
      <c r="B203" s="140"/>
    </row>
    <row r="204">
      <c r="B204" s="140"/>
    </row>
    <row r="205">
      <c r="B205" s="140"/>
    </row>
    <row r="206">
      <c r="B206" s="140"/>
    </row>
    <row r="207">
      <c r="B207" s="140"/>
    </row>
    <row r="208">
      <c r="B208" s="140"/>
    </row>
    <row r="209">
      <c r="B209" s="140"/>
    </row>
    <row r="210">
      <c r="B210" s="140"/>
    </row>
    <row r="211">
      <c r="B211" s="140"/>
    </row>
    <row r="212">
      <c r="B212" s="140"/>
    </row>
    <row r="213">
      <c r="B213" s="140"/>
    </row>
    <row r="214">
      <c r="B214" s="140"/>
    </row>
    <row r="215">
      <c r="B215" s="140"/>
    </row>
    <row r="216">
      <c r="B216" s="140"/>
    </row>
    <row r="217">
      <c r="B217" s="140"/>
    </row>
    <row r="218">
      <c r="B218" s="140"/>
    </row>
    <row r="219">
      <c r="B219" s="140"/>
    </row>
    <row r="220">
      <c r="B220" s="140"/>
    </row>
    <row r="221">
      <c r="B221" s="140"/>
    </row>
    <row r="222">
      <c r="B222" s="140"/>
    </row>
    <row r="223">
      <c r="B223" s="140"/>
    </row>
    <row r="224">
      <c r="B224" s="140"/>
    </row>
    <row r="225">
      <c r="B225" s="140"/>
    </row>
    <row r="226">
      <c r="B226" s="140"/>
    </row>
    <row r="227">
      <c r="B227" s="140"/>
    </row>
    <row r="228">
      <c r="B228" s="140"/>
    </row>
    <row r="229">
      <c r="B229" s="140"/>
    </row>
    <row r="230">
      <c r="B230" s="140"/>
    </row>
    <row r="231">
      <c r="B231" s="140"/>
    </row>
    <row r="232">
      <c r="B232" s="140"/>
    </row>
    <row r="233">
      <c r="B233" s="140"/>
    </row>
    <row r="234">
      <c r="B234" s="140"/>
    </row>
    <row r="235">
      <c r="B235" s="140"/>
    </row>
    <row r="236">
      <c r="B236" s="140"/>
    </row>
    <row r="237">
      <c r="B237" s="140"/>
    </row>
    <row r="238">
      <c r="B238" s="140"/>
    </row>
    <row r="239">
      <c r="B239" s="140"/>
    </row>
    <row r="240">
      <c r="B240" s="140"/>
    </row>
    <row r="241">
      <c r="B241" s="140"/>
    </row>
    <row r="242">
      <c r="B242" s="140"/>
    </row>
    <row r="243">
      <c r="B243" s="140"/>
    </row>
    <row r="244">
      <c r="B244" s="140"/>
    </row>
    <row r="245">
      <c r="B245" s="140"/>
    </row>
    <row r="246">
      <c r="B246" s="140"/>
    </row>
    <row r="247">
      <c r="B247" s="140"/>
    </row>
    <row r="248">
      <c r="B248" s="140"/>
    </row>
    <row r="249">
      <c r="B249" s="140"/>
    </row>
    <row r="250">
      <c r="B250" s="140"/>
    </row>
    <row r="251">
      <c r="B251" s="140"/>
    </row>
    <row r="252">
      <c r="B252" s="140"/>
    </row>
    <row r="253">
      <c r="B253" s="140"/>
    </row>
    <row r="254">
      <c r="B254" s="140"/>
    </row>
    <row r="255">
      <c r="B255" s="140"/>
    </row>
    <row r="256">
      <c r="B256" s="140"/>
    </row>
    <row r="257">
      <c r="B257" s="140"/>
    </row>
    <row r="258">
      <c r="B258" s="140"/>
    </row>
    <row r="259">
      <c r="B259" s="140"/>
    </row>
    <row r="260">
      <c r="B260" s="140"/>
    </row>
    <row r="261">
      <c r="B261" s="140"/>
    </row>
    <row r="262">
      <c r="B262" s="140"/>
    </row>
    <row r="263">
      <c r="B263" s="140"/>
    </row>
    <row r="264">
      <c r="B264" s="140"/>
    </row>
    <row r="265">
      <c r="B265" s="140"/>
    </row>
    <row r="266">
      <c r="B266" s="140"/>
    </row>
    <row r="267">
      <c r="B267" s="140"/>
    </row>
    <row r="268">
      <c r="B268" s="140"/>
    </row>
    <row r="269">
      <c r="B269" s="140"/>
    </row>
    <row r="270">
      <c r="B270" s="140"/>
    </row>
    <row r="271">
      <c r="B271" s="140"/>
    </row>
    <row r="272">
      <c r="B272" s="140"/>
    </row>
    <row r="273">
      <c r="B273" s="140"/>
    </row>
    <row r="274">
      <c r="B274" s="140"/>
    </row>
    <row r="275">
      <c r="B275" s="140"/>
    </row>
    <row r="276">
      <c r="B276" s="140"/>
    </row>
    <row r="277">
      <c r="B277" s="140"/>
    </row>
    <row r="278">
      <c r="B278" s="140"/>
    </row>
    <row r="279">
      <c r="B279" s="140"/>
    </row>
    <row r="280">
      <c r="B280" s="140"/>
    </row>
    <row r="281">
      <c r="B281" s="140"/>
    </row>
    <row r="282">
      <c r="B282" s="140"/>
    </row>
    <row r="283">
      <c r="B283" s="140"/>
    </row>
    <row r="284">
      <c r="B284" s="140"/>
    </row>
    <row r="285">
      <c r="B285" s="140"/>
    </row>
    <row r="286">
      <c r="B286" s="140"/>
    </row>
    <row r="287">
      <c r="B287" s="140"/>
    </row>
    <row r="288">
      <c r="B288" s="140"/>
    </row>
    <row r="289">
      <c r="B289" s="140"/>
    </row>
    <row r="290">
      <c r="B290" s="140"/>
    </row>
    <row r="291">
      <c r="B291" s="140"/>
    </row>
    <row r="292">
      <c r="B292" s="140"/>
    </row>
    <row r="293">
      <c r="B293" s="140"/>
    </row>
    <row r="294">
      <c r="B294" s="140"/>
    </row>
    <row r="295">
      <c r="B295" s="140"/>
    </row>
    <row r="296">
      <c r="B296" s="140"/>
    </row>
    <row r="297">
      <c r="B297" s="140"/>
    </row>
    <row r="298">
      <c r="B298" s="140"/>
    </row>
    <row r="299">
      <c r="B299" s="140"/>
    </row>
    <row r="300">
      <c r="B300" s="140"/>
    </row>
    <row r="301">
      <c r="B301" s="140"/>
    </row>
    <row r="302">
      <c r="B302" s="140"/>
    </row>
    <row r="303">
      <c r="B303" s="140"/>
    </row>
    <row r="304">
      <c r="B304" s="140"/>
    </row>
    <row r="305">
      <c r="B305" s="140"/>
    </row>
    <row r="306">
      <c r="B306" s="140"/>
    </row>
    <row r="307">
      <c r="B307" s="140"/>
    </row>
    <row r="308">
      <c r="B308" s="140"/>
    </row>
    <row r="309">
      <c r="B309" s="140"/>
    </row>
    <row r="310">
      <c r="B310" s="140"/>
    </row>
    <row r="311">
      <c r="B311" s="140"/>
    </row>
    <row r="312">
      <c r="B312" s="140"/>
    </row>
    <row r="313">
      <c r="B313" s="140"/>
    </row>
    <row r="314">
      <c r="B314" s="140"/>
    </row>
    <row r="315">
      <c r="B315" s="140"/>
    </row>
    <row r="316">
      <c r="B316" s="140"/>
    </row>
    <row r="317">
      <c r="B317" s="140"/>
    </row>
    <row r="318">
      <c r="B318" s="140"/>
    </row>
    <row r="319">
      <c r="B319" s="140"/>
    </row>
    <row r="320">
      <c r="B320" s="140"/>
    </row>
    <row r="321">
      <c r="B321" s="140"/>
    </row>
    <row r="322">
      <c r="B322" s="140"/>
    </row>
    <row r="323">
      <c r="B323" s="140"/>
    </row>
    <row r="324">
      <c r="B324" s="140"/>
    </row>
    <row r="325">
      <c r="B325" s="140"/>
    </row>
    <row r="326">
      <c r="B326" s="140"/>
    </row>
    <row r="327">
      <c r="B327" s="140"/>
    </row>
    <row r="328">
      <c r="B328" s="140"/>
    </row>
    <row r="329">
      <c r="B329" s="140"/>
    </row>
    <row r="330">
      <c r="B330" s="140"/>
    </row>
    <row r="331">
      <c r="B331" s="140"/>
    </row>
    <row r="332">
      <c r="B332" s="140"/>
    </row>
    <row r="333">
      <c r="B333" s="140"/>
    </row>
    <row r="334">
      <c r="B334" s="140"/>
    </row>
    <row r="335">
      <c r="B335" s="140"/>
    </row>
    <row r="336">
      <c r="B336" s="140"/>
    </row>
    <row r="337">
      <c r="B337" s="140"/>
    </row>
    <row r="338">
      <c r="B338" s="140"/>
    </row>
    <row r="339">
      <c r="B339" s="140"/>
    </row>
    <row r="340">
      <c r="B340" s="140"/>
    </row>
    <row r="341">
      <c r="B341" s="140"/>
    </row>
    <row r="342">
      <c r="B342" s="140"/>
    </row>
    <row r="343">
      <c r="B343" s="140"/>
    </row>
    <row r="344">
      <c r="B344" s="140"/>
    </row>
    <row r="345">
      <c r="B345" s="140"/>
    </row>
    <row r="346">
      <c r="B346" s="140"/>
    </row>
    <row r="347">
      <c r="B347" s="140"/>
    </row>
    <row r="348">
      <c r="B348" s="140"/>
    </row>
    <row r="349">
      <c r="B349" s="140"/>
    </row>
    <row r="350">
      <c r="B350" s="140"/>
    </row>
    <row r="351">
      <c r="B351" s="140"/>
    </row>
    <row r="352">
      <c r="B352" s="140"/>
    </row>
    <row r="353">
      <c r="B353" s="140"/>
    </row>
    <row r="354">
      <c r="B354" s="140"/>
    </row>
    <row r="355">
      <c r="B355" s="140"/>
    </row>
    <row r="356">
      <c r="B356" s="140"/>
    </row>
    <row r="357">
      <c r="B357" s="140"/>
    </row>
    <row r="358">
      <c r="B358" s="140"/>
    </row>
    <row r="359">
      <c r="B359" s="140"/>
    </row>
    <row r="360">
      <c r="B360" s="140"/>
    </row>
    <row r="361">
      <c r="B361" s="140"/>
    </row>
    <row r="362">
      <c r="B362" s="140"/>
    </row>
    <row r="363">
      <c r="B363" s="140"/>
    </row>
    <row r="364">
      <c r="B364" s="140"/>
    </row>
    <row r="365">
      <c r="B365" s="140"/>
    </row>
    <row r="366">
      <c r="B366" s="140"/>
    </row>
    <row r="367">
      <c r="B367" s="140"/>
    </row>
    <row r="368">
      <c r="B368" s="140"/>
    </row>
    <row r="369">
      <c r="B369" s="140"/>
    </row>
    <row r="370">
      <c r="B370" s="140"/>
    </row>
    <row r="371">
      <c r="B371" s="140"/>
    </row>
    <row r="372">
      <c r="B372" s="140"/>
    </row>
    <row r="373">
      <c r="B373" s="140"/>
    </row>
    <row r="374">
      <c r="B374" s="140"/>
    </row>
    <row r="375">
      <c r="B375" s="140"/>
    </row>
    <row r="376">
      <c r="B376" s="140"/>
    </row>
    <row r="377">
      <c r="B377" s="140"/>
    </row>
    <row r="378">
      <c r="B378" s="140"/>
    </row>
    <row r="379">
      <c r="B379" s="140"/>
    </row>
    <row r="380">
      <c r="B380" s="140"/>
    </row>
    <row r="381">
      <c r="B381" s="140"/>
    </row>
    <row r="382">
      <c r="B382" s="140"/>
    </row>
    <row r="383">
      <c r="B383" s="140"/>
    </row>
    <row r="384">
      <c r="B384" s="140"/>
    </row>
    <row r="385">
      <c r="B385" s="140"/>
    </row>
    <row r="386">
      <c r="B386" s="140"/>
    </row>
    <row r="387">
      <c r="B387" s="140"/>
    </row>
    <row r="388">
      <c r="B388" s="140"/>
    </row>
    <row r="389">
      <c r="B389" s="140"/>
    </row>
    <row r="390">
      <c r="B390" s="140"/>
    </row>
    <row r="391">
      <c r="B391" s="140"/>
    </row>
    <row r="392">
      <c r="B392" s="140"/>
    </row>
    <row r="393">
      <c r="B393" s="140"/>
    </row>
    <row r="394">
      <c r="B394" s="140"/>
    </row>
    <row r="395">
      <c r="B395" s="140"/>
    </row>
    <row r="396">
      <c r="B396" s="140"/>
    </row>
    <row r="397">
      <c r="B397" s="140"/>
    </row>
    <row r="398">
      <c r="B398" s="140"/>
    </row>
    <row r="399">
      <c r="B399" s="140"/>
    </row>
    <row r="400">
      <c r="B400" s="140"/>
    </row>
    <row r="401">
      <c r="B401" s="140"/>
    </row>
    <row r="402">
      <c r="B402" s="140"/>
    </row>
    <row r="403">
      <c r="B403" s="140"/>
    </row>
    <row r="404">
      <c r="B404" s="140"/>
    </row>
    <row r="405">
      <c r="B405" s="140"/>
    </row>
    <row r="406">
      <c r="B406" s="140"/>
    </row>
    <row r="407">
      <c r="B407" s="140"/>
    </row>
    <row r="408">
      <c r="B408" s="140"/>
    </row>
    <row r="409">
      <c r="B409" s="140"/>
    </row>
    <row r="410">
      <c r="B410" s="140"/>
    </row>
    <row r="411">
      <c r="B411" s="140"/>
    </row>
    <row r="412">
      <c r="B412" s="140"/>
    </row>
    <row r="413">
      <c r="B413" s="140"/>
    </row>
    <row r="414">
      <c r="B414" s="140"/>
    </row>
    <row r="415">
      <c r="B415" s="140"/>
    </row>
    <row r="416">
      <c r="B416" s="140"/>
    </row>
    <row r="417">
      <c r="B417" s="140"/>
    </row>
    <row r="418">
      <c r="B418" s="140"/>
    </row>
    <row r="419">
      <c r="B419" s="140"/>
    </row>
    <row r="420">
      <c r="B420" s="140"/>
    </row>
    <row r="421">
      <c r="B421" s="140"/>
    </row>
    <row r="422">
      <c r="B422" s="140"/>
    </row>
    <row r="423">
      <c r="B423" s="140"/>
    </row>
    <row r="424">
      <c r="B424" s="140"/>
    </row>
    <row r="425">
      <c r="B425" s="140"/>
    </row>
    <row r="426">
      <c r="B426" s="140"/>
    </row>
    <row r="427">
      <c r="B427" s="140"/>
    </row>
    <row r="428">
      <c r="B428" s="140"/>
    </row>
    <row r="429">
      <c r="B429" s="140"/>
    </row>
    <row r="430">
      <c r="B430" s="140"/>
    </row>
    <row r="431">
      <c r="B431" s="140"/>
    </row>
    <row r="432">
      <c r="B432" s="140"/>
    </row>
    <row r="433">
      <c r="B433" s="140"/>
    </row>
    <row r="434">
      <c r="B434" s="140"/>
    </row>
    <row r="435">
      <c r="B435" s="140"/>
    </row>
    <row r="436">
      <c r="B436" s="140"/>
    </row>
    <row r="437">
      <c r="B437" s="140"/>
    </row>
    <row r="438">
      <c r="B438" s="140"/>
    </row>
    <row r="439">
      <c r="B439" s="140"/>
    </row>
    <row r="440">
      <c r="B440" s="140"/>
    </row>
    <row r="441">
      <c r="B441" s="140"/>
    </row>
    <row r="442">
      <c r="B442" s="140"/>
    </row>
    <row r="443">
      <c r="B443" s="140"/>
    </row>
    <row r="444">
      <c r="B444" s="140"/>
    </row>
    <row r="445">
      <c r="B445" s="140"/>
    </row>
    <row r="446">
      <c r="B446" s="140"/>
    </row>
    <row r="447">
      <c r="B447" s="140"/>
    </row>
    <row r="448">
      <c r="B448" s="140"/>
    </row>
    <row r="449">
      <c r="B449" s="140"/>
    </row>
    <row r="450">
      <c r="B450" s="140"/>
    </row>
    <row r="451">
      <c r="B451" s="140"/>
    </row>
    <row r="452">
      <c r="B452" s="140"/>
    </row>
    <row r="453">
      <c r="B453" s="140"/>
    </row>
    <row r="454">
      <c r="B454" s="140"/>
    </row>
    <row r="455">
      <c r="B455" s="140"/>
    </row>
    <row r="456">
      <c r="B456" s="140"/>
    </row>
    <row r="457">
      <c r="B457" s="140"/>
    </row>
    <row r="458">
      <c r="B458" s="140"/>
    </row>
    <row r="459">
      <c r="B459" s="140"/>
    </row>
    <row r="460">
      <c r="B460" s="140"/>
    </row>
    <row r="461">
      <c r="B461" s="140"/>
    </row>
    <row r="462">
      <c r="B462" s="140"/>
    </row>
    <row r="463">
      <c r="B463" s="140"/>
    </row>
    <row r="464">
      <c r="B464" s="140"/>
    </row>
    <row r="465">
      <c r="B465" s="140"/>
    </row>
    <row r="466">
      <c r="B466" s="140"/>
    </row>
    <row r="467">
      <c r="B467" s="140"/>
    </row>
    <row r="468">
      <c r="B468" s="140"/>
    </row>
    <row r="469">
      <c r="B469" s="140"/>
    </row>
    <row r="470">
      <c r="B470" s="140"/>
    </row>
    <row r="471">
      <c r="B471" s="140"/>
    </row>
    <row r="472">
      <c r="B472" s="140"/>
    </row>
    <row r="473">
      <c r="B473" s="140"/>
    </row>
    <row r="474">
      <c r="B474" s="140"/>
    </row>
    <row r="475">
      <c r="B475" s="140"/>
    </row>
    <row r="476">
      <c r="B476" s="140"/>
    </row>
    <row r="477">
      <c r="B477" s="140"/>
    </row>
    <row r="478">
      <c r="B478" s="140"/>
    </row>
    <row r="479">
      <c r="B479" s="140"/>
    </row>
    <row r="480">
      <c r="B480" s="140"/>
    </row>
    <row r="481">
      <c r="B481" s="140"/>
    </row>
    <row r="482">
      <c r="B482" s="140"/>
    </row>
    <row r="483">
      <c r="B483" s="140"/>
    </row>
    <row r="484">
      <c r="B484" s="140"/>
    </row>
    <row r="485">
      <c r="B485" s="140"/>
    </row>
    <row r="486">
      <c r="B486" s="140"/>
    </row>
    <row r="487">
      <c r="B487" s="140"/>
    </row>
    <row r="488">
      <c r="B488" s="140"/>
    </row>
    <row r="489">
      <c r="B489" s="140"/>
    </row>
    <row r="490">
      <c r="B490" s="140"/>
    </row>
    <row r="491">
      <c r="B491" s="140"/>
    </row>
    <row r="492">
      <c r="B492" s="140"/>
    </row>
    <row r="493">
      <c r="B493" s="140"/>
    </row>
    <row r="494">
      <c r="B494" s="140"/>
    </row>
    <row r="495">
      <c r="B495" s="140"/>
    </row>
    <row r="496">
      <c r="B496" s="140"/>
    </row>
    <row r="497">
      <c r="B497" s="140"/>
    </row>
    <row r="498">
      <c r="B498" s="140"/>
    </row>
    <row r="499">
      <c r="B499" s="140"/>
    </row>
    <row r="500">
      <c r="B500" s="140"/>
    </row>
    <row r="501">
      <c r="B501" s="140"/>
    </row>
    <row r="502">
      <c r="B502" s="140"/>
    </row>
    <row r="503">
      <c r="B503" s="140"/>
    </row>
    <row r="504">
      <c r="B504" s="140"/>
    </row>
    <row r="505">
      <c r="B505" s="140"/>
    </row>
    <row r="506">
      <c r="B506" s="140"/>
    </row>
    <row r="507">
      <c r="B507" s="140"/>
    </row>
    <row r="508">
      <c r="B508" s="140"/>
    </row>
    <row r="509">
      <c r="B509" s="140"/>
    </row>
    <row r="510">
      <c r="B510" s="140"/>
    </row>
    <row r="511">
      <c r="B511" s="140"/>
    </row>
    <row r="512">
      <c r="B512" s="140"/>
    </row>
    <row r="513">
      <c r="B513" s="140"/>
    </row>
    <row r="514">
      <c r="B514" s="140"/>
    </row>
    <row r="515">
      <c r="B515" s="140"/>
    </row>
    <row r="516">
      <c r="B516" s="140"/>
    </row>
    <row r="517">
      <c r="B517" s="140"/>
    </row>
    <row r="518">
      <c r="B518" s="140"/>
    </row>
    <row r="519">
      <c r="B519" s="140"/>
    </row>
    <row r="520">
      <c r="B520" s="140"/>
    </row>
    <row r="521">
      <c r="B521" s="140"/>
    </row>
    <row r="522">
      <c r="B522" s="140"/>
    </row>
    <row r="523">
      <c r="B523" s="140"/>
    </row>
    <row r="524">
      <c r="B524" s="140"/>
    </row>
    <row r="525">
      <c r="B525" s="140"/>
    </row>
    <row r="526">
      <c r="B526" s="140"/>
    </row>
    <row r="527">
      <c r="B527" s="140"/>
    </row>
    <row r="528">
      <c r="B528" s="140"/>
    </row>
    <row r="529">
      <c r="B529" s="140"/>
    </row>
    <row r="530">
      <c r="B530" s="140"/>
    </row>
    <row r="531">
      <c r="B531" s="140"/>
    </row>
    <row r="532">
      <c r="B532" s="140"/>
    </row>
    <row r="533">
      <c r="B533" s="140"/>
    </row>
    <row r="534">
      <c r="B534" s="140"/>
    </row>
    <row r="535">
      <c r="B535" s="140"/>
    </row>
    <row r="536">
      <c r="B536" s="140"/>
    </row>
    <row r="537">
      <c r="B537" s="140"/>
    </row>
    <row r="538">
      <c r="B538" s="140"/>
    </row>
    <row r="539">
      <c r="B539" s="140"/>
    </row>
    <row r="540">
      <c r="B540" s="140"/>
    </row>
    <row r="541">
      <c r="B541" s="140"/>
    </row>
    <row r="542">
      <c r="B542" s="140"/>
    </row>
    <row r="543">
      <c r="B543" s="140"/>
    </row>
    <row r="544">
      <c r="B544" s="140"/>
    </row>
    <row r="545">
      <c r="B545" s="140"/>
    </row>
    <row r="546">
      <c r="B546" s="140"/>
    </row>
    <row r="547">
      <c r="B547" s="140"/>
    </row>
    <row r="548">
      <c r="B548" s="140"/>
    </row>
    <row r="549">
      <c r="B549" s="140"/>
    </row>
    <row r="550">
      <c r="B550" s="140"/>
    </row>
    <row r="551">
      <c r="B551" s="140"/>
    </row>
    <row r="552">
      <c r="B552" s="140"/>
    </row>
    <row r="553">
      <c r="B553" s="140"/>
    </row>
    <row r="554">
      <c r="B554" s="140"/>
    </row>
    <row r="555">
      <c r="B555" s="140"/>
    </row>
    <row r="556">
      <c r="B556" s="140"/>
    </row>
    <row r="557">
      <c r="B557" s="140"/>
    </row>
    <row r="558">
      <c r="B558" s="140"/>
    </row>
    <row r="559">
      <c r="B559" s="140"/>
    </row>
    <row r="560">
      <c r="B560" s="140"/>
    </row>
    <row r="561">
      <c r="B561" s="140"/>
    </row>
    <row r="562">
      <c r="B562" s="140"/>
    </row>
    <row r="563">
      <c r="B563" s="140"/>
    </row>
    <row r="564">
      <c r="B564" s="140"/>
    </row>
    <row r="565">
      <c r="B565" s="140"/>
    </row>
    <row r="566">
      <c r="B566" s="140"/>
    </row>
    <row r="567">
      <c r="B567" s="140"/>
    </row>
    <row r="568">
      <c r="B568" s="140"/>
    </row>
    <row r="569">
      <c r="B569" s="140"/>
    </row>
    <row r="570">
      <c r="B570" s="140"/>
    </row>
    <row r="571">
      <c r="B571" s="140"/>
    </row>
    <row r="572">
      <c r="B572" s="140"/>
    </row>
    <row r="573">
      <c r="B573" s="140"/>
    </row>
    <row r="574">
      <c r="B574" s="140"/>
    </row>
    <row r="575">
      <c r="B575" s="140"/>
    </row>
    <row r="576">
      <c r="B576" s="140"/>
    </row>
    <row r="577">
      <c r="B577" s="140"/>
    </row>
    <row r="578">
      <c r="B578" s="140"/>
    </row>
    <row r="579">
      <c r="B579" s="140"/>
    </row>
    <row r="580">
      <c r="B580" s="140"/>
    </row>
    <row r="581">
      <c r="B581" s="140"/>
    </row>
    <row r="582">
      <c r="B582" s="140"/>
    </row>
    <row r="583">
      <c r="B583" s="140"/>
    </row>
    <row r="584">
      <c r="B584" s="140"/>
    </row>
    <row r="585">
      <c r="B585" s="140"/>
    </row>
    <row r="586">
      <c r="B586" s="140"/>
    </row>
    <row r="587">
      <c r="B587" s="140"/>
    </row>
    <row r="588">
      <c r="B588" s="140"/>
    </row>
    <row r="589">
      <c r="B589" s="140"/>
    </row>
    <row r="590">
      <c r="B590" s="140"/>
    </row>
    <row r="591">
      <c r="B591" s="140"/>
    </row>
    <row r="592">
      <c r="B592" s="140"/>
    </row>
    <row r="593">
      <c r="B593" s="140"/>
    </row>
    <row r="594">
      <c r="B594" s="140"/>
    </row>
    <row r="595">
      <c r="B595" s="140"/>
    </row>
    <row r="596">
      <c r="B596" s="140"/>
    </row>
    <row r="597">
      <c r="B597" s="140"/>
    </row>
    <row r="598">
      <c r="B598" s="140"/>
    </row>
    <row r="599">
      <c r="B599" s="140"/>
    </row>
    <row r="600">
      <c r="B600" s="140"/>
    </row>
    <row r="601">
      <c r="B601" s="140"/>
    </row>
    <row r="602">
      <c r="B602" s="140"/>
    </row>
    <row r="603">
      <c r="B603" s="140"/>
    </row>
    <row r="604">
      <c r="B604" s="140"/>
    </row>
    <row r="605">
      <c r="B605" s="140"/>
    </row>
    <row r="606">
      <c r="B606" s="140"/>
    </row>
    <row r="607">
      <c r="B607" s="140"/>
    </row>
    <row r="608">
      <c r="B608" s="140"/>
    </row>
    <row r="609">
      <c r="B609" s="140"/>
    </row>
    <row r="610">
      <c r="B610" s="140"/>
    </row>
    <row r="611">
      <c r="B611" s="140"/>
    </row>
    <row r="612">
      <c r="B612" s="140"/>
    </row>
    <row r="613">
      <c r="B613" s="140"/>
    </row>
    <row r="614">
      <c r="B614" s="140"/>
    </row>
    <row r="615">
      <c r="B615" s="140"/>
    </row>
    <row r="616">
      <c r="B616" s="140"/>
    </row>
    <row r="617">
      <c r="B617" s="140"/>
    </row>
    <row r="618">
      <c r="B618" s="140"/>
    </row>
    <row r="619">
      <c r="B619" s="140"/>
    </row>
    <row r="620">
      <c r="B620" s="140"/>
    </row>
    <row r="621">
      <c r="B621" s="140"/>
    </row>
    <row r="622">
      <c r="B622" s="140"/>
    </row>
    <row r="623">
      <c r="B623" s="140"/>
    </row>
    <row r="624">
      <c r="B624" s="140"/>
    </row>
    <row r="625">
      <c r="B625" s="140"/>
    </row>
    <row r="626">
      <c r="B626" s="140"/>
    </row>
    <row r="627">
      <c r="B627" s="140"/>
    </row>
    <row r="628">
      <c r="B628" s="140"/>
    </row>
    <row r="629">
      <c r="B629" s="140"/>
    </row>
    <row r="630">
      <c r="B630" s="140"/>
    </row>
    <row r="631">
      <c r="B631" s="140"/>
    </row>
    <row r="632">
      <c r="B632" s="140"/>
    </row>
    <row r="633">
      <c r="B633" s="140"/>
    </row>
    <row r="634">
      <c r="B634" s="140"/>
    </row>
    <row r="635">
      <c r="B635" s="140"/>
    </row>
    <row r="636">
      <c r="B636" s="140"/>
    </row>
    <row r="637">
      <c r="B637" s="140"/>
    </row>
    <row r="638">
      <c r="B638" s="140"/>
    </row>
    <row r="639">
      <c r="B639" s="140"/>
    </row>
    <row r="640">
      <c r="B640" s="140"/>
    </row>
    <row r="641">
      <c r="B641" s="140"/>
    </row>
    <row r="642">
      <c r="B642" s="140"/>
    </row>
    <row r="643">
      <c r="B643" s="140"/>
    </row>
    <row r="644">
      <c r="B644" s="140"/>
    </row>
    <row r="645">
      <c r="B645" s="140"/>
    </row>
    <row r="646">
      <c r="B646" s="140"/>
    </row>
    <row r="647">
      <c r="B647" s="140"/>
    </row>
    <row r="648">
      <c r="B648" s="140"/>
    </row>
    <row r="649">
      <c r="B649" s="140"/>
    </row>
    <row r="650">
      <c r="B650" s="140"/>
    </row>
    <row r="651">
      <c r="B651" s="140"/>
    </row>
    <row r="652">
      <c r="B652" s="140"/>
    </row>
    <row r="653">
      <c r="B653" s="140"/>
    </row>
    <row r="654">
      <c r="B654" s="140"/>
    </row>
    <row r="655">
      <c r="B655" s="140"/>
    </row>
    <row r="656">
      <c r="B656" s="140"/>
    </row>
    <row r="657">
      <c r="B657" s="140"/>
    </row>
    <row r="658">
      <c r="B658" s="140"/>
    </row>
    <row r="659">
      <c r="B659" s="140"/>
    </row>
    <row r="660">
      <c r="B660" s="140"/>
    </row>
    <row r="661">
      <c r="B661" s="140"/>
    </row>
    <row r="662">
      <c r="B662" s="140"/>
    </row>
    <row r="663">
      <c r="B663" s="140"/>
    </row>
    <row r="664">
      <c r="B664" s="140"/>
    </row>
    <row r="665">
      <c r="B665" s="140"/>
    </row>
    <row r="666">
      <c r="B666" s="140"/>
    </row>
    <row r="667">
      <c r="B667" s="140"/>
    </row>
    <row r="668">
      <c r="B668" s="140"/>
    </row>
    <row r="669">
      <c r="B669" s="140"/>
    </row>
    <row r="670">
      <c r="B670" s="140"/>
    </row>
    <row r="671">
      <c r="B671" s="140"/>
    </row>
    <row r="672">
      <c r="B672" s="140"/>
    </row>
    <row r="673">
      <c r="B673" s="140"/>
    </row>
    <row r="674">
      <c r="B674" s="140"/>
    </row>
    <row r="675">
      <c r="B675" s="140"/>
    </row>
    <row r="676">
      <c r="B676" s="140"/>
    </row>
    <row r="677">
      <c r="B677" s="140"/>
    </row>
    <row r="678">
      <c r="B678" s="140"/>
    </row>
    <row r="679">
      <c r="B679" s="140"/>
    </row>
    <row r="680">
      <c r="B680" s="140"/>
    </row>
    <row r="681">
      <c r="B681" s="140"/>
    </row>
    <row r="682">
      <c r="B682" s="140"/>
    </row>
    <row r="683">
      <c r="B683" s="140"/>
    </row>
    <row r="684">
      <c r="B684" s="140"/>
    </row>
    <row r="685">
      <c r="B685" s="140"/>
    </row>
    <row r="686">
      <c r="B686" s="140"/>
    </row>
    <row r="687">
      <c r="B687" s="140"/>
    </row>
    <row r="688">
      <c r="B688" s="140"/>
    </row>
    <row r="689">
      <c r="B689" s="140"/>
    </row>
    <row r="690">
      <c r="B690" s="140"/>
    </row>
    <row r="691">
      <c r="B691" s="140"/>
    </row>
    <row r="692">
      <c r="B692" s="140"/>
    </row>
    <row r="693">
      <c r="B693" s="140"/>
    </row>
    <row r="694">
      <c r="B694" s="140"/>
    </row>
    <row r="695">
      <c r="B695" s="140"/>
    </row>
    <row r="696">
      <c r="B696" s="140"/>
    </row>
    <row r="697">
      <c r="B697" s="140"/>
    </row>
    <row r="698">
      <c r="B698" s="140"/>
    </row>
    <row r="699">
      <c r="B699" s="140"/>
    </row>
    <row r="700">
      <c r="B700" s="140"/>
    </row>
    <row r="701">
      <c r="B701" s="140"/>
    </row>
    <row r="702">
      <c r="B702" s="140"/>
    </row>
    <row r="703">
      <c r="B703" s="140"/>
    </row>
    <row r="704">
      <c r="B704" s="140"/>
    </row>
    <row r="705">
      <c r="B705" s="140"/>
    </row>
    <row r="706">
      <c r="B706" s="140"/>
    </row>
    <row r="707">
      <c r="B707" s="140"/>
    </row>
    <row r="708">
      <c r="B708" s="140"/>
    </row>
    <row r="709">
      <c r="B709" s="140"/>
    </row>
    <row r="710">
      <c r="B710" s="140"/>
    </row>
    <row r="711">
      <c r="B711" s="140"/>
    </row>
    <row r="712">
      <c r="B712" s="140"/>
    </row>
    <row r="713">
      <c r="B713" s="140"/>
    </row>
    <row r="714">
      <c r="B714" s="140"/>
    </row>
    <row r="715">
      <c r="B715" s="140"/>
    </row>
    <row r="716">
      <c r="B716" s="140"/>
    </row>
    <row r="717">
      <c r="B717" s="140"/>
    </row>
    <row r="718">
      <c r="B718" s="140"/>
    </row>
    <row r="719">
      <c r="B719" s="140"/>
    </row>
    <row r="720">
      <c r="B720" s="140"/>
    </row>
    <row r="721">
      <c r="B721" s="140"/>
    </row>
    <row r="722">
      <c r="B722" s="140"/>
    </row>
    <row r="723">
      <c r="B723" s="140"/>
    </row>
    <row r="724">
      <c r="B724" s="140"/>
    </row>
    <row r="725">
      <c r="B725" s="140"/>
    </row>
    <row r="726">
      <c r="B726" s="140"/>
    </row>
    <row r="727">
      <c r="B727" s="140"/>
    </row>
    <row r="728">
      <c r="B728" s="140"/>
    </row>
    <row r="729">
      <c r="B729" s="140"/>
    </row>
    <row r="730">
      <c r="B730" s="140"/>
    </row>
    <row r="731">
      <c r="B731" s="140"/>
    </row>
    <row r="732">
      <c r="B732" s="140"/>
    </row>
    <row r="733">
      <c r="B733" s="140"/>
    </row>
    <row r="734">
      <c r="B734" s="140"/>
    </row>
    <row r="735">
      <c r="B735" s="140"/>
    </row>
    <row r="736">
      <c r="B736" s="140"/>
    </row>
    <row r="737">
      <c r="B737" s="140"/>
    </row>
    <row r="738">
      <c r="B738" s="140"/>
    </row>
    <row r="739">
      <c r="B739" s="140"/>
    </row>
    <row r="740">
      <c r="B740" s="140"/>
    </row>
    <row r="741">
      <c r="B741" s="140"/>
    </row>
    <row r="742">
      <c r="B742" s="140"/>
    </row>
    <row r="743">
      <c r="B743" s="140"/>
    </row>
    <row r="744">
      <c r="B744" s="140"/>
    </row>
    <row r="745">
      <c r="B745" s="140"/>
    </row>
    <row r="746">
      <c r="B746" s="140"/>
    </row>
    <row r="747">
      <c r="B747" s="140"/>
    </row>
    <row r="748">
      <c r="B748" s="140"/>
    </row>
    <row r="749">
      <c r="B749" s="140"/>
    </row>
    <row r="750">
      <c r="B750" s="140"/>
    </row>
    <row r="751">
      <c r="B751" s="140"/>
    </row>
    <row r="752">
      <c r="B752" s="140"/>
    </row>
    <row r="753">
      <c r="B753" s="140"/>
    </row>
    <row r="754">
      <c r="B754" s="140"/>
    </row>
    <row r="755">
      <c r="B755" s="140"/>
    </row>
    <row r="756">
      <c r="B756" s="140"/>
    </row>
    <row r="757">
      <c r="B757" s="140"/>
    </row>
    <row r="758">
      <c r="B758" s="140"/>
    </row>
    <row r="759">
      <c r="B759" s="140"/>
    </row>
    <row r="760">
      <c r="B760" s="140"/>
    </row>
    <row r="761">
      <c r="B761" s="140"/>
    </row>
    <row r="762">
      <c r="B762" s="140"/>
    </row>
    <row r="763">
      <c r="B763" s="140"/>
    </row>
    <row r="764">
      <c r="B764" s="140"/>
    </row>
    <row r="765">
      <c r="B765" s="140"/>
    </row>
    <row r="766">
      <c r="B766" s="140"/>
    </row>
    <row r="767">
      <c r="B767" s="140"/>
    </row>
    <row r="768">
      <c r="B768" s="140"/>
    </row>
    <row r="769">
      <c r="B769" s="140"/>
    </row>
    <row r="770">
      <c r="B770" s="140"/>
    </row>
    <row r="771">
      <c r="B771" s="140"/>
    </row>
    <row r="772">
      <c r="B772" s="140"/>
    </row>
    <row r="773">
      <c r="B773" s="140"/>
    </row>
    <row r="774">
      <c r="B774" s="140"/>
    </row>
    <row r="775">
      <c r="B775" s="140"/>
    </row>
    <row r="776">
      <c r="B776" s="140"/>
    </row>
    <row r="777">
      <c r="B777" s="140"/>
    </row>
    <row r="778">
      <c r="B778" s="140"/>
    </row>
    <row r="779">
      <c r="B779" s="140"/>
    </row>
    <row r="780">
      <c r="B780" s="140"/>
    </row>
    <row r="781">
      <c r="B781" s="140"/>
    </row>
    <row r="782">
      <c r="B782" s="140"/>
    </row>
    <row r="783">
      <c r="B783" s="140"/>
    </row>
    <row r="784">
      <c r="B784" s="140"/>
    </row>
    <row r="785">
      <c r="B785" s="140"/>
    </row>
    <row r="786">
      <c r="B786" s="140"/>
    </row>
    <row r="787">
      <c r="B787" s="140"/>
    </row>
    <row r="788">
      <c r="B788" s="140"/>
    </row>
    <row r="789">
      <c r="B789" s="140"/>
    </row>
    <row r="790">
      <c r="B790" s="140"/>
    </row>
    <row r="791">
      <c r="B791" s="140"/>
    </row>
    <row r="792">
      <c r="B792" s="140"/>
    </row>
    <row r="793">
      <c r="B793" s="140"/>
    </row>
    <row r="794">
      <c r="B794" s="140"/>
    </row>
    <row r="795">
      <c r="B795" s="140"/>
    </row>
    <row r="796">
      <c r="B796" s="140"/>
    </row>
    <row r="797">
      <c r="B797" s="140"/>
    </row>
    <row r="798">
      <c r="B798" s="140"/>
    </row>
    <row r="799">
      <c r="B799" s="140"/>
    </row>
    <row r="800">
      <c r="B800" s="140"/>
    </row>
    <row r="801">
      <c r="B801" s="140"/>
    </row>
    <row r="802">
      <c r="B802" s="140"/>
    </row>
    <row r="803">
      <c r="B803" s="140"/>
    </row>
    <row r="804">
      <c r="B804" s="140"/>
    </row>
    <row r="805">
      <c r="B805" s="140"/>
    </row>
    <row r="806">
      <c r="B806" s="140"/>
    </row>
    <row r="807">
      <c r="B807" s="140"/>
    </row>
    <row r="808">
      <c r="B808" s="140"/>
    </row>
    <row r="809">
      <c r="B809" s="140"/>
    </row>
    <row r="810">
      <c r="B810" s="140"/>
    </row>
    <row r="811">
      <c r="B811" s="140"/>
    </row>
    <row r="812">
      <c r="B812" s="140"/>
    </row>
    <row r="813">
      <c r="B813" s="140"/>
    </row>
    <row r="814">
      <c r="B814" s="140"/>
    </row>
    <row r="815">
      <c r="B815" s="140"/>
    </row>
    <row r="816">
      <c r="B816" s="140"/>
    </row>
    <row r="817">
      <c r="B817" s="140"/>
    </row>
    <row r="818">
      <c r="B818" s="140"/>
    </row>
    <row r="819">
      <c r="B819" s="140"/>
    </row>
    <row r="820">
      <c r="B820" s="140"/>
    </row>
    <row r="821">
      <c r="B821" s="140"/>
    </row>
    <row r="822">
      <c r="B822" s="140"/>
    </row>
    <row r="823">
      <c r="B823" s="140"/>
    </row>
    <row r="824">
      <c r="B824" s="140"/>
    </row>
    <row r="825">
      <c r="B825" s="140"/>
    </row>
    <row r="826">
      <c r="B826" s="140"/>
    </row>
    <row r="827">
      <c r="B827" s="140"/>
    </row>
    <row r="828">
      <c r="B828" s="140"/>
    </row>
    <row r="829">
      <c r="B829" s="140"/>
    </row>
    <row r="830">
      <c r="B830" s="140"/>
    </row>
    <row r="831">
      <c r="B831" s="140"/>
    </row>
    <row r="832">
      <c r="B832" s="140"/>
    </row>
    <row r="833">
      <c r="B833" s="140"/>
    </row>
    <row r="834">
      <c r="B834" s="140"/>
    </row>
    <row r="835">
      <c r="B835" s="140"/>
    </row>
    <row r="836">
      <c r="B836" s="140"/>
    </row>
    <row r="837">
      <c r="B837" s="140"/>
    </row>
    <row r="838">
      <c r="B838" s="140"/>
    </row>
    <row r="839">
      <c r="B839" s="140"/>
    </row>
    <row r="840">
      <c r="B840" s="140"/>
    </row>
    <row r="841">
      <c r="B841" s="140"/>
    </row>
    <row r="842">
      <c r="B842" s="140"/>
    </row>
    <row r="843">
      <c r="B843" s="140"/>
    </row>
    <row r="844">
      <c r="B844" s="140"/>
    </row>
    <row r="845">
      <c r="B845" s="140"/>
    </row>
    <row r="846">
      <c r="B846" s="140"/>
    </row>
    <row r="847">
      <c r="B847" s="140"/>
    </row>
    <row r="848">
      <c r="B848" s="140"/>
    </row>
    <row r="849">
      <c r="B849" s="140"/>
    </row>
    <row r="850">
      <c r="B850" s="140"/>
    </row>
    <row r="851">
      <c r="B851" s="140"/>
    </row>
    <row r="852">
      <c r="B852" s="140"/>
    </row>
    <row r="853">
      <c r="B853" s="140"/>
    </row>
    <row r="854">
      <c r="B854" s="140"/>
    </row>
    <row r="855">
      <c r="B855" s="140"/>
    </row>
    <row r="856">
      <c r="B856" s="140"/>
    </row>
    <row r="857">
      <c r="B857" s="140"/>
    </row>
    <row r="858">
      <c r="B858" s="140"/>
    </row>
    <row r="859">
      <c r="B859" s="140"/>
    </row>
    <row r="860">
      <c r="B860" s="140"/>
    </row>
    <row r="861">
      <c r="B861" s="140"/>
    </row>
    <row r="862">
      <c r="B862" s="140"/>
    </row>
    <row r="863">
      <c r="B863" s="140"/>
    </row>
    <row r="864">
      <c r="B864" s="140"/>
    </row>
    <row r="865">
      <c r="B865" s="140"/>
    </row>
    <row r="866">
      <c r="B866" s="140"/>
    </row>
    <row r="867">
      <c r="B867" s="140"/>
    </row>
    <row r="868">
      <c r="B868" s="140"/>
    </row>
    <row r="869">
      <c r="B869" s="140"/>
    </row>
    <row r="870">
      <c r="B870" s="140"/>
    </row>
    <row r="871">
      <c r="B871" s="140"/>
    </row>
    <row r="872">
      <c r="B872" s="140"/>
    </row>
    <row r="873">
      <c r="B873" s="140"/>
    </row>
    <row r="874">
      <c r="B874" s="140"/>
    </row>
    <row r="875">
      <c r="B875" s="140"/>
    </row>
    <row r="876">
      <c r="B876" s="140"/>
    </row>
    <row r="877">
      <c r="B877" s="140"/>
    </row>
    <row r="878">
      <c r="B878" s="140"/>
    </row>
    <row r="879">
      <c r="B879" s="140"/>
    </row>
    <row r="880">
      <c r="B880" s="140"/>
    </row>
    <row r="881">
      <c r="B881" s="140"/>
    </row>
    <row r="882">
      <c r="B882" s="140"/>
    </row>
    <row r="883">
      <c r="B883" s="140"/>
    </row>
    <row r="884">
      <c r="B884" s="140"/>
    </row>
    <row r="885">
      <c r="B885" s="140"/>
    </row>
    <row r="886">
      <c r="B886" s="140"/>
    </row>
    <row r="887">
      <c r="B887" s="140"/>
    </row>
    <row r="888">
      <c r="B888" s="140"/>
    </row>
    <row r="889">
      <c r="B889" s="140"/>
    </row>
    <row r="890">
      <c r="B890" s="140"/>
    </row>
    <row r="891">
      <c r="B891" s="140"/>
    </row>
    <row r="892">
      <c r="B892" s="140"/>
    </row>
    <row r="893">
      <c r="B893" s="140"/>
    </row>
    <row r="894">
      <c r="B894" s="140"/>
    </row>
    <row r="895">
      <c r="B895" s="140"/>
    </row>
    <row r="896">
      <c r="B896" s="140"/>
    </row>
    <row r="897">
      <c r="B897" s="140"/>
    </row>
    <row r="898">
      <c r="B898" s="140"/>
    </row>
    <row r="899">
      <c r="B899" s="140"/>
    </row>
    <row r="900">
      <c r="B900" s="140"/>
    </row>
    <row r="901">
      <c r="B901" s="140"/>
    </row>
    <row r="902">
      <c r="B902" s="140"/>
    </row>
    <row r="903">
      <c r="B903" s="140"/>
    </row>
    <row r="904">
      <c r="B904" s="140"/>
    </row>
    <row r="905">
      <c r="B905" s="140"/>
    </row>
    <row r="906">
      <c r="B906" s="140"/>
    </row>
    <row r="907">
      <c r="B907" s="140"/>
    </row>
    <row r="908">
      <c r="B908" s="140"/>
    </row>
    <row r="909">
      <c r="B909" s="140"/>
    </row>
    <row r="910">
      <c r="B910" s="140"/>
    </row>
    <row r="911">
      <c r="B911" s="140"/>
    </row>
    <row r="912">
      <c r="B912" s="140"/>
    </row>
    <row r="913">
      <c r="B913" s="140"/>
    </row>
    <row r="914">
      <c r="B914" s="140"/>
    </row>
    <row r="915">
      <c r="B915" s="140"/>
    </row>
    <row r="916">
      <c r="B916" s="140"/>
    </row>
    <row r="917">
      <c r="B917" s="140"/>
    </row>
    <row r="918">
      <c r="B918" s="140"/>
    </row>
    <row r="919">
      <c r="B919" s="140"/>
    </row>
    <row r="920">
      <c r="B920" s="140"/>
    </row>
    <row r="921">
      <c r="B921" s="140"/>
    </row>
    <row r="922">
      <c r="B922" s="140"/>
    </row>
    <row r="923">
      <c r="B923" s="140"/>
    </row>
    <row r="924">
      <c r="B924" s="140"/>
    </row>
    <row r="925">
      <c r="B925" s="140"/>
    </row>
    <row r="926">
      <c r="B926" s="140"/>
    </row>
    <row r="927">
      <c r="B927" s="140"/>
    </row>
    <row r="928">
      <c r="B928" s="140"/>
    </row>
    <row r="929">
      <c r="B929" s="140"/>
    </row>
    <row r="930">
      <c r="B930" s="140"/>
    </row>
    <row r="931">
      <c r="B931" s="140"/>
    </row>
    <row r="932">
      <c r="B932" s="140"/>
    </row>
    <row r="933">
      <c r="B933" s="140"/>
    </row>
    <row r="934">
      <c r="B934" s="140"/>
    </row>
    <row r="935">
      <c r="B935" s="140"/>
    </row>
    <row r="936">
      <c r="B936" s="140"/>
    </row>
    <row r="937">
      <c r="B937" s="140"/>
    </row>
    <row r="938">
      <c r="B938" s="140"/>
    </row>
    <row r="939">
      <c r="B939" s="140"/>
    </row>
    <row r="940">
      <c r="B940" s="140"/>
    </row>
    <row r="941">
      <c r="B941" s="140"/>
    </row>
    <row r="942">
      <c r="B942" s="140"/>
    </row>
    <row r="943">
      <c r="B943" s="140"/>
    </row>
    <row r="944">
      <c r="B944" s="140"/>
    </row>
    <row r="945">
      <c r="B945" s="140"/>
    </row>
    <row r="946">
      <c r="B946" s="140"/>
    </row>
    <row r="947">
      <c r="B947" s="140"/>
    </row>
    <row r="948">
      <c r="B948" s="140"/>
    </row>
    <row r="949">
      <c r="B949" s="140"/>
    </row>
    <row r="950">
      <c r="B950" s="140"/>
    </row>
    <row r="951">
      <c r="B951" s="140"/>
    </row>
    <row r="952">
      <c r="B952" s="140"/>
    </row>
    <row r="953">
      <c r="B953" s="140"/>
    </row>
    <row r="954">
      <c r="B954" s="140"/>
    </row>
    <row r="955">
      <c r="B955" s="140"/>
    </row>
    <row r="956">
      <c r="B956" s="140"/>
    </row>
    <row r="957">
      <c r="B957" s="140"/>
    </row>
    <row r="958">
      <c r="B958" s="140"/>
    </row>
    <row r="959">
      <c r="B959" s="140"/>
    </row>
    <row r="960">
      <c r="B960" s="140"/>
    </row>
    <row r="961">
      <c r="B961" s="140"/>
    </row>
    <row r="962">
      <c r="B962" s="140"/>
    </row>
    <row r="963">
      <c r="B963" s="140"/>
    </row>
    <row r="964">
      <c r="B964" s="140"/>
    </row>
    <row r="965">
      <c r="B965" s="140"/>
    </row>
    <row r="966">
      <c r="B966" s="140"/>
    </row>
    <row r="967">
      <c r="B967" s="140"/>
    </row>
    <row r="968">
      <c r="B968" s="140"/>
    </row>
    <row r="969">
      <c r="B969" s="140"/>
    </row>
    <row r="970">
      <c r="B970" s="140"/>
    </row>
    <row r="971">
      <c r="B971" s="140"/>
    </row>
    <row r="972">
      <c r="B972" s="140"/>
    </row>
    <row r="973">
      <c r="B973" s="140"/>
    </row>
    <row r="974">
      <c r="B974" s="140"/>
    </row>
    <row r="975">
      <c r="B975" s="140"/>
    </row>
    <row r="976">
      <c r="B976" s="140"/>
    </row>
    <row r="977">
      <c r="B977" s="140"/>
    </row>
    <row r="978">
      <c r="B978" s="140"/>
    </row>
    <row r="979">
      <c r="B979" s="140"/>
    </row>
    <row r="980">
      <c r="B980" s="140"/>
    </row>
    <row r="981">
      <c r="B981" s="140"/>
    </row>
    <row r="982">
      <c r="B982" s="140"/>
    </row>
    <row r="983">
      <c r="B983" s="140"/>
    </row>
    <row r="984">
      <c r="B984" s="140"/>
    </row>
    <row r="985">
      <c r="B985" s="140"/>
    </row>
    <row r="986">
      <c r="B986" s="140"/>
    </row>
    <row r="987">
      <c r="B987" s="140"/>
    </row>
    <row r="988">
      <c r="B988" s="140"/>
    </row>
    <row r="989">
      <c r="B989" s="140"/>
    </row>
    <row r="990">
      <c r="B990" s="140"/>
    </row>
    <row r="991">
      <c r="B991" s="140"/>
    </row>
    <row r="992">
      <c r="B992" s="140"/>
    </row>
    <row r="993">
      <c r="B993" s="140"/>
    </row>
    <row r="994">
      <c r="B994" s="140"/>
    </row>
    <row r="995">
      <c r="B995" s="140"/>
    </row>
    <row r="996">
      <c r="B996" s="140"/>
    </row>
    <row r="997">
      <c r="B997" s="140"/>
    </row>
    <row r="998">
      <c r="B998" s="140"/>
    </row>
    <row r="999">
      <c r="B999" s="140"/>
    </row>
    <row r="1000">
      <c r="B1000" s="14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29"/>
    <col customWidth="1" min="2" max="2" width="19.29"/>
    <col customWidth="1" min="3" max="3" width="15.71"/>
    <col customWidth="1" min="4" max="4" width="19.43"/>
    <col customWidth="1" min="6" max="6" width="51.71"/>
    <col customWidth="1" min="7" max="7" width="12.0"/>
    <col customWidth="1" min="8" max="8" width="31.29"/>
  </cols>
  <sheetData>
    <row r="1">
      <c r="A1" s="209" t="s">
        <v>2398</v>
      </c>
      <c r="B1" s="210"/>
      <c r="C1" s="211"/>
      <c r="D1" s="212"/>
      <c r="E1" s="212"/>
      <c r="F1" s="212"/>
      <c r="G1" s="212"/>
      <c r="H1" s="212"/>
    </row>
    <row r="2">
      <c r="A2" s="212"/>
      <c r="B2" s="210"/>
      <c r="C2" s="211"/>
      <c r="D2" s="212"/>
      <c r="E2" s="212"/>
      <c r="F2" s="212"/>
      <c r="G2" s="212"/>
      <c r="H2" s="212"/>
    </row>
    <row r="3">
      <c r="A3" s="213" t="s">
        <v>2</v>
      </c>
      <c r="B3" s="214" t="s">
        <v>2399</v>
      </c>
      <c r="C3" s="214" t="s">
        <v>2400</v>
      </c>
      <c r="D3" s="214" t="s">
        <v>2401</v>
      </c>
      <c r="E3" s="212"/>
      <c r="F3" s="215" t="s">
        <v>2402</v>
      </c>
      <c r="G3" s="212"/>
      <c r="H3" s="212"/>
    </row>
    <row r="4">
      <c r="A4" s="216" t="s">
        <v>2403</v>
      </c>
      <c r="B4" s="217">
        <v>280.0</v>
      </c>
      <c r="C4" s="218" t="s">
        <v>1004</v>
      </c>
      <c r="D4" s="182" t="s">
        <v>25</v>
      </c>
      <c r="E4" s="212"/>
      <c r="F4" s="219" t="s">
        <v>2404</v>
      </c>
      <c r="G4" s="212"/>
      <c r="H4" s="212"/>
    </row>
    <row r="5">
      <c r="A5" s="216" t="s">
        <v>2405</v>
      </c>
      <c r="B5" s="217">
        <v>160.0</v>
      </c>
      <c r="C5" s="218" t="s">
        <v>1004</v>
      </c>
      <c r="D5" s="182" t="s">
        <v>25</v>
      </c>
      <c r="E5" s="212"/>
    </row>
    <row r="6">
      <c r="A6" s="216" t="s">
        <v>2406</v>
      </c>
      <c r="B6" s="217">
        <v>80.0</v>
      </c>
      <c r="C6" s="218" t="s">
        <v>1004</v>
      </c>
      <c r="D6" s="182" t="s">
        <v>25</v>
      </c>
      <c r="E6" s="212"/>
      <c r="F6" s="220" t="s">
        <v>2407</v>
      </c>
      <c r="G6" s="147"/>
      <c r="H6" s="148"/>
    </row>
    <row r="7">
      <c r="A7" s="216" t="s">
        <v>22</v>
      </c>
      <c r="B7" s="217">
        <v>160.0</v>
      </c>
      <c r="C7" s="218" t="s">
        <v>1004</v>
      </c>
      <c r="D7" s="182" t="s">
        <v>25</v>
      </c>
      <c r="E7" s="212"/>
      <c r="F7" s="219" t="s">
        <v>2</v>
      </c>
      <c r="G7" s="221" t="s">
        <v>2408</v>
      </c>
      <c r="H7" s="221" t="s">
        <v>19</v>
      </c>
    </row>
    <row r="8">
      <c r="A8" s="216" t="s">
        <v>28</v>
      </c>
      <c r="B8" s="217">
        <v>40.0</v>
      </c>
      <c r="C8" s="218" t="s">
        <v>2409</v>
      </c>
      <c r="D8" s="182" t="s">
        <v>25</v>
      </c>
      <c r="E8" s="212"/>
      <c r="F8" s="222" t="s">
        <v>2410</v>
      </c>
      <c r="G8" s="223">
        <v>2000.0</v>
      </c>
      <c r="H8" s="224" t="s">
        <v>2411</v>
      </c>
    </row>
    <row r="9">
      <c r="A9" s="216" t="s">
        <v>40</v>
      </c>
      <c r="B9" s="217">
        <v>40.0</v>
      </c>
      <c r="C9" s="218" t="s">
        <v>867</v>
      </c>
      <c r="D9" s="182" t="s">
        <v>25</v>
      </c>
      <c r="E9" s="212"/>
      <c r="F9" s="225"/>
      <c r="G9" s="226"/>
      <c r="H9" s="226"/>
    </row>
    <row r="10">
      <c r="A10" s="216" t="s">
        <v>32</v>
      </c>
      <c r="B10" s="217">
        <v>40.0</v>
      </c>
      <c r="C10" s="218" t="s">
        <v>1004</v>
      </c>
      <c r="D10" s="182" t="s">
        <v>25</v>
      </c>
      <c r="E10" s="212"/>
      <c r="F10" s="227"/>
      <c r="G10" s="228"/>
      <c r="H10" s="227"/>
    </row>
    <row r="11">
      <c r="A11" s="216" t="s">
        <v>35</v>
      </c>
      <c r="B11" s="217">
        <v>40.0</v>
      </c>
      <c r="C11" s="218" t="s">
        <v>1004</v>
      </c>
      <c r="D11" s="182" t="s">
        <v>25</v>
      </c>
      <c r="E11" s="212"/>
      <c r="F11" s="227"/>
      <c r="G11" s="229"/>
      <c r="H11" s="230"/>
    </row>
    <row r="12">
      <c r="A12" s="216" t="s">
        <v>2412</v>
      </c>
      <c r="B12" s="217" t="s">
        <v>472</v>
      </c>
      <c r="C12" s="218" t="s">
        <v>472</v>
      </c>
      <c r="D12" s="182" t="s">
        <v>25</v>
      </c>
      <c r="E12" s="212"/>
      <c r="F12" s="227"/>
      <c r="G12" s="228"/>
      <c r="H12" s="227"/>
    </row>
    <row r="13">
      <c r="A13" s="216" t="s">
        <v>2413</v>
      </c>
      <c r="B13" s="217">
        <v>120.0</v>
      </c>
      <c r="C13" s="218" t="s">
        <v>1004</v>
      </c>
      <c r="D13" s="182" t="s">
        <v>25</v>
      </c>
      <c r="E13" s="212"/>
      <c r="F13" s="212"/>
      <c r="G13" s="212"/>
      <c r="H13" s="212"/>
    </row>
    <row r="14">
      <c r="A14" s="216" t="s">
        <v>2414</v>
      </c>
      <c r="B14" s="217">
        <v>525.0</v>
      </c>
      <c r="C14" s="218" t="s">
        <v>1004</v>
      </c>
      <c r="D14" s="182" t="s">
        <v>25</v>
      </c>
      <c r="E14" s="212"/>
      <c r="F14" s="220" t="s">
        <v>2415</v>
      </c>
      <c r="G14" s="147"/>
      <c r="H14" s="148"/>
    </row>
    <row r="15">
      <c r="A15" s="216" t="s">
        <v>44</v>
      </c>
      <c r="B15" s="217">
        <v>225.0</v>
      </c>
      <c r="C15" s="218" t="s">
        <v>1004</v>
      </c>
      <c r="D15" s="182" t="s">
        <v>25</v>
      </c>
      <c r="E15" s="212"/>
      <c r="F15" s="219" t="s">
        <v>2</v>
      </c>
      <c r="G15" s="221" t="s">
        <v>2408</v>
      </c>
      <c r="H15" s="221" t="s">
        <v>19</v>
      </c>
    </row>
    <row r="16">
      <c r="A16" s="216" t="s">
        <v>47</v>
      </c>
      <c r="B16" s="217">
        <v>225.0</v>
      </c>
      <c r="C16" s="218" t="s">
        <v>1004</v>
      </c>
      <c r="D16" s="182" t="s">
        <v>25</v>
      </c>
      <c r="E16" s="212"/>
      <c r="F16" s="231" t="s">
        <v>2416</v>
      </c>
      <c r="G16" s="223" t="s">
        <v>2417</v>
      </c>
      <c r="H16" s="218"/>
    </row>
    <row r="17">
      <c r="A17" s="216" t="s">
        <v>56</v>
      </c>
      <c r="B17" s="217">
        <v>13.0</v>
      </c>
      <c r="C17" s="218" t="s">
        <v>1004</v>
      </c>
      <c r="D17" s="182" t="s">
        <v>25</v>
      </c>
      <c r="E17" s="212"/>
      <c r="F17" s="232" t="s">
        <v>2418</v>
      </c>
      <c r="G17" s="233">
        <v>22.17</v>
      </c>
      <c r="H17" s="234" t="s">
        <v>2419</v>
      </c>
    </row>
    <row r="18">
      <c r="A18" s="216" t="s">
        <v>2420</v>
      </c>
      <c r="B18" s="217">
        <v>80.0</v>
      </c>
      <c r="C18" s="218" t="s">
        <v>1004</v>
      </c>
      <c r="D18" s="182" t="s">
        <v>25</v>
      </c>
      <c r="E18" s="212"/>
      <c r="F18" s="235" t="s">
        <v>2421</v>
      </c>
      <c r="G18" s="236">
        <v>67.0</v>
      </c>
      <c r="H18" s="234" t="s">
        <v>2422</v>
      </c>
    </row>
    <row r="19">
      <c r="A19" s="216" t="s">
        <v>2423</v>
      </c>
      <c r="B19" s="217">
        <v>180.0</v>
      </c>
      <c r="C19" s="218" t="s">
        <v>1004</v>
      </c>
      <c r="D19" s="182" t="s">
        <v>25</v>
      </c>
      <c r="E19" s="212"/>
      <c r="F19" s="235" t="s">
        <v>2421</v>
      </c>
      <c r="G19" s="236">
        <v>138.0</v>
      </c>
      <c r="H19" s="234" t="s">
        <v>2424</v>
      </c>
    </row>
    <row r="20">
      <c r="A20" s="216" t="s">
        <v>2425</v>
      </c>
      <c r="B20" s="217">
        <v>480.0</v>
      </c>
      <c r="C20" s="218" t="s">
        <v>1004</v>
      </c>
      <c r="D20" s="182" t="s">
        <v>25</v>
      </c>
      <c r="E20" s="212"/>
      <c r="F20" s="235" t="s">
        <v>2426</v>
      </c>
      <c r="G20" s="237">
        <v>25.0</v>
      </c>
      <c r="H20" s="238" t="s">
        <v>2427</v>
      </c>
    </row>
    <row r="21">
      <c r="A21" s="216" t="s">
        <v>2428</v>
      </c>
      <c r="B21" s="217">
        <v>40.0</v>
      </c>
      <c r="C21" s="218" t="s">
        <v>1004</v>
      </c>
      <c r="D21" s="182" t="s">
        <v>25</v>
      </c>
      <c r="E21" s="212"/>
      <c r="F21" s="232" t="s">
        <v>2418</v>
      </c>
      <c r="G21" s="233">
        <v>22.17</v>
      </c>
      <c r="H21" s="234" t="s">
        <v>2429</v>
      </c>
    </row>
    <row r="22">
      <c r="A22" s="216" t="s">
        <v>2430</v>
      </c>
      <c r="B22" s="217">
        <v>745.0</v>
      </c>
      <c r="C22" s="218" t="s">
        <v>1004</v>
      </c>
      <c r="D22" s="182" t="s">
        <v>25</v>
      </c>
      <c r="E22" s="212"/>
      <c r="F22" s="232" t="s">
        <v>2431</v>
      </c>
      <c r="G22" s="239">
        <v>358.04</v>
      </c>
      <c r="H22" s="234" t="s">
        <v>2432</v>
      </c>
    </row>
    <row r="23">
      <c r="A23" s="216" t="s">
        <v>2433</v>
      </c>
      <c r="B23" s="217">
        <v>13.0</v>
      </c>
      <c r="C23" s="218" t="s">
        <v>1004</v>
      </c>
      <c r="D23" s="182" t="s">
        <v>25</v>
      </c>
      <c r="E23" s="212"/>
      <c r="F23" s="240" t="s">
        <v>2434</v>
      </c>
      <c r="G23" s="241">
        <v>10.0</v>
      </c>
      <c r="H23" s="234" t="s">
        <v>2432</v>
      </c>
    </row>
    <row r="24">
      <c r="A24" s="216" t="s">
        <v>2435</v>
      </c>
      <c r="B24" s="217">
        <v>2200.0</v>
      </c>
      <c r="C24" s="218" t="s">
        <v>1004</v>
      </c>
      <c r="D24" s="182" t="s">
        <v>25</v>
      </c>
      <c r="E24" s="212"/>
      <c r="F24" s="240" t="s">
        <v>2436</v>
      </c>
      <c r="G24" s="241">
        <v>51.73</v>
      </c>
      <c r="H24" s="234" t="s">
        <v>2432</v>
      </c>
    </row>
    <row r="25">
      <c r="A25" s="216" t="s">
        <v>2437</v>
      </c>
      <c r="B25" s="217">
        <v>13.0</v>
      </c>
      <c r="C25" s="218" t="s">
        <v>1004</v>
      </c>
      <c r="D25" s="182" t="s">
        <v>25</v>
      </c>
      <c r="E25" s="212"/>
      <c r="F25" s="242"/>
      <c r="G25" s="243"/>
      <c r="H25" s="244"/>
    </row>
    <row r="26">
      <c r="A26" s="216" t="s">
        <v>2438</v>
      </c>
      <c r="B26" s="217">
        <v>100.0</v>
      </c>
      <c r="C26" s="218" t="s">
        <v>1004</v>
      </c>
      <c r="D26" s="182" t="s">
        <v>25</v>
      </c>
      <c r="E26" s="212"/>
      <c r="F26" s="242"/>
      <c r="G26" s="243"/>
      <c r="H26" s="244"/>
    </row>
    <row r="27">
      <c r="A27" s="216" t="s">
        <v>2439</v>
      </c>
      <c r="B27" s="217">
        <v>100.0</v>
      </c>
      <c r="C27" s="218" t="s">
        <v>1004</v>
      </c>
      <c r="D27" s="182" t="s">
        <v>25</v>
      </c>
      <c r="E27" s="212"/>
      <c r="F27" s="242"/>
      <c r="G27" s="243"/>
      <c r="H27" s="244"/>
    </row>
    <row r="28">
      <c r="A28" s="216" t="s">
        <v>2440</v>
      </c>
      <c r="B28" s="217">
        <v>30.0</v>
      </c>
      <c r="C28" s="218" t="s">
        <v>1004</v>
      </c>
      <c r="D28" s="182" t="s">
        <v>25</v>
      </c>
      <c r="E28" s="212"/>
      <c r="F28" s="242"/>
      <c r="G28" s="243"/>
      <c r="H28" s="244"/>
    </row>
    <row r="29">
      <c r="A29" s="216" t="s">
        <v>2441</v>
      </c>
      <c r="B29" s="217">
        <v>10.0</v>
      </c>
      <c r="C29" s="218" t="s">
        <v>1004</v>
      </c>
      <c r="D29" s="182" t="s">
        <v>25</v>
      </c>
      <c r="E29" s="212"/>
      <c r="F29" s="242"/>
      <c r="G29" s="243"/>
      <c r="H29" s="244"/>
    </row>
    <row r="30">
      <c r="A30" s="216" t="s">
        <v>2442</v>
      </c>
      <c r="B30" s="217">
        <v>20.0</v>
      </c>
      <c r="C30" s="218" t="s">
        <v>1004</v>
      </c>
      <c r="D30" s="182" t="s">
        <v>25</v>
      </c>
      <c r="E30" s="212"/>
      <c r="F30" s="212"/>
      <c r="G30" s="212"/>
      <c r="H30" s="212"/>
    </row>
    <row r="31">
      <c r="A31" s="216" t="s">
        <v>2443</v>
      </c>
      <c r="B31" s="217">
        <v>80.0</v>
      </c>
      <c r="C31" s="218" t="s">
        <v>1004</v>
      </c>
      <c r="D31" s="182" t="s">
        <v>25</v>
      </c>
      <c r="E31" s="212"/>
      <c r="F31" s="212"/>
      <c r="G31" s="212"/>
      <c r="H31" s="212"/>
    </row>
    <row r="32">
      <c r="A32" s="216" t="s">
        <v>2444</v>
      </c>
      <c r="B32" s="217">
        <v>40.0</v>
      </c>
      <c r="C32" s="218" t="s">
        <v>1004</v>
      </c>
      <c r="D32" s="182" t="s">
        <v>25</v>
      </c>
      <c r="E32" s="212"/>
      <c r="F32" s="212"/>
      <c r="G32" s="212"/>
      <c r="H32" s="212"/>
    </row>
    <row r="33">
      <c r="A33" s="216" t="s">
        <v>2445</v>
      </c>
      <c r="B33" s="217">
        <v>40.0</v>
      </c>
      <c r="C33" s="218" t="s">
        <v>867</v>
      </c>
      <c r="D33" s="182" t="s">
        <v>25</v>
      </c>
      <c r="E33" s="212"/>
      <c r="F33" s="212"/>
      <c r="G33" s="212"/>
      <c r="H33" s="212"/>
    </row>
    <row r="34">
      <c r="A34" s="216" t="s">
        <v>2446</v>
      </c>
      <c r="B34" s="217">
        <v>120.0</v>
      </c>
      <c r="C34" s="218" t="s">
        <v>867</v>
      </c>
      <c r="D34" s="182" t="s">
        <v>25</v>
      </c>
      <c r="E34" s="212"/>
      <c r="F34" s="212"/>
      <c r="G34" s="212"/>
      <c r="H34" s="212"/>
    </row>
    <row r="35">
      <c r="A35" s="216" t="s">
        <v>2447</v>
      </c>
      <c r="B35" s="217">
        <v>2815.0</v>
      </c>
      <c r="C35" s="218" t="s">
        <v>867</v>
      </c>
      <c r="D35" s="182" t="s">
        <v>25</v>
      </c>
      <c r="E35" s="212"/>
      <c r="F35" s="212"/>
      <c r="G35" s="212"/>
      <c r="H35" s="212"/>
    </row>
    <row r="36">
      <c r="A36" s="216" t="s">
        <v>2448</v>
      </c>
      <c r="B36" s="217" t="s">
        <v>472</v>
      </c>
      <c r="C36" s="218" t="s">
        <v>472</v>
      </c>
      <c r="D36" s="182" t="s">
        <v>25</v>
      </c>
      <c r="E36" s="212"/>
      <c r="F36" s="212"/>
      <c r="G36" s="212"/>
      <c r="H36" s="212"/>
    </row>
    <row r="37">
      <c r="A37" s="216" t="s">
        <v>2449</v>
      </c>
      <c r="B37" s="217" t="s">
        <v>472</v>
      </c>
      <c r="C37" s="218" t="s">
        <v>472</v>
      </c>
      <c r="D37" s="182" t="s">
        <v>25</v>
      </c>
      <c r="E37" s="212"/>
      <c r="F37" s="212"/>
      <c r="G37" s="212"/>
      <c r="H37" s="212"/>
    </row>
    <row r="38">
      <c r="A38" s="216" t="s">
        <v>2450</v>
      </c>
      <c r="B38" s="217">
        <v>495.0</v>
      </c>
      <c r="C38" s="218" t="s">
        <v>867</v>
      </c>
      <c r="D38" s="182" t="s">
        <v>25</v>
      </c>
      <c r="E38" s="212"/>
      <c r="F38" s="212"/>
      <c r="G38" s="212"/>
      <c r="H38" s="212"/>
    </row>
    <row r="39">
      <c r="A39" s="216" t="s">
        <v>2451</v>
      </c>
      <c r="B39" s="217">
        <v>155.0</v>
      </c>
      <c r="C39" s="218" t="s">
        <v>867</v>
      </c>
      <c r="D39" s="182" t="s">
        <v>25</v>
      </c>
      <c r="E39" s="212"/>
      <c r="F39" s="212"/>
      <c r="G39" s="212"/>
      <c r="H39" s="212"/>
    </row>
    <row r="40">
      <c r="A40" s="245" t="s">
        <v>2452</v>
      </c>
      <c r="B40" s="246">
        <v>225.0</v>
      </c>
      <c r="C40" s="247" t="s">
        <v>1004</v>
      </c>
      <c r="D40" s="182" t="s">
        <v>25</v>
      </c>
    </row>
    <row r="41">
      <c r="A41" s="245" t="s">
        <v>2453</v>
      </c>
      <c r="B41" s="248">
        <v>630.0</v>
      </c>
      <c r="C41" s="247" t="s">
        <v>1004</v>
      </c>
      <c r="D41" s="182" t="s">
        <v>25</v>
      </c>
    </row>
    <row r="42">
      <c r="A42" s="245" t="s">
        <v>2454</v>
      </c>
      <c r="B42" s="248">
        <v>90.0</v>
      </c>
      <c r="C42" s="247" t="s">
        <v>1004</v>
      </c>
      <c r="D42" s="182" t="s">
        <v>25</v>
      </c>
    </row>
    <row r="43">
      <c r="A43" s="245" t="s">
        <v>2455</v>
      </c>
      <c r="B43" s="248">
        <v>40.0</v>
      </c>
      <c r="C43" s="247" t="s">
        <v>1004</v>
      </c>
      <c r="D43" s="182" t="s">
        <v>25</v>
      </c>
    </row>
    <row r="44">
      <c r="A44" s="245" t="s">
        <v>2456</v>
      </c>
      <c r="B44" s="248" t="s">
        <v>472</v>
      </c>
      <c r="C44" s="247" t="s">
        <v>1004</v>
      </c>
      <c r="D44" s="182" t="s">
        <v>25</v>
      </c>
    </row>
    <row r="45">
      <c r="A45" s="245" t="s">
        <v>2457</v>
      </c>
      <c r="B45" s="248">
        <v>120.0</v>
      </c>
      <c r="C45" s="247" t="s">
        <v>867</v>
      </c>
      <c r="D45" s="182" t="s">
        <v>25</v>
      </c>
    </row>
    <row r="46">
      <c r="A46" s="245" t="s">
        <v>2458</v>
      </c>
      <c r="B46" s="248">
        <v>120.0</v>
      </c>
      <c r="C46" s="247" t="s">
        <v>867</v>
      </c>
      <c r="D46" s="182" t="s">
        <v>25</v>
      </c>
    </row>
    <row r="47">
      <c r="A47" s="245" t="s">
        <v>2459</v>
      </c>
      <c r="B47" s="248">
        <v>360.0</v>
      </c>
      <c r="C47" s="247" t="s">
        <v>867</v>
      </c>
      <c r="D47" s="182" t="s">
        <v>25</v>
      </c>
    </row>
    <row r="48">
      <c r="A48" s="245" t="s">
        <v>2460</v>
      </c>
      <c r="B48" s="248" t="s">
        <v>472</v>
      </c>
      <c r="C48" s="247" t="s">
        <v>1004</v>
      </c>
      <c r="D48" s="182" t="s">
        <v>25</v>
      </c>
    </row>
    <row r="49">
      <c r="A49" s="245" t="s">
        <v>2461</v>
      </c>
      <c r="B49" s="248">
        <v>90.0</v>
      </c>
      <c r="C49" s="247" t="s">
        <v>1004</v>
      </c>
      <c r="D49" s="182" t="s">
        <v>25</v>
      </c>
    </row>
    <row r="50">
      <c r="A50" s="245" t="s">
        <v>2462</v>
      </c>
      <c r="B50" s="248">
        <v>280.0</v>
      </c>
      <c r="C50" s="247" t="s">
        <v>1004</v>
      </c>
      <c r="D50" s="182" t="s">
        <v>25</v>
      </c>
    </row>
    <row r="51">
      <c r="A51" s="245" t="s">
        <v>2463</v>
      </c>
      <c r="B51" s="248">
        <v>270.0</v>
      </c>
      <c r="C51" s="247" t="s">
        <v>1004</v>
      </c>
      <c r="D51" s="182" t="s">
        <v>25</v>
      </c>
    </row>
    <row r="52">
      <c r="A52" s="245" t="s">
        <v>2464</v>
      </c>
      <c r="B52" s="248">
        <v>40.0</v>
      </c>
      <c r="C52" s="247" t="s">
        <v>1004</v>
      </c>
      <c r="D52" s="182" t="s">
        <v>25</v>
      </c>
    </row>
    <row r="53">
      <c r="A53" s="245" t="s">
        <v>2465</v>
      </c>
      <c r="B53" s="248">
        <v>80.0</v>
      </c>
      <c r="C53" s="247" t="s">
        <v>1004</v>
      </c>
      <c r="D53" s="182" t="s">
        <v>25</v>
      </c>
    </row>
    <row r="54">
      <c r="A54" s="245" t="s">
        <v>2466</v>
      </c>
      <c r="B54" s="248">
        <v>80.0</v>
      </c>
      <c r="C54" s="247" t="s">
        <v>1004</v>
      </c>
      <c r="D54" s="182" t="s">
        <v>25</v>
      </c>
    </row>
    <row r="55">
      <c r="A55" s="245" t="s">
        <v>2467</v>
      </c>
      <c r="B55" s="248">
        <v>5.0</v>
      </c>
      <c r="C55" s="247" t="s">
        <v>1004</v>
      </c>
      <c r="D55" s="182" t="s">
        <v>25</v>
      </c>
    </row>
    <row r="56">
      <c r="A56" s="245" t="s">
        <v>2468</v>
      </c>
      <c r="B56" s="248">
        <v>5.0</v>
      </c>
      <c r="C56" s="247" t="s">
        <v>1004</v>
      </c>
      <c r="D56" s="182" t="s">
        <v>25</v>
      </c>
    </row>
    <row r="57">
      <c r="A57" s="245" t="s">
        <v>2469</v>
      </c>
      <c r="B57" s="248">
        <v>80.0</v>
      </c>
      <c r="C57" s="247" t="s">
        <v>1004</v>
      </c>
      <c r="D57" s="182" t="s">
        <v>25</v>
      </c>
    </row>
    <row r="58">
      <c r="A58" s="245" t="s">
        <v>2470</v>
      </c>
      <c r="B58" s="248">
        <v>160.0</v>
      </c>
      <c r="C58" s="247" t="s">
        <v>1004</v>
      </c>
      <c r="D58" s="182" t="s">
        <v>25</v>
      </c>
    </row>
    <row r="59">
      <c r="A59" s="245" t="s">
        <v>2471</v>
      </c>
      <c r="B59" s="248">
        <v>100.0</v>
      </c>
      <c r="C59" s="247" t="s">
        <v>1004</v>
      </c>
      <c r="D59" s="182" t="s">
        <v>25</v>
      </c>
    </row>
    <row r="60">
      <c r="A60" s="245" t="s">
        <v>2472</v>
      </c>
      <c r="B60" s="248">
        <v>180.0</v>
      </c>
      <c r="C60" s="247" t="s">
        <v>1004</v>
      </c>
      <c r="D60" s="182" t="s">
        <v>25</v>
      </c>
    </row>
    <row r="61">
      <c r="A61" s="245" t="s">
        <v>220</v>
      </c>
      <c r="B61" s="248">
        <v>160.0</v>
      </c>
      <c r="C61" s="247" t="s">
        <v>1004</v>
      </c>
      <c r="D61" s="182" t="s">
        <v>25</v>
      </c>
    </row>
    <row r="62">
      <c r="A62" s="245" t="s">
        <v>2473</v>
      </c>
      <c r="B62" s="248">
        <v>640.0</v>
      </c>
      <c r="C62" s="247" t="s">
        <v>1004</v>
      </c>
      <c r="D62" s="182" t="s">
        <v>25</v>
      </c>
    </row>
    <row r="63">
      <c r="A63" s="245" t="s">
        <v>2474</v>
      </c>
      <c r="B63" s="248">
        <v>13.0</v>
      </c>
      <c r="C63" s="247" t="s">
        <v>1004</v>
      </c>
      <c r="D63" s="182" t="s">
        <v>25</v>
      </c>
    </row>
    <row r="64">
      <c r="A64" s="245" t="s">
        <v>2475</v>
      </c>
      <c r="B64" s="248">
        <v>13.0</v>
      </c>
      <c r="C64" s="247" t="s">
        <v>1004</v>
      </c>
      <c r="D64" s="182" t="s">
        <v>25</v>
      </c>
    </row>
    <row r="65">
      <c r="A65" s="245" t="s">
        <v>2476</v>
      </c>
      <c r="B65" s="248">
        <v>13.0</v>
      </c>
      <c r="C65" s="247" t="s">
        <v>1004</v>
      </c>
      <c r="D65" s="182" t="s">
        <v>25</v>
      </c>
    </row>
    <row r="66">
      <c r="A66" s="245" t="s">
        <v>2477</v>
      </c>
      <c r="B66" s="248">
        <v>360.0</v>
      </c>
      <c r="C66" s="247" t="s">
        <v>1004</v>
      </c>
      <c r="D66" s="182" t="s">
        <v>25</v>
      </c>
    </row>
    <row r="67">
      <c r="A67" s="245" t="s">
        <v>2478</v>
      </c>
      <c r="B67" s="248">
        <v>1470.0</v>
      </c>
      <c r="C67" s="247" t="s">
        <v>1004</v>
      </c>
      <c r="D67" s="182" t="s">
        <v>25</v>
      </c>
    </row>
    <row r="68">
      <c r="A68" s="245" t="s">
        <v>2479</v>
      </c>
      <c r="B68" s="248">
        <v>40.0</v>
      </c>
      <c r="C68" s="247" t="s">
        <v>1004</v>
      </c>
      <c r="D68" s="182" t="s">
        <v>25</v>
      </c>
    </row>
    <row r="69">
      <c r="A69" s="245" t="s">
        <v>2480</v>
      </c>
      <c r="B69" s="248">
        <v>225.0</v>
      </c>
      <c r="C69" s="247" t="s">
        <v>1004</v>
      </c>
      <c r="D69" s="182" t="s">
        <v>25</v>
      </c>
    </row>
    <row r="70">
      <c r="A70" s="245" t="s">
        <v>2481</v>
      </c>
      <c r="B70" s="248">
        <v>1080.0</v>
      </c>
      <c r="C70" s="247" t="s">
        <v>1004</v>
      </c>
      <c r="D70" s="182" t="s">
        <v>25</v>
      </c>
    </row>
    <row r="71">
      <c r="A71" s="245" t="s">
        <v>2482</v>
      </c>
      <c r="B71" s="248">
        <v>80.0</v>
      </c>
      <c r="C71" s="247" t="s">
        <v>1004</v>
      </c>
      <c r="D71" s="182" t="s">
        <v>25</v>
      </c>
    </row>
    <row r="72">
      <c r="A72" s="245" t="s">
        <v>2483</v>
      </c>
      <c r="B72" s="248">
        <v>270.0</v>
      </c>
      <c r="C72" s="247" t="s">
        <v>1004</v>
      </c>
      <c r="D72" s="182" t="s">
        <v>25</v>
      </c>
    </row>
    <row r="73">
      <c r="A73" s="245" t="s">
        <v>2484</v>
      </c>
      <c r="B73" s="248">
        <v>10.0</v>
      </c>
      <c r="C73" s="247" t="s">
        <v>1004</v>
      </c>
      <c r="D73" s="182" t="s">
        <v>25</v>
      </c>
    </row>
    <row r="74">
      <c r="A74" s="249" t="s">
        <v>245</v>
      </c>
      <c r="B74" s="248">
        <v>45.0</v>
      </c>
      <c r="C74" s="247" t="s">
        <v>1004</v>
      </c>
      <c r="D74" s="182" t="s">
        <v>25</v>
      </c>
    </row>
    <row r="75">
      <c r="A75" s="249" t="s">
        <v>256</v>
      </c>
      <c r="B75" s="248">
        <v>10.0</v>
      </c>
      <c r="C75" s="247" t="s">
        <v>1004</v>
      </c>
      <c r="D75" s="182" t="s">
        <v>25</v>
      </c>
    </row>
    <row r="76">
      <c r="A76" s="249" t="s">
        <v>235</v>
      </c>
      <c r="B76" s="248">
        <v>135.0</v>
      </c>
      <c r="C76" s="247" t="s">
        <v>1004</v>
      </c>
      <c r="D76" s="182" t="s">
        <v>25</v>
      </c>
    </row>
    <row r="77">
      <c r="A77" s="245" t="s">
        <v>273</v>
      </c>
      <c r="B77" s="248">
        <v>90.0</v>
      </c>
      <c r="C77" s="247" t="s">
        <v>1004</v>
      </c>
      <c r="D77" s="182" t="s">
        <v>25</v>
      </c>
    </row>
    <row r="78">
      <c r="A78" s="245" t="s">
        <v>2485</v>
      </c>
      <c r="B78" s="248">
        <v>80.0</v>
      </c>
      <c r="C78" s="247" t="s">
        <v>1004</v>
      </c>
      <c r="D78" s="182" t="s">
        <v>25</v>
      </c>
    </row>
    <row r="79">
      <c r="A79" s="245" t="s">
        <v>2486</v>
      </c>
      <c r="B79" s="248">
        <v>180.0</v>
      </c>
      <c r="C79" s="247" t="s">
        <v>1004</v>
      </c>
      <c r="D79" s="182" t="s">
        <v>25</v>
      </c>
    </row>
    <row r="80">
      <c r="A80" s="245" t="s">
        <v>276</v>
      </c>
      <c r="B80" s="248">
        <v>20.0</v>
      </c>
      <c r="C80" s="247" t="s">
        <v>1004</v>
      </c>
      <c r="D80" s="182" t="s">
        <v>25</v>
      </c>
    </row>
    <row r="81">
      <c r="A81" s="245" t="s">
        <v>2487</v>
      </c>
      <c r="B81" s="248">
        <v>20.0</v>
      </c>
      <c r="C81" s="247" t="s">
        <v>1004</v>
      </c>
      <c r="D81" s="182" t="s">
        <v>25</v>
      </c>
    </row>
    <row r="82">
      <c r="A82" s="245" t="s">
        <v>2488</v>
      </c>
      <c r="B82" s="248">
        <v>160.0</v>
      </c>
      <c r="C82" s="247" t="s">
        <v>1004</v>
      </c>
      <c r="D82" s="182" t="s">
        <v>25</v>
      </c>
    </row>
    <row r="83">
      <c r="A83" s="245" t="s">
        <v>2489</v>
      </c>
      <c r="B83" s="248">
        <v>160.0</v>
      </c>
      <c r="C83" s="247" t="s">
        <v>1004</v>
      </c>
      <c r="D83" s="182" t="s">
        <v>25</v>
      </c>
    </row>
    <row r="84">
      <c r="A84" s="245" t="s">
        <v>2490</v>
      </c>
      <c r="B84" s="248">
        <v>120.0</v>
      </c>
      <c r="C84" s="247" t="s">
        <v>1004</v>
      </c>
      <c r="D84" s="182" t="s">
        <v>25</v>
      </c>
    </row>
    <row r="85">
      <c r="A85" s="245" t="s">
        <v>2491</v>
      </c>
      <c r="B85" s="248">
        <v>10.0</v>
      </c>
      <c r="C85" s="247" t="s">
        <v>1004</v>
      </c>
      <c r="D85" s="182" t="s">
        <v>25</v>
      </c>
    </row>
    <row r="86">
      <c r="A86" s="245" t="s">
        <v>2492</v>
      </c>
      <c r="B86" s="248">
        <v>10.0</v>
      </c>
      <c r="C86" s="247" t="s">
        <v>1004</v>
      </c>
      <c r="D86" s="182" t="s">
        <v>25</v>
      </c>
    </row>
    <row r="87">
      <c r="A87" s="245" t="s">
        <v>2493</v>
      </c>
      <c r="B87" s="248">
        <v>10.0</v>
      </c>
      <c r="C87" s="247" t="s">
        <v>1004</v>
      </c>
      <c r="D87" s="182" t="s">
        <v>25</v>
      </c>
    </row>
    <row r="88">
      <c r="A88" s="245" t="s">
        <v>2494</v>
      </c>
      <c r="B88" s="248">
        <v>10.0</v>
      </c>
      <c r="C88" s="247" t="s">
        <v>1004</v>
      </c>
      <c r="D88" s="182" t="s">
        <v>25</v>
      </c>
    </row>
    <row r="89">
      <c r="A89" s="245" t="s">
        <v>2495</v>
      </c>
      <c r="B89" s="248">
        <v>80.0</v>
      </c>
      <c r="C89" s="247" t="s">
        <v>1004</v>
      </c>
      <c r="D89" s="182" t="s">
        <v>25</v>
      </c>
    </row>
    <row r="90">
      <c r="A90" s="245" t="s">
        <v>2496</v>
      </c>
      <c r="B90" s="248">
        <v>120.0</v>
      </c>
      <c r="C90" s="247" t="s">
        <v>1004</v>
      </c>
      <c r="D90" s="182" t="s">
        <v>25</v>
      </c>
    </row>
    <row r="91">
      <c r="A91" s="245" t="s">
        <v>2497</v>
      </c>
      <c r="B91" s="248">
        <v>80.0</v>
      </c>
      <c r="C91" s="247" t="s">
        <v>1004</v>
      </c>
      <c r="D91" s="182" t="s">
        <v>25</v>
      </c>
    </row>
    <row r="92">
      <c r="A92" s="245" t="s">
        <v>2498</v>
      </c>
      <c r="B92" s="248">
        <v>135.0</v>
      </c>
      <c r="C92" s="247" t="s">
        <v>1004</v>
      </c>
      <c r="D92" s="182" t="s">
        <v>25</v>
      </c>
    </row>
    <row r="93">
      <c r="A93" s="245" t="s">
        <v>2499</v>
      </c>
      <c r="B93" s="248">
        <v>1385.0</v>
      </c>
      <c r="C93" s="247" t="s">
        <v>1004</v>
      </c>
      <c r="D93" s="182" t="s">
        <v>25</v>
      </c>
    </row>
    <row r="94">
      <c r="A94" s="245" t="s">
        <v>2500</v>
      </c>
      <c r="B94" s="248">
        <v>28.0</v>
      </c>
      <c r="C94" s="247" t="s">
        <v>1004</v>
      </c>
      <c r="D94" s="182" t="s">
        <v>25</v>
      </c>
    </row>
    <row r="95">
      <c r="A95" s="245" t="s">
        <v>2501</v>
      </c>
      <c r="B95" s="248">
        <v>26.0</v>
      </c>
      <c r="C95" s="247" t="s">
        <v>1004</v>
      </c>
      <c r="D95" s="182" t="s">
        <v>25</v>
      </c>
    </row>
    <row r="96">
      <c r="A96" s="245" t="s">
        <v>2502</v>
      </c>
      <c r="B96" s="248">
        <v>26.0</v>
      </c>
      <c r="C96" s="247" t="s">
        <v>1004</v>
      </c>
      <c r="D96" s="182" t="s">
        <v>25</v>
      </c>
    </row>
    <row r="97">
      <c r="A97" s="245" t="s">
        <v>2503</v>
      </c>
      <c r="B97" s="248">
        <v>225.0</v>
      </c>
      <c r="C97" s="247" t="s">
        <v>1004</v>
      </c>
      <c r="D97" s="182" t="s">
        <v>25</v>
      </c>
    </row>
    <row r="98">
      <c r="A98" s="245" t="s">
        <v>2504</v>
      </c>
      <c r="B98" s="248">
        <v>90.0</v>
      </c>
      <c r="C98" s="247" t="s">
        <v>1004</v>
      </c>
      <c r="D98" s="182" t="s">
        <v>25</v>
      </c>
    </row>
    <row r="99">
      <c r="A99" s="245" t="s">
        <v>2505</v>
      </c>
      <c r="B99" s="248">
        <v>80.0</v>
      </c>
      <c r="C99" s="247" t="s">
        <v>1004</v>
      </c>
      <c r="D99" s="182" t="s">
        <v>25</v>
      </c>
    </row>
    <row r="100">
      <c r="A100" s="245" t="s">
        <v>2503</v>
      </c>
      <c r="B100" s="248">
        <v>315.0</v>
      </c>
      <c r="C100" s="247" t="s">
        <v>1004</v>
      </c>
      <c r="D100" s="182" t="s">
        <v>25</v>
      </c>
    </row>
    <row r="101">
      <c r="A101" s="245" t="s">
        <v>2506</v>
      </c>
      <c r="B101" s="248">
        <v>80.0</v>
      </c>
      <c r="C101" s="247" t="s">
        <v>1004</v>
      </c>
      <c r="D101" s="182" t="s">
        <v>25</v>
      </c>
    </row>
    <row r="102">
      <c r="A102" s="245" t="s">
        <v>2507</v>
      </c>
      <c r="B102" s="248">
        <v>160.0</v>
      </c>
      <c r="C102" s="247" t="s">
        <v>1004</v>
      </c>
      <c r="D102" s="182" t="s">
        <v>25</v>
      </c>
    </row>
    <row r="103">
      <c r="A103" s="245" t="s">
        <v>2508</v>
      </c>
      <c r="B103" s="248">
        <v>80.0</v>
      </c>
      <c r="C103" s="247" t="s">
        <v>1004</v>
      </c>
      <c r="D103" s="182" t="s">
        <v>25</v>
      </c>
    </row>
    <row r="104">
      <c r="A104" s="245" t="s">
        <v>2509</v>
      </c>
      <c r="B104" s="248">
        <v>80.0</v>
      </c>
      <c r="C104" s="247" t="s">
        <v>1004</v>
      </c>
      <c r="D104" s="182" t="s">
        <v>25</v>
      </c>
    </row>
    <row r="105">
      <c r="A105" s="245" t="s">
        <v>2510</v>
      </c>
      <c r="B105" s="248">
        <v>160.0</v>
      </c>
      <c r="C105" s="247" t="s">
        <v>1004</v>
      </c>
      <c r="D105" s="182" t="s">
        <v>25</v>
      </c>
    </row>
    <row r="106">
      <c r="A106" s="245" t="s">
        <v>2511</v>
      </c>
      <c r="B106" s="248">
        <v>10.0</v>
      </c>
      <c r="C106" s="247" t="s">
        <v>1004</v>
      </c>
      <c r="D106" s="182" t="s">
        <v>25</v>
      </c>
    </row>
    <row r="107">
      <c r="A107" s="245" t="s">
        <v>2512</v>
      </c>
      <c r="B107" s="248">
        <v>10.0</v>
      </c>
      <c r="C107" s="247" t="s">
        <v>1004</v>
      </c>
      <c r="D107" s="182" t="s">
        <v>25</v>
      </c>
    </row>
    <row r="108">
      <c r="A108" s="245" t="s">
        <v>2513</v>
      </c>
      <c r="B108" s="248">
        <v>10.0</v>
      </c>
      <c r="C108" s="247" t="s">
        <v>1004</v>
      </c>
      <c r="D108" s="182" t="s">
        <v>25</v>
      </c>
    </row>
    <row r="109">
      <c r="A109" s="245" t="s">
        <v>2514</v>
      </c>
      <c r="B109" s="248">
        <v>225.0</v>
      </c>
      <c r="C109" s="247" t="s">
        <v>1004</v>
      </c>
      <c r="D109" s="182" t="s">
        <v>25</v>
      </c>
    </row>
    <row r="110">
      <c r="A110" s="245" t="s">
        <v>2515</v>
      </c>
      <c r="B110" s="248">
        <v>10.0</v>
      </c>
      <c r="C110" s="247" t="s">
        <v>1004</v>
      </c>
      <c r="D110" s="182" t="s">
        <v>25</v>
      </c>
    </row>
    <row r="111">
      <c r="A111" s="245" t="s">
        <v>2516</v>
      </c>
      <c r="B111" s="248">
        <v>10.0</v>
      </c>
      <c r="C111" s="247" t="s">
        <v>1004</v>
      </c>
      <c r="D111" s="182" t="s">
        <v>25</v>
      </c>
    </row>
    <row r="112">
      <c r="A112" s="245" t="s">
        <v>2517</v>
      </c>
      <c r="B112" s="248">
        <v>315.0</v>
      </c>
      <c r="C112" s="247" t="s">
        <v>1004</v>
      </c>
      <c r="D112" s="182" t="s">
        <v>25</v>
      </c>
    </row>
    <row r="113">
      <c r="A113" s="245" t="s">
        <v>2518</v>
      </c>
      <c r="B113" s="248">
        <v>40.0</v>
      </c>
      <c r="C113" s="247" t="s">
        <v>1004</v>
      </c>
      <c r="D113" s="182" t="s">
        <v>25</v>
      </c>
    </row>
    <row r="114">
      <c r="A114" s="245" t="s">
        <v>2519</v>
      </c>
      <c r="B114" s="248">
        <v>450.0</v>
      </c>
      <c r="C114" s="247" t="s">
        <v>1004</v>
      </c>
      <c r="D114" s="182" t="s">
        <v>25</v>
      </c>
    </row>
    <row r="115">
      <c r="A115" s="245" t="s">
        <v>2520</v>
      </c>
      <c r="B115" s="248">
        <v>40.0</v>
      </c>
      <c r="C115" s="247" t="s">
        <v>1004</v>
      </c>
      <c r="D115" s="182" t="s">
        <v>25</v>
      </c>
    </row>
    <row r="116">
      <c r="A116" s="245" t="s">
        <v>2521</v>
      </c>
      <c r="B116" s="248">
        <v>520.0</v>
      </c>
      <c r="C116" s="247" t="s">
        <v>1004</v>
      </c>
      <c r="D116" s="182" t="s">
        <v>25</v>
      </c>
    </row>
    <row r="117">
      <c r="A117" s="245" t="s">
        <v>2522</v>
      </c>
      <c r="B117" s="248">
        <v>450.0</v>
      </c>
      <c r="C117" s="247" t="s">
        <v>1004</v>
      </c>
      <c r="D117" s="182" t="s">
        <v>25</v>
      </c>
    </row>
    <row r="118">
      <c r="A118" s="245" t="s">
        <v>2523</v>
      </c>
      <c r="B118" s="248">
        <v>40.0</v>
      </c>
      <c r="C118" s="247" t="s">
        <v>1004</v>
      </c>
      <c r="D118" s="182" t="s">
        <v>25</v>
      </c>
    </row>
    <row r="119">
      <c r="A119" s="245" t="s">
        <v>2524</v>
      </c>
      <c r="B119" s="248">
        <v>240.0</v>
      </c>
      <c r="C119" s="247" t="s">
        <v>1004</v>
      </c>
      <c r="D119" s="182" t="s">
        <v>25</v>
      </c>
    </row>
    <row r="120">
      <c r="A120" s="245" t="s">
        <v>2525</v>
      </c>
      <c r="B120" s="248">
        <v>20.0</v>
      </c>
      <c r="C120" s="247" t="s">
        <v>1004</v>
      </c>
      <c r="D120" s="182" t="s">
        <v>25</v>
      </c>
    </row>
    <row r="121">
      <c r="A121" s="245" t="s">
        <v>2526</v>
      </c>
      <c r="B121" s="248">
        <v>10.0</v>
      </c>
      <c r="C121" s="247" t="s">
        <v>1004</v>
      </c>
      <c r="D121" s="182" t="s">
        <v>25</v>
      </c>
    </row>
    <row r="122">
      <c r="A122" s="245" t="s">
        <v>2527</v>
      </c>
      <c r="B122" s="248">
        <v>10.0</v>
      </c>
      <c r="C122" s="247" t="s">
        <v>1004</v>
      </c>
      <c r="D122" s="182" t="s">
        <v>25</v>
      </c>
    </row>
    <row r="123">
      <c r="A123" s="245" t="s">
        <v>2528</v>
      </c>
      <c r="B123" s="248">
        <v>120.0</v>
      </c>
      <c r="C123" s="247" t="s">
        <v>1004</v>
      </c>
      <c r="D123" s="182" t="s">
        <v>25</v>
      </c>
    </row>
    <row r="124">
      <c r="A124" s="245" t="s">
        <v>2529</v>
      </c>
      <c r="B124" s="248">
        <v>120.0</v>
      </c>
      <c r="C124" s="247" t="s">
        <v>1004</v>
      </c>
      <c r="D124" s="182" t="s">
        <v>25</v>
      </c>
    </row>
    <row r="125">
      <c r="A125" s="245" t="s">
        <v>2530</v>
      </c>
      <c r="B125" s="248">
        <v>40.0</v>
      </c>
      <c r="C125" s="247" t="s">
        <v>1004</v>
      </c>
      <c r="D125" s="182" t="s">
        <v>25</v>
      </c>
    </row>
    <row r="126">
      <c r="A126" s="245" t="s">
        <v>2531</v>
      </c>
      <c r="B126" s="248">
        <v>2119.99</v>
      </c>
      <c r="C126" s="247" t="s">
        <v>867</v>
      </c>
      <c r="D126" s="182" t="s">
        <v>25</v>
      </c>
    </row>
    <row r="127">
      <c r="A127" s="245" t="s">
        <v>2532</v>
      </c>
      <c r="B127" s="248">
        <v>74.5</v>
      </c>
      <c r="C127" s="247" t="s">
        <v>867</v>
      </c>
      <c r="D127" s="182" t="s">
        <v>25</v>
      </c>
    </row>
    <row r="128">
      <c r="A128" s="245" t="s">
        <v>2533</v>
      </c>
      <c r="B128" s="248">
        <v>828.72</v>
      </c>
      <c r="C128" s="247" t="s">
        <v>867</v>
      </c>
      <c r="D128" s="182" t="s">
        <v>25</v>
      </c>
    </row>
    <row r="129">
      <c r="A129" s="250" t="s">
        <v>2534</v>
      </c>
      <c r="B129" s="248">
        <v>150.0</v>
      </c>
      <c r="C129" s="247" t="s">
        <v>867</v>
      </c>
      <c r="D129" s="182" t="s">
        <v>25</v>
      </c>
    </row>
    <row r="130">
      <c r="A130" s="250" t="s">
        <v>2535</v>
      </c>
      <c r="B130" s="251">
        <v>2295.0</v>
      </c>
      <c r="C130" s="247" t="s">
        <v>1004</v>
      </c>
      <c r="D130" s="182" t="s">
        <v>25</v>
      </c>
    </row>
    <row r="131">
      <c r="A131" s="250" t="s">
        <v>2536</v>
      </c>
      <c r="B131" s="251">
        <v>157.79</v>
      </c>
      <c r="C131" s="252" t="s">
        <v>867</v>
      </c>
      <c r="D131" s="182" t="s">
        <v>25</v>
      </c>
    </row>
    <row r="132">
      <c r="A132" s="250" t="s">
        <v>2537</v>
      </c>
      <c r="B132" s="251">
        <v>225.0</v>
      </c>
      <c r="C132" s="247" t="s">
        <v>1004</v>
      </c>
      <c r="D132" s="182" t="s">
        <v>25</v>
      </c>
    </row>
    <row r="133">
      <c r="A133" s="250" t="s">
        <v>2538</v>
      </c>
      <c r="B133" s="251">
        <v>40.0</v>
      </c>
      <c r="C133" s="247" t="s">
        <v>1004</v>
      </c>
      <c r="D133" s="182" t="s">
        <v>25</v>
      </c>
    </row>
    <row r="134">
      <c r="A134" s="250" t="s">
        <v>2539</v>
      </c>
      <c r="B134" s="251">
        <v>30.0</v>
      </c>
      <c r="C134" s="247" t="s">
        <v>1004</v>
      </c>
      <c r="D134" s="182" t="s">
        <v>25</v>
      </c>
    </row>
    <row r="135">
      <c r="A135" s="250" t="s">
        <v>2540</v>
      </c>
      <c r="B135" s="251">
        <v>40.0</v>
      </c>
      <c r="C135" s="247" t="s">
        <v>1004</v>
      </c>
      <c r="D135" s="182" t="s">
        <v>25</v>
      </c>
    </row>
    <row r="136">
      <c r="A136" s="250" t="s">
        <v>2541</v>
      </c>
      <c r="B136" s="251">
        <v>160.0</v>
      </c>
      <c r="C136" s="247" t="s">
        <v>1004</v>
      </c>
      <c r="D136" s="182" t="s">
        <v>25</v>
      </c>
    </row>
    <row r="137">
      <c r="A137" s="250" t="s">
        <v>2542</v>
      </c>
      <c r="B137" s="251">
        <v>10.0</v>
      </c>
      <c r="C137" s="247" t="s">
        <v>1004</v>
      </c>
      <c r="D137" s="182" t="s">
        <v>25</v>
      </c>
    </row>
    <row r="138">
      <c r="A138" s="250" t="s">
        <v>2543</v>
      </c>
      <c r="B138" s="251">
        <v>280.0</v>
      </c>
      <c r="C138" s="247" t="s">
        <v>1004</v>
      </c>
      <c r="D138" s="182" t="s">
        <v>25</v>
      </c>
    </row>
    <row r="139">
      <c r="A139" s="250" t="s">
        <v>2544</v>
      </c>
      <c r="B139" s="251">
        <v>40.0</v>
      </c>
      <c r="C139" s="247" t="s">
        <v>1004</v>
      </c>
      <c r="D139" s="182" t="s">
        <v>25</v>
      </c>
    </row>
    <row r="140">
      <c r="A140" s="250" t="s">
        <v>2545</v>
      </c>
      <c r="B140" s="251">
        <v>40.0</v>
      </c>
      <c r="C140" s="247" t="s">
        <v>1004</v>
      </c>
      <c r="D140" s="182" t="s">
        <v>25</v>
      </c>
    </row>
    <row r="141">
      <c r="A141" s="250" t="s">
        <v>2546</v>
      </c>
      <c r="B141" s="251">
        <v>80.0</v>
      </c>
      <c r="C141" s="247" t="s">
        <v>1004</v>
      </c>
      <c r="D141" s="182" t="s">
        <v>25</v>
      </c>
    </row>
    <row r="142">
      <c r="A142" s="250" t="s">
        <v>2547</v>
      </c>
      <c r="B142" s="251">
        <v>40.0</v>
      </c>
      <c r="C142" s="247" t="s">
        <v>1004</v>
      </c>
      <c r="D142" s="182" t="s">
        <v>25</v>
      </c>
    </row>
    <row r="143">
      <c r="A143" s="250" t="s">
        <v>2548</v>
      </c>
      <c r="B143" s="251">
        <v>20.0</v>
      </c>
      <c r="C143" s="247" t="s">
        <v>1004</v>
      </c>
      <c r="D143" s="182" t="s">
        <v>25</v>
      </c>
    </row>
    <row r="144">
      <c r="A144" s="250" t="s">
        <v>503</v>
      </c>
      <c r="B144" s="251">
        <v>20.0</v>
      </c>
      <c r="C144" s="247" t="s">
        <v>1004</v>
      </c>
      <c r="D144" s="182" t="s">
        <v>25</v>
      </c>
    </row>
    <row r="145">
      <c r="A145" s="250" t="s">
        <v>509</v>
      </c>
      <c r="B145" s="251">
        <v>2790.0</v>
      </c>
      <c r="C145" s="247" t="s">
        <v>1004</v>
      </c>
      <c r="D145" s="182" t="s">
        <v>25</v>
      </c>
    </row>
    <row r="146">
      <c r="A146" s="250" t="s">
        <v>2549</v>
      </c>
      <c r="B146" s="251">
        <v>175.0</v>
      </c>
      <c r="C146" s="247" t="s">
        <v>1004</v>
      </c>
      <c r="D146" s="182" t="s">
        <v>25</v>
      </c>
    </row>
    <row r="147">
      <c r="A147" s="250" t="s">
        <v>2550</v>
      </c>
      <c r="B147" s="251">
        <v>135.0</v>
      </c>
      <c r="C147" s="247" t="s">
        <v>1004</v>
      </c>
      <c r="D147" s="182" t="s">
        <v>25</v>
      </c>
    </row>
    <row r="148">
      <c r="A148" s="250" t="s">
        <v>2551</v>
      </c>
      <c r="B148" s="251">
        <v>80.0</v>
      </c>
      <c r="C148" s="247" t="s">
        <v>1004</v>
      </c>
      <c r="D148" s="182" t="s">
        <v>25</v>
      </c>
    </row>
    <row r="149">
      <c r="A149" s="250" t="s">
        <v>2552</v>
      </c>
      <c r="B149" s="251">
        <v>40.0</v>
      </c>
      <c r="C149" s="247" t="s">
        <v>1004</v>
      </c>
      <c r="D149" s="182" t="s">
        <v>25</v>
      </c>
    </row>
    <row r="150">
      <c r="A150" s="250" t="s">
        <v>2553</v>
      </c>
      <c r="B150" s="251">
        <v>40.0</v>
      </c>
      <c r="C150" s="247" t="s">
        <v>1004</v>
      </c>
      <c r="D150" s="182" t="s">
        <v>25</v>
      </c>
    </row>
    <row r="151">
      <c r="A151" s="250" t="s">
        <v>2554</v>
      </c>
      <c r="B151" s="251">
        <v>40.0</v>
      </c>
      <c r="C151" s="247" t="s">
        <v>1004</v>
      </c>
      <c r="D151" s="182" t="s">
        <v>25</v>
      </c>
    </row>
    <row r="152">
      <c r="A152" s="245" t="s">
        <v>500</v>
      </c>
      <c r="B152" s="248">
        <v>12.0</v>
      </c>
      <c r="C152" s="247" t="s">
        <v>1004</v>
      </c>
      <c r="D152" s="182" t="s">
        <v>25</v>
      </c>
    </row>
    <row r="153">
      <c r="A153" s="245" t="s">
        <v>2555</v>
      </c>
      <c r="B153" s="248">
        <v>12.0</v>
      </c>
      <c r="C153" s="247" t="s">
        <v>1004</v>
      </c>
      <c r="D153" s="182" t="s">
        <v>25</v>
      </c>
    </row>
    <row r="154">
      <c r="A154" s="245" t="s">
        <v>2556</v>
      </c>
      <c r="B154" s="248">
        <v>12.0</v>
      </c>
      <c r="C154" s="247" t="s">
        <v>1004</v>
      </c>
      <c r="D154" s="182" t="s">
        <v>25</v>
      </c>
    </row>
    <row r="155">
      <c r="A155" s="245" t="s">
        <v>2557</v>
      </c>
      <c r="B155" s="248">
        <v>12.0</v>
      </c>
      <c r="C155" s="247" t="s">
        <v>1004</v>
      </c>
      <c r="D155" s="182" t="s">
        <v>25</v>
      </c>
    </row>
    <row r="156">
      <c r="A156" s="245" t="s">
        <v>2558</v>
      </c>
      <c r="B156" s="248">
        <v>50.0</v>
      </c>
      <c r="C156" s="247" t="s">
        <v>1004</v>
      </c>
      <c r="D156" s="182" t="s">
        <v>25</v>
      </c>
    </row>
    <row r="157">
      <c r="A157" s="245" t="s">
        <v>2559</v>
      </c>
      <c r="B157" s="248">
        <v>23.0</v>
      </c>
      <c r="C157" s="247" t="s">
        <v>1004</v>
      </c>
      <c r="D157" s="182" t="s">
        <v>25</v>
      </c>
    </row>
    <row r="158">
      <c r="A158" s="245" t="s">
        <v>2560</v>
      </c>
      <c r="B158" s="248">
        <v>23.0</v>
      </c>
      <c r="C158" s="247" t="s">
        <v>1004</v>
      </c>
      <c r="D158" s="182" t="s">
        <v>25</v>
      </c>
    </row>
    <row r="159">
      <c r="A159" s="245" t="s">
        <v>2561</v>
      </c>
      <c r="B159" s="248">
        <v>68.0</v>
      </c>
      <c r="C159" s="247" t="s">
        <v>1004</v>
      </c>
      <c r="D159" s="182" t="s">
        <v>25</v>
      </c>
    </row>
    <row r="160">
      <c r="A160" s="245" t="s">
        <v>2562</v>
      </c>
      <c r="B160" s="248">
        <v>135.0</v>
      </c>
      <c r="C160" s="247" t="s">
        <v>1004</v>
      </c>
      <c r="D160" s="182" t="s">
        <v>25</v>
      </c>
    </row>
    <row r="161">
      <c r="A161" s="245" t="s">
        <v>2563</v>
      </c>
      <c r="B161" s="248">
        <v>45.0</v>
      </c>
      <c r="C161" s="247" t="s">
        <v>1004</v>
      </c>
      <c r="D161" s="182" t="s">
        <v>25</v>
      </c>
    </row>
    <row r="162">
      <c r="A162" s="245" t="s">
        <v>2564</v>
      </c>
      <c r="B162" s="248">
        <v>45.0</v>
      </c>
      <c r="C162" s="247" t="s">
        <v>1004</v>
      </c>
      <c r="D162" s="182" t="s">
        <v>25</v>
      </c>
    </row>
    <row r="163">
      <c r="A163" s="245" t="s">
        <v>2565</v>
      </c>
      <c r="B163" s="248">
        <v>23.0</v>
      </c>
      <c r="C163" s="247" t="s">
        <v>1004</v>
      </c>
      <c r="D163" s="182" t="s">
        <v>25</v>
      </c>
    </row>
    <row r="164">
      <c r="A164" s="245" t="s">
        <v>2566</v>
      </c>
      <c r="B164" s="248">
        <v>225.0</v>
      </c>
      <c r="C164" s="247" t="s">
        <v>1004</v>
      </c>
      <c r="D164" s="182" t="s">
        <v>25</v>
      </c>
    </row>
    <row r="165">
      <c r="A165" s="245" t="s">
        <v>2567</v>
      </c>
      <c r="B165" s="248">
        <v>135.0</v>
      </c>
      <c r="C165" s="247" t="s">
        <v>1004</v>
      </c>
      <c r="D165" s="182" t="s">
        <v>25</v>
      </c>
    </row>
    <row r="166">
      <c r="A166" s="232" t="s">
        <v>2568</v>
      </c>
      <c r="B166" s="233">
        <v>50.0</v>
      </c>
      <c r="C166" s="253" t="s">
        <v>867</v>
      </c>
      <c r="D166" s="182" t="s">
        <v>25</v>
      </c>
    </row>
    <row r="167">
      <c r="A167" s="245" t="s">
        <v>2569</v>
      </c>
      <c r="B167" s="248">
        <v>315.0</v>
      </c>
      <c r="C167" s="247" t="s">
        <v>1004</v>
      </c>
      <c r="D167" s="182" t="s">
        <v>25</v>
      </c>
    </row>
    <row r="168">
      <c r="A168" s="245" t="s">
        <v>2570</v>
      </c>
      <c r="B168" s="248">
        <v>1035.0</v>
      </c>
      <c r="C168" s="247" t="s">
        <v>1004</v>
      </c>
      <c r="D168" s="182" t="s">
        <v>25</v>
      </c>
    </row>
    <row r="169">
      <c r="A169" s="245" t="s">
        <v>2571</v>
      </c>
      <c r="B169" s="248">
        <v>135.0</v>
      </c>
      <c r="C169" s="247" t="s">
        <v>1004</v>
      </c>
      <c r="D169" s="182" t="s">
        <v>25</v>
      </c>
    </row>
    <row r="170">
      <c r="A170" s="245" t="s">
        <v>2572</v>
      </c>
      <c r="B170" s="248" t="s">
        <v>2573</v>
      </c>
      <c r="C170" s="247" t="s">
        <v>1004</v>
      </c>
      <c r="D170" s="182" t="s">
        <v>25</v>
      </c>
    </row>
    <row r="171">
      <c r="A171" s="245" t="s">
        <v>2574</v>
      </c>
      <c r="B171" s="248">
        <v>45.0</v>
      </c>
      <c r="C171" s="247" t="s">
        <v>1004</v>
      </c>
      <c r="D171" s="182" t="s">
        <v>25</v>
      </c>
    </row>
    <row r="172">
      <c r="A172" s="245" t="s">
        <v>2575</v>
      </c>
      <c r="B172" s="248">
        <v>45.0</v>
      </c>
      <c r="C172" s="247" t="s">
        <v>1004</v>
      </c>
      <c r="D172" s="182" t="s">
        <v>25</v>
      </c>
    </row>
    <row r="173">
      <c r="A173" s="245" t="s">
        <v>2576</v>
      </c>
      <c r="B173" s="248">
        <v>405.0</v>
      </c>
      <c r="C173" s="247" t="s">
        <v>1004</v>
      </c>
      <c r="D173" s="182" t="s">
        <v>25</v>
      </c>
    </row>
    <row r="174">
      <c r="A174" s="245" t="s">
        <v>2577</v>
      </c>
      <c r="B174" s="248">
        <v>90.0</v>
      </c>
      <c r="C174" s="247" t="s">
        <v>1004</v>
      </c>
      <c r="D174" s="182" t="s">
        <v>25</v>
      </c>
    </row>
    <row r="175">
      <c r="A175" s="245" t="s">
        <v>2578</v>
      </c>
      <c r="B175" s="248">
        <v>45.0</v>
      </c>
      <c r="C175" s="247" t="s">
        <v>1004</v>
      </c>
      <c r="D175" s="182" t="s">
        <v>25</v>
      </c>
    </row>
    <row r="176">
      <c r="A176" s="245" t="s">
        <v>2579</v>
      </c>
      <c r="B176" s="248">
        <v>270.0</v>
      </c>
      <c r="C176" s="247" t="s">
        <v>1004</v>
      </c>
      <c r="D176" s="182" t="s">
        <v>25</v>
      </c>
    </row>
    <row r="177">
      <c r="A177" s="245" t="s">
        <v>2580</v>
      </c>
      <c r="B177" s="248">
        <v>180.0</v>
      </c>
      <c r="C177" s="247" t="s">
        <v>1004</v>
      </c>
      <c r="D177" s="182" t="s">
        <v>25</v>
      </c>
    </row>
    <row r="178">
      <c r="A178" s="245" t="s">
        <v>2581</v>
      </c>
      <c r="B178" s="248">
        <v>45.0</v>
      </c>
      <c r="C178" s="247" t="s">
        <v>1004</v>
      </c>
      <c r="D178" s="182" t="s">
        <v>25</v>
      </c>
    </row>
    <row r="179">
      <c r="A179" s="245" t="s">
        <v>2582</v>
      </c>
      <c r="B179" s="248">
        <v>113.0</v>
      </c>
      <c r="C179" s="247" t="s">
        <v>1004</v>
      </c>
      <c r="D179" s="182" t="s">
        <v>25</v>
      </c>
    </row>
    <row r="180">
      <c r="A180" s="245" t="s">
        <v>2583</v>
      </c>
      <c r="B180" s="248">
        <v>23.0</v>
      </c>
      <c r="C180" s="247" t="s">
        <v>1004</v>
      </c>
      <c r="D180" s="182" t="s">
        <v>25</v>
      </c>
    </row>
    <row r="181">
      <c r="A181" s="245" t="s">
        <v>2584</v>
      </c>
      <c r="B181" s="248">
        <v>23.0</v>
      </c>
      <c r="C181" s="247" t="s">
        <v>1004</v>
      </c>
      <c r="D181" s="182" t="s">
        <v>25</v>
      </c>
    </row>
    <row r="182">
      <c r="A182" s="245" t="s">
        <v>2585</v>
      </c>
      <c r="B182" s="248">
        <v>23.0</v>
      </c>
      <c r="C182" s="247" t="s">
        <v>1004</v>
      </c>
      <c r="D182" s="182" t="s">
        <v>25</v>
      </c>
    </row>
    <row r="183">
      <c r="A183" s="245" t="s">
        <v>2586</v>
      </c>
      <c r="B183" s="248">
        <v>135.0</v>
      </c>
      <c r="C183" s="247" t="s">
        <v>1004</v>
      </c>
      <c r="D183" s="182" t="s">
        <v>25</v>
      </c>
    </row>
    <row r="184">
      <c r="A184" s="245" t="s">
        <v>2587</v>
      </c>
      <c r="B184" s="248">
        <v>45.0</v>
      </c>
      <c r="C184" s="247" t="s">
        <v>1004</v>
      </c>
      <c r="D184" s="182" t="s">
        <v>25</v>
      </c>
    </row>
    <row r="185">
      <c r="A185" s="245" t="s">
        <v>2588</v>
      </c>
      <c r="B185" s="248">
        <v>180.0</v>
      </c>
      <c r="C185" s="247" t="s">
        <v>1004</v>
      </c>
      <c r="D185" s="182" t="s">
        <v>25</v>
      </c>
    </row>
    <row r="186">
      <c r="A186" s="245" t="s">
        <v>551</v>
      </c>
      <c r="B186" s="248">
        <v>90.0</v>
      </c>
      <c r="C186" s="247" t="s">
        <v>1004</v>
      </c>
      <c r="D186" s="182" t="s">
        <v>25</v>
      </c>
    </row>
    <row r="187">
      <c r="A187" s="245" t="s">
        <v>2589</v>
      </c>
      <c r="B187" s="248">
        <v>90.0</v>
      </c>
      <c r="C187" s="247" t="s">
        <v>1004</v>
      </c>
      <c r="D187" s="182" t="s">
        <v>25</v>
      </c>
    </row>
    <row r="188">
      <c r="A188" s="245" t="s">
        <v>2590</v>
      </c>
      <c r="B188" s="248">
        <v>45.0</v>
      </c>
      <c r="C188" s="247" t="s">
        <v>1004</v>
      </c>
      <c r="D188" s="182" t="s">
        <v>25</v>
      </c>
    </row>
    <row r="189">
      <c r="A189" s="245" t="s">
        <v>2591</v>
      </c>
      <c r="B189" s="248">
        <v>45.0</v>
      </c>
      <c r="C189" s="247" t="s">
        <v>1004</v>
      </c>
      <c r="D189" s="182" t="s">
        <v>25</v>
      </c>
    </row>
    <row r="190">
      <c r="A190" s="245" t="s">
        <v>2592</v>
      </c>
      <c r="B190" s="248">
        <v>90.0</v>
      </c>
      <c r="C190" s="247" t="s">
        <v>1004</v>
      </c>
      <c r="D190" s="182" t="s">
        <v>25</v>
      </c>
    </row>
    <row r="191">
      <c r="A191" s="245" t="s">
        <v>2593</v>
      </c>
      <c r="B191" s="248">
        <v>90.0</v>
      </c>
      <c r="C191" s="247" t="s">
        <v>1004</v>
      </c>
      <c r="D191" s="182" t="s">
        <v>25</v>
      </c>
    </row>
    <row r="192">
      <c r="A192" s="245" t="s">
        <v>2594</v>
      </c>
      <c r="B192" s="248">
        <v>225.0</v>
      </c>
      <c r="C192" s="247" t="s">
        <v>1004</v>
      </c>
      <c r="D192" s="182" t="s">
        <v>25</v>
      </c>
    </row>
    <row r="193">
      <c r="A193" s="245" t="s">
        <v>2595</v>
      </c>
      <c r="B193" s="248">
        <v>630.0</v>
      </c>
      <c r="C193" s="247" t="s">
        <v>1004</v>
      </c>
      <c r="D193" s="182" t="s">
        <v>25</v>
      </c>
    </row>
    <row r="194">
      <c r="A194" s="245" t="s">
        <v>2596</v>
      </c>
      <c r="B194" s="248">
        <v>90.0</v>
      </c>
      <c r="C194" s="247" t="s">
        <v>1004</v>
      </c>
      <c r="D194" s="182" t="s">
        <v>25</v>
      </c>
    </row>
    <row r="195">
      <c r="A195" s="245" t="s">
        <v>2597</v>
      </c>
      <c r="B195" s="248">
        <v>45.0</v>
      </c>
      <c r="C195" s="247" t="s">
        <v>1004</v>
      </c>
      <c r="D195" s="182" t="s">
        <v>25</v>
      </c>
    </row>
    <row r="196">
      <c r="A196" s="245" t="s">
        <v>2598</v>
      </c>
      <c r="B196" s="248">
        <v>45.0</v>
      </c>
      <c r="C196" s="247" t="s">
        <v>1004</v>
      </c>
      <c r="D196" s="182" t="s">
        <v>25</v>
      </c>
    </row>
    <row r="197">
      <c r="A197" s="245" t="s">
        <v>2599</v>
      </c>
      <c r="B197" s="248">
        <v>45.0</v>
      </c>
      <c r="C197" s="247" t="s">
        <v>1004</v>
      </c>
      <c r="D197" s="182" t="s">
        <v>25</v>
      </c>
    </row>
    <row r="198">
      <c r="A198" s="245" t="s">
        <v>2600</v>
      </c>
      <c r="B198" s="248">
        <v>83.0</v>
      </c>
      <c r="C198" s="247" t="s">
        <v>1004</v>
      </c>
      <c r="D198" s="182" t="s">
        <v>25</v>
      </c>
    </row>
    <row r="199">
      <c r="A199" s="245" t="s">
        <v>2562</v>
      </c>
      <c r="B199" s="248">
        <v>90.0</v>
      </c>
      <c r="C199" s="247" t="s">
        <v>1004</v>
      </c>
      <c r="D199" s="182" t="s">
        <v>25</v>
      </c>
    </row>
    <row r="200">
      <c r="A200" s="245" t="s">
        <v>2601</v>
      </c>
      <c r="B200" s="248">
        <v>135.0</v>
      </c>
      <c r="C200" s="247" t="s">
        <v>1004</v>
      </c>
      <c r="D200" s="182" t="s">
        <v>25</v>
      </c>
    </row>
    <row r="201">
      <c r="A201" s="245" t="s">
        <v>2602</v>
      </c>
      <c r="B201" s="248">
        <v>90.0</v>
      </c>
      <c r="C201" s="247" t="s">
        <v>1004</v>
      </c>
      <c r="D201" s="182" t="s">
        <v>25</v>
      </c>
    </row>
    <row r="202">
      <c r="A202" s="245" t="s">
        <v>2603</v>
      </c>
      <c r="B202" s="248">
        <v>90.0</v>
      </c>
      <c r="C202" s="247" t="s">
        <v>1004</v>
      </c>
      <c r="D202" s="182" t="s">
        <v>25</v>
      </c>
    </row>
    <row r="203">
      <c r="A203" s="245" t="s">
        <v>2604</v>
      </c>
      <c r="B203" s="248">
        <v>90.0</v>
      </c>
      <c r="C203" s="247" t="s">
        <v>1004</v>
      </c>
      <c r="D203" s="182" t="s">
        <v>25</v>
      </c>
    </row>
    <row r="204">
      <c r="A204" s="245" t="s">
        <v>2605</v>
      </c>
      <c r="B204" s="248">
        <v>135.0</v>
      </c>
      <c r="C204" s="247" t="s">
        <v>1004</v>
      </c>
      <c r="D204" s="182" t="s">
        <v>25</v>
      </c>
    </row>
    <row r="205">
      <c r="A205" s="245" t="s">
        <v>2606</v>
      </c>
      <c r="B205" s="248">
        <v>15.0</v>
      </c>
      <c r="C205" s="247" t="s">
        <v>1004</v>
      </c>
      <c r="D205" s="182" t="s">
        <v>25</v>
      </c>
    </row>
    <row r="206">
      <c r="A206" s="245" t="s">
        <v>2607</v>
      </c>
      <c r="B206" s="248">
        <v>15.0</v>
      </c>
      <c r="C206" s="247" t="s">
        <v>1004</v>
      </c>
      <c r="D206" s="182" t="s">
        <v>25</v>
      </c>
    </row>
    <row r="207">
      <c r="A207" s="245" t="s">
        <v>2608</v>
      </c>
      <c r="B207" s="248">
        <v>15.0</v>
      </c>
      <c r="C207" s="247" t="s">
        <v>1004</v>
      </c>
      <c r="D207" s="182" t="s">
        <v>25</v>
      </c>
    </row>
    <row r="208">
      <c r="A208" s="245" t="s">
        <v>2609</v>
      </c>
      <c r="B208" s="248">
        <v>135.0</v>
      </c>
      <c r="C208" s="247" t="s">
        <v>1004</v>
      </c>
      <c r="D208" s="182" t="s">
        <v>25</v>
      </c>
    </row>
    <row r="209">
      <c r="A209" s="245" t="s">
        <v>2610</v>
      </c>
      <c r="B209" s="248">
        <v>180.0</v>
      </c>
      <c r="C209" s="247" t="s">
        <v>1004</v>
      </c>
      <c r="D209" s="182" t="s">
        <v>25</v>
      </c>
    </row>
    <row r="210">
      <c r="A210" s="245" t="s">
        <v>2611</v>
      </c>
      <c r="B210" s="248">
        <v>90.0</v>
      </c>
      <c r="C210" s="247" t="s">
        <v>1004</v>
      </c>
      <c r="D210" s="182" t="s">
        <v>25</v>
      </c>
    </row>
    <row r="211">
      <c r="A211" s="245" t="s">
        <v>2612</v>
      </c>
      <c r="B211" s="248">
        <v>30.0</v>
      </c>
      <c r="C211" s="247" t="s">
        <v>1004</v>
      </c>
      <c r="D211" s="182" t="s">
        <v>25</v>
      </c>
    </row>
    <row r="212">
      <c r="A212" s="245" t="s">
        <v>2613</v>
      </c>
      <c r="B212" s="248">
        <v>45.0</v>
      </c>
      <c r="C212" s="247" t="s">
        <v>1004</v>
      </c>
      <c r="D212" s="182" t="s">
        <v>25</v>
      </c>
    </row>
    <row r="213">
      <c r="A213" s="245" t="s">
        <v>2614</v>
      </c>
      <c r="B213" s="248">
        <v>25.0</v>
      </c>
      <c r="C213" s="247" t="s">
        <v>1004</v>
      </c>
      <c r="D213" s="182" t="s">
        <v>25</v>
      </c>
    </row>
    <row r="214">
      <c r="A214" s="245" t="s">
        <v>2615</v>
      </c>
      <c r="B214" s="248">
        <v>20.0</v>
      </c>
      <c r="C214" s="247" t="s">
        <v>1004</v>
      </c>
      <c r="D214" s="182" t="s">
        <v>25</v>
      </c>
    </row>
    <row r="215">
      <c r="A215" s="245" t="s">
        <v>2616</v>
      </c>
      <c r="B215" s="248">
        <v>45.0</v>
      </c>
      <c r="C215" s="247" t="s">
        <v>1004</v>
      </c>
      <c r="D215" s="182" t="s">
        <v>25</v>
      </c>
    </row>
    <row r="216">
      <c r="A216" s="254" t="s">
        <v>2617</v>
      </c>
      <c r="B216" s="248" t="s">
        <v>1259</v>
      </c>
      <c r="C216" s="247" t="s">
        <v>867</v>
      </c>
      <c r="D216" s="182" t="s">
        <v>25</v>
      </c>
    </row>
    <row r="217">
      <c r="A217" s="245" t="s">
        <v>2618</v>
      </c>
      <c r="B217" s="248">
        <v>135.0</v>
      </c>
      <c r="C217" s="247" t="s">
        <v>1004</v>
      </c>
      <c r="D217" s="182" t="s">
        <v>25</v>
      </c>
    </row>
    <row r="218">
      <c r="A218" s="245" t="s">
        <v>2619</v>
      </c>
      <c r="B218" s="248">
        <v>180.0</v>
      </c>
      <c r="C218" s="247" t="s">
        <v>1004</v>
      </c>
      <c r="D218" s="182" t="s">
        <v>25</v>
      </c>
    </row>
    <row r="219">
      <c r="A219" s="245" t="s">
        <v>2620</v>
      </c>
      <c r="B219" s="248">
        <v>135.0</v>
      </c>
      <c r="C219" s="247" t="s">
        <v>1004</v>
      </c>
      <c r="D219" s="182" t="s">
        <v>25</v>
      </c>
    </row>
    <row r="220">
      <c r="A220" s="245" t="s">
        <v>2621</v>
      </c>
      <c r="B220" s="248">
        <v>90.0</v>
      </c>
      <c r="C220" s="247" t="s">
        <v>1004</v>
      </c>
      <c r="D220" s="182" t="s">
        <v>25</v>
      </c>
    </row>
    <row r="221">
      <c r="A221" s="245" t="s">
        <v>2622</v>
      </c>
      <c r="B221" s="248">
        <v>180.0</v>
      </c>
      <c r="C221" s="247" t="s">
        <v>1004</v>
      </c>
      <c r="D221" s="182" t="s">
        <v>25</v>
      </c>
    </row>
    <row r="222">
      <c r="A222" s="245" t="s">
        <v>2623</v>
      </c>
      <c r="B222" s="248">
        <v>270.0</v>
      </c>
      <c r="C222" s="247" t="s">
        <v>1004</v>
      </c>
      <c r="D222" s="182" t="s">
        <v>25</v>
      </c>
    </row>
    <row r="223">
      <c r="A223" s="245" t="s">
        <v>2624</v>
      </c>
      <c r="B223" s="248" t="s">
        <v>2573</v>
      </c>
      <c r="C223" s="247" t="s">
        <v>1004</v>
      </c>
      <c r="D223" s="182" t="s">
        <v>25</v>
      </c>
    </row>
    <row r="224">
      <c r="A224" s="245" t="s">
        <v>2625</v>
      </c>
      <c r="B224" s="248">
        <v>45.0</v>
      </c>
      <c r="C224" s="247" t="s">
        <v>1004</v>
      </c>
      <c r="D224" s="182" t="s">
        <v>25</v>
      </c>
    </row>
    <row r="225">
      <c r="A225" s="245" t="s">
        <v>2626</v>
      </c>
      <c r="B225" s="248">
        <v>45.0</v>
      </c>
      <c r="C225" s="247" t="s">
        <v>1004</v>
      </c>
      <c r="D225" s="182" t="s">
        <v>25</v>
      </c>
    </row>
    <row r="226">
      <c r="A226" s="245" t="s">
        <v>2627</v>
      </c>
      <c r="B226" s="248">
        <v>360.0</v>
      </c>
      <c r="C226" s="247" t="s">
        <v>1004</v>
      </c>
      <c r="D226" s="182" t="s">
        <v>25</v>
      </c>
    </row>
    <row r="227">
      <c r="A227" s="245" t="s">
        <v>2628</v>
      </c>
      <c r="B227" s="248">
        <v>90.0</v>
      </c>
      <c r="C227" s="247" t="s">
        <v>1004</v>
      </c>
      <c r="D227" s="182" t="s">
        <v>25</v>
      </c>
    </row>
    <row r="228">
      <c r="A228" s="245" t="s">
        <v>2629</v>
      </c>
      <c r="B228" s="248">
        <v>135.0</v>
      </c>
      <c r="C228" s="247" t="s">
        <v>1004</v>
      </c>
      <c r="D228" s="182" t="s">
        <v>25</v>
      </c>
    </row>
    <row r="229">
      <c r="A229" s="245" t="s">
        <v>2630</v>
      </c>
      <c r="B229" s="248">
        <v>45.0</v>
      </c>
      <c r="C229" s="247" t="s">
        <v>1004</v>
      </c>
      <c r="D229" s="182" t="s">
        <v>25</v>
      </c>
    </row>
    <row r="230">
      <c r="A230" s="245" t="s">
        <v>2631</v>
      </c>
      <c r="B230" s="248" t="s">
        <v>2573</v>
      </c>
      <c r="C230" s="247" t="s">
        <v>1004</v>
      </c>
      <c r="D230" s="182" t="s">
        <v>25</v>
      </c>
    </row>
    <row r="231">
      <c r="A231" s="245" t="s">
        <v>2632</v>
      </c>
      <c r="B231" s="248">
        <v>50.0</v>
      </c>
      <c r="C231" s="247" t="s">
        <v>1004</v>
      </c>
      <c r="D231" s="182" t="s">
        <v>25</v>
      </c>
    </row>
    <row r="232">
      <c r="A232" s="245" t="s">
        <v>2633</v>
      </c>
      <c r="B232" s="248">
        <v>45.0</v>
      </c>
      <c r="C232" s="247" t="s">
        <v>1004</v>
      </c>
      <c r="D232" s="182" t="s">
        <v>25</v>
      </c>
    </row>
    <row r="233">
      <c r="A233" s="245" t="s">
        <v>2634</v>
      </c>
      <c r="B233" s="248">
        <v>45.0</v>
      </c>
      <c r="C233" s="247" t="s">
        <v>1004</v>
      </c>
      <c r="D233" s="182" t="s">
        <v>25</v>
      </c>
    </row>
    <row r="234">
      <c r="A234" s="245" t="s">
        <v>2635</v>
      </c>
      <c r="B234" s="248">
        <v>135.0</v>
      </c>
      <c r="C234" s="247" t="s">
        <v>1004</v>
      </c>
      <c r="D234" s="182" t="s">
        <v>25</v>
      </c>
    </row>
    <row r="235">
      <c r="A235" s="245" t="s">
        <v>2636</v>
      </c>
      <c r="B235" s="248">
        <v>135.0</v>
      </c>
      <c r="C235" s="247" t="s">
        <v>1004</v>
      </c>
      <c r="D235" s="182" t="s">
        <v>25</v>
      </c>
    </row>
    <row r="236">
      <c r="A236" s="245" t="s">
        <v>2637</v>
      </c>
      <c r="B236" s="248">
        <v>45.0</v>
      </c>
      <c r="C236" s="247" t="s">
        <v>1004</v>
      </c>
      <c r="D236" s="182" t="s">
        <v>25</v>
      </c>
    </row>
    <row r="237">
      <c r="A237" s="245" t="s">
        <v>2638</v>
      </c>
      <c r="B237" s="248">
        <v>15.0</v>
      </c>
      <c r="C237" s="247" t="s">
        <v>1004</v>
      </c>
      <c r="D237" s="182" t="s">
        <v>25</v>
      </c>
    </row>
    <row r="238">
      <c r="A238" s="245" t="s">
        <v>2639</v>
      </c>
      <c r="B238" s="248">
        <v>15.0</v>
      </c>
      <c r="C238" s="247" t="s">
        <v>1004</v>
      </c>
      <c r="D238" s="182" t="s">
        <v>25</v>
      </c>
    </row>
    <row r="239">
      <c r="A239" s="245" t="s">
        <v>2640</v>
      </c>
      <c r="B239" s="248">
        <v>15.0</v>
      </c>
      <c r="C239" s="247" t="s">
        <v>1004</v>
      </c>
      <c r="D239" s="182" t="s">
        <v>25</v>
      </c>
    </row>
    <row r="240">
      <c r="A240" s="245" t="s">
        <v>2641</v>
      </c>
      <c r="B240" s="248">
        <v>45.0</v>
      </c>
      <c r="C240" s="247" t="s">
        <v>1004</v>
      </c>
      <c r="D240" s="182" t="s">
        <v>25</v>
      </c>
    </row>
    <row r="241">
      <c r="A241" s="245" t="s">
        <v>2642</v>
      </c>
      <c r="B241" s="248">
        <v>150.0</v>
      </c>
      <c r="C241" s="247" t="s">
        <v>1004</v>
      </c>
      <c r="D241" s="182" t="s">
        <v>25</v>
      </c>
    </row>
    <row r="242">
      <c r="A242" s="245" t="s">
        <v>2643</v>
      </c>
      <c r="B242" s="248">
        <v>45.0</v>
      </c>
      <c r="C242" s="247" t="s">
        <v>1004</v>
      </c>
      <c r="D242" s="182" t="s">
        <v>25</v>
      </c>
    </row>
    <row r="243">
      <c r="A243" s="245" t="s">
        <v>2644</v>
      </c>
      <c r="B243" s="248">
        <v>90.0</v>
      </c>
      <c r="C243" s="247" t="s">
        <v>1004</v>
      </c>
      <c r="D243" s="182" t="s">
        <v>25</v>
      </c>
    </row>
    <row r="244">
      <c r="A244" s="245" t="s">
        <v>2645</v>
      </c>
      <c r="B244" s="248">
        <v>90.0</v>
      </c>
      <c r="C244" s="247" t="s">
        <v>1004</v>
      </c>
      <c r="D244" s="182" t="s">
        <v>25</v>
      </c>
    </row>
    <row r="245">
      <c r="A245" s="245" t="s">
        <v>2646</v>
      </c>
      <c r="B245" s="248">
        <v>22.0</v>
      </c>
      <c r="C245" s="247" t="s">
        <v>1004</v>
      </c>
      <c r="D245" s="182" t="s">
        <v>25</v>
      </c>
    </row>
    <row r="246">
      <c r="A246" s="245" t="s">
        <v>2647</v>
      </c>
      <c r="B246" s="248">
        <v>22.0</v>
      </c>
      <c r="C246" s="247" t="s">
        <v>1004</v>
      </c>
      <c r="D246" s="182" t="s">
        <v>25</v>
      </c>
    </row>
    <row r="247">
      <c r="A247" s="245" t="s">
        <v>2648</v>
      </c>
      <c r="B247" s="248">
        <v>45.0</v>
      </c>
      <c r="C247" s="247" t="s">
        <v>1004</v>
      </c>
      <c r="D247" s="182" t="s">
        <v>25</v>
      </c>
    </row>
    <row r="248">
      <c r="A248" s="245" t="s">
        <v>2649</v>
      </c>
      <c r="B248" s="248">
        <v>135.0</v>
      </c>
      <c r="C248" s="247" t="s">
        <v>1004</v>
      </c>
      <c r="D248" s="182" t="s">
        <v>25</v>
      </c>
    </row>
    <row r="249">
      <c r="A249" s="245" t="s">
        <v>2650</v>
      </c>
      <c r="B249" s="248">
        <v>1275.0</v>
      </c>
      <c r="C249" s="247" t="s">
        <v>1004</v>
      </c>
      <c r="D249" s="182" t="s">
        <v>25</v>
      </c>
    </row>
    <row r="250">
      <c r="A250" s="245" t="s">
        <v>2651</v>
      </c>
      <c r="B250" s="248">
        <v>45.0</v>
      </c>
      <c r="C250" s="247" t="s">
        <v>1004</v>
      </c>
      <c r="D250" s="182" t="s">
        <v>25</v>
      </c>
    </row>
    <row r="251">
      <c r="A251" s="245" t="s">
        <v>2652</v>
      </c>
      <c r="B251" s="248">
        <v>22.0</v>
      </c>
      <c r="C251" s="247" t="s">
        <v>1004</v>
      </c>
      <c r="D251" s="182" t="s">
        <v>25</v>
      </c>
    </row>
    <row r="252">
      <c r="A252" s="245" t="s">
        <v>2653</v>
      </c>
      <c r="B252" s="248">
        <v>22.0</v>
      </c>
      <c r="C252" s="247" t="s">
        <v>1004</v>
      </c>
      <c r="D252" s="182" t="s">
        <v>25</v>
      </c>
    </row>
    <row r="253">
      <c r="A253" s="245" t="s">
        <v>2654</v>
      </c>
      <c r="B253" s="248">
        <v>270.0</v>
      </c>
      <c r="C253" s="247" t="s">
        <v>1004</v>
      </c>
      <c r="D253" s="182" t="s">
        <v>25</v>
      </c>
    </row>
    <row r="254">
      <c r="A254" s="245" t="s">
        <v>2655</v>
      </c>
      <c r="B254" s="248">
        <v>200.0</v>
      </c>
      <c r="C254" s="247" t="s">
        <v>1004</v>
      </c>
      <c r="D254" s="182" t="s">
        <v>25</v>
      </c>
    </row>
    <row r="255">
      <c r="A255" s="245" t="s">
        <v>2656</v>
      </c>
      <c r="B255" s="248">
        <v>18.0</v>
      </c>
      <c r="C255" s="247" t="s">
        <v>1004</v>
      </c>
      <c r="D255" s="182" t="s">
        <v>25</v>
      </c>
    </row>
    <row r="256">
      <c r="A256" s="245" t="s">
        <v>2657</v>
      </c>
      <c r="B256" s="248">
        <v>18.0</v>
      </c>
      <c r="C256" s="247" t="s">
        <v>1004</v>
      </c>
      <c r="D256" s="182" t="s">
        <v>25</v>
      </c>
    </row>
    <row r="257">
      <c r="A257" s="245" t="s">
        <v>2658</v>
      </c>
      <c r="B257" s="248">
        <v>18.0</v>
      </c>
      <c r="C257" s="247" t="s">
        <v>1004</v>
      </c>
      <c r="D257" s="182" t="s">
        <v>25</v>
      </c>
    </row>
    <row r="258">
      <c r="A258" s="245" t="s">
        <v>2659</v>
      </c>
      <c r="B258" s="248">
        <v>18.0</v>
      </c>
      <c r="C258" s="247" t="s">
        <v>1004</v>
      </c>
      <c r="D258" s="182" t="s">
        <v>25</v>
      </c>
    </row>
    <row r="259">
      <c r="A259" s="245" t="s">
        <v>2660</v>
      </c>
      <c r="B259" s="248">
        <v>18.0</v>
      </c>
      <c r="C259" s="247" t="s">
        <v>1004</v>
      </c>
      <c r="D259" s="182" t="s">
        <v>25</v>
      </c>
    </row>
    <row r="260">
      <c r="A260" s="245" t="s">
        <v>2661</v>
      </c>
      <c r="B260" s="248">
        <v>400.0</v>
      </c>
      <c r="C260" s="247" t="s">
        <v>1004</v>
      </c>
      <c r="D260" s="182" t="s">
        <v>25</v>
      </c>
    </row>
    <row r="261">
      <c r="A261" s="245" t="s">
        <v>2662</v>
      </c>
      <c r="B261" s="248">
        <v>400.0</v>
      </c>
      <c r="C261" s="247" t="s">
        <v>1004</v>
      </c>
      <c r="D261" s="182" t="s">
        <v>25</v>
      </c>
    </row>
    <row r="262">
      <c r="A262" s="245" t="s">
        <v>2663</v>
      </c>
      <c r="B262" s="248">
        <v>270.0</v>
      </c>
      <c r="C262" s="247" t="s">
        <v>1004</v>
      </c>
      <c r="D262" s="182" t="s">
        <v>25</v>
      </c>
    </row>
    <row r="263">
      <c r="A263" s="245" t="s">
        <v>2664</v>
      </c>
      <c r="B263" s="248">
        <v>135.0</v>
      </c>
      <c r="C263" s="247" t="s">
        <v>1004</v>
      </c>
      <c r="D263" s="182" t="s">
        <v>25</v>
      </c>
    </row>
    <row r="264">
      <c r="A264" s="245" t="s">
        <v>2665</v>
      </c>
      <c r="B264" s="248">
        <v>15.0</v>
      </c>
      <c r="C264" s="247" t="s">
        <v>1004</v>
      </c>
      <c r="D264" s="182" t="s">
        <v>25</v>
      </c>
    </row>
    <row r="265">
      <c r="A265" s="245" t="s">
        <v>2666</v>
      </c>
      <c r="B265" s="248">
        <v>15.0</v>
      </c>
      <c r="C265" s="247" t="s">
        <v>1004</v>
      </c>
      <c r="D265" s="182" t="s">
        <v>25</v>
      </c>
    </row>
    <row r="266">
      <c r="A266" s="245" t="s">
        <v>2667</v>
      </c>
      <c r="B266" s="248">
        <v>15.0</v>
      </c>
      <c r="C266" s="247" t="s">
        <v>1004</v>
      </c>
      <c r="D266" s="182" t="s">
        <v>25</v>
      </c>
    </row>
    <row r="267">
      <c r="A267" s="245" t="s">
        <v>2668</v>
      </c>
      <c r="B267" s="248">
        <v>15.0</v>
      </c>
      <c r="C267" s="247" t="s">
        <v>1004</v>
      </c>
      <c r="D267" s="182" t="s">
        <v>25</v>
      </c>
    </row>
    <row r="268">
      <c r="A268" s="245" t="s">
        <v>2669</v>
      </c>
      <c r="B268" s="248">
        <v>15.0</v>
      </c>
      <c r="C268" s="247" t="s">
        <v>1004</v>
      </c>
      <c r="D268" s="182" t="s">
        <v>25</v>
      </c>
    </row>
    <row r="269">
      <c r="A269" s="245" t="s">
        <v>2670</v>
      </c>
      <c r="B269" s="248">
        <v>15.0</v>
      </c>
      <c r="C269" s="247" t="s">
        <v>1004</v>
      </c>
      <c r="D269" s="182" t="s">
        <v>25</v>
      </c>
    </row>
    <row r="270">
      <c r="A270" s="245" t="s">
        <v>2671</v>
      </c>
      <c r="B270" s="248">
        <v>90.0</v>
      </c>
      <c r="C270" s="247" t="s">
        <v>1004</v>
      </c>
      <c r="D270" s="182" t="s">
        <v>25</v>
      </c>
    </row>
    <row r="271">
      <c r="A271" s="245" t="s">
        <v>2672</v>
      </c>
      <c r="B271" s="248">
        <v>50.0</v>
      </c>
      <c r="C271" s="247" t="s">
        <v>1004</v>
      </c>
      <c r="D271" s="182" t="s">
        <v>25</v>
      </c>
    </row>
    <row r="272">
      <c r="A272" s="245" t="s">
        <v>2673</v>
      </c>
      <c r="B272" s="248">
        <v>25.0</v>
      </c>
      <c r="C272" s="247" t="s">
        <v>1004</v>
      </c>
      <c r="D272" s="182" t="s">
        <v>25</v>
      </c>
    </row>
    <row r="273">
      <c r="A273" s="245" t="s">
        <v>2674</v>
      </c>
      <c r="B273" s="248">
        <v>25.0</v>
      </c>
      <c r="C273" s="247" t="s">
        <v>1004</v>
      </c>
      <c r="D273" s="182" t="s">
        <v>25</v>
      </c>
    </row>
    <row r="274">
      <c r="A274" s="245" t="s">
        <v>2675</v>
      </c>
      <c r="B274" s="248">
        <v>180.0</v>
      </c>
      <c r="C274" s="247" t="s">
        <v>1004</v>
      </c>
      <c r="D274" s="182" t="s">
        <v>25</v>
      </c>
    </row>
    <row r="275">
      <c r="A275" s="245" t="s">
        <v>2676</v>
      </c>
      <c r="B275" s="248">
        <v>100.0</v>
      </c>
      <c r="C275" s="247" t="s">
        <v>1004</v>
      </c>
      <c r="D275" s="182" t="s">
        <v>25</v>
      </c>
    </row>
    <row r="276">
      <c r="A276" s="245" t="s">
        <v>2677</v>
      </c>
      <c r="B276" s="248">
        <v>150.0</v>
      </c>
      <c r="C276" s="247" t="s">
        <v>1004</v>
      </c>
      <c r="D276" s="182" t="s">
        <v>25</v>
      </c>
    </row>
    <row r="277">
      <c r="A277" s="245" t="s">
        <v>2678</v>
      </c>
      <c r="B277" s="248">
        <v>100.0</v>
      </c>
      <c r="C277" s="247" t="s">
        <v>1004</v>
      </c>
      <c r="D277" s="182" t="s">
        <v>25</v>
      </c>
    </row>
    <row r="278">
      <c r="A278" s="255" t="s">
        <v>968</v>
      </c>
      <c r="B278" s="248">
        <v>50.0</v>
      </c>
      <c r="C278" s="247" t="s">
        <v>1004</v>
      </c>
      <c r="D278" s="182" t="s">
        <v>25</v>
      </c>
    </row>
    <row r="279">
      <c r="A279" s="245" t="s">
        <v>2679</v>
      </c>
      <c r="B279" s="248">
        <v>100.0</v>
      </c>
      <c r="C279" s="247" t="s">
        <v>1004</v>
      </c>
      <c r="D279" s="182" t="s">
        <v>25</v>
      </c>
    </row>
    <row r="280">
      <c r="A280" s="245" t="s">
        <v>2680</v>
      </c>
      <c r="B280" s="248">
        <v>225.0</v>
      </c>
      <c r="C280" s="247" t="s">
        <v>1004</v>
      </c>
      <c r="D280" s="182" t="s">
        <v>25</v>
      </c>
    </row>
    <row r="281">
      <c r="A281" s="245" t="s">
        <v>2681</v>
      </c>
      <c r="B281" s="248">
        <v>135.0</v>
      </c>
      <c r="C281" s="247" t="s">
        <v>1004</v>
      </c>
      <c r="D281" s="182" t="s">
        <v>25</v>
      </c>
    </row>
    <row r="282">
      <c r="A282" s="245" t="s">
        <v>2682</v>
      </c>
      <c r="B282" s="248">
        <v>135.0</v>
      </c>
      <c r="C282" s="247" t="s">
        <v>1004</v>
      </c>
      <c r="D282" s="182" t="s">
        <v>25</v>
      </c>
    </row>
    <row r="283">
      <c r="A283" s="245" t="s">
        <v>2683</v>
      </c>
      <c r="B283" s="248">
        <v>150.0</v>
      </c>
      <c r="C283" s="247" t="s">
        <v>1004</v>
      </c>
      <c r="D283" s="182" t="s">
        <v>25</v>
      </c>
    </row>
    <row r="284">
      <c r="A284" s="245" t="s">
        <v>2684</v>
      </c>
      <c r="B284" s="248">
        <v>90.0</v>
      </c>
      <c r="C284" s="247" t="s">
        <v>1004</v>
      </c>
      <c r="D284" s="182" t="s">
        <v>25</v>
      </c>
    </row>
    <row r="285">
      <c r="A285" s="245" t="s">
        <v>2685</v>
      </c>
      <c r="B285" s="248">
        <v>45.0</v>
      </c>
      <c r="C285" s="247" t="s">
        <v>1004</v>
      </c>
      <c r="D285" s="182" t="s">
        <v>25</v>
      </c>
    </row>
    <row r="286">
      <c r="A286" s="245" t="s">
        <v>2686</v>
      </c>
      <c r="B286" s="248">
        <v>90.0</v>
      </c>
      <c r="C286" s="247" t="s">
        <v>1004</v>
      </c>
      <c r="D286" s="182" t="s">
        <v>25</v>
      </c>
    </row>
    <row r="287">
      <c r="A287" s="245" t="s">
        <v>2687</v>
      </c>
      <c r="B287" s="248">
        <v>45.0</v>
      </c>
      <c r="C287" s="247" t="s">
        <v>1004</v>
      </c>
      <c r="D287" s="182" t="s">
        <v>25</v>
      </c>
    </row>
    <row r="288">
      <c r="A288" s="245" t="s">
        <v>2688</v>
      </c>
      <c r="B288" s="248">
        <v>45.0</v>
      </c>
      <c r="C288" s="247" t="s">
        <v>1004</v>
      </c>
      <c r="D288" s="182" t="s">
        <v>25</v>
      </c>
    </row>
    <row r="289">
      <c r="A289" s="245" t="s">
        <v>2689</v>
      </c>
      <c r="B289" s="248">
        <v>22.0</v>
      </c>
      <c r="C289" s="247" t="s">
        <v>1004</v>
      </c>
      <c r="D289" s="182" t="s">
        <v>25</v>
      </c>
    </row>
    <row r="290">
      <c r="A290" s="245" t="s">
        <v>2690</v>
      </c>
      <c r="B290" s="248">
        <v>12.0</v>
      </c>
      <c r="C290" s="247" t="s">
        <v>1004</v>
      </c>
      <c r="D290" s="182" t="s">
        <v>25</v>
      </c>
    </row>
    <row r="291">
      <c r="A291" s="245" t="s">
        <v>2691</v>
      </c>
      <c r="B291" s="248">
        <v>12.0</v>
      </c>
      <c r="C291" s="247" t="s">
        <v>1004</v>
      </c>
      <c r="D291" s="182" t="s">
        <v>25</v>
      </c>
    </row>
    <row r="292">
      <c r="A292" s="245" t="s">
        <v>2692</v>
      </c>
      <c r="B292" s="248">
        <v>500.0</v>
      </c>
      <c r="C292" s="247" t="s">
        <v>1004</v>
      </c>
      <c r="D292" s="182" t="s">
        <v>25</v>
      </c>
    </row>
    <row r="293">
      <c r="A293" s="245" t="s">
        <v>2693</v>
      </c>
      <c r="B293" s="248">
        <v>135.0</v>
      </c>
      <c r="C293" s="247" t="s">
        <v>1004</v>
      </c>
      <c r="D293" s="182" t="s">
        <v>25</v>
      </c>
    </row>
    <row r="294">
      <c r="A294" s="245" t="s">
        <v>2694</v>
      </c>
      <c r="B294" s="248">
        <v>12.0</v>
      </c>
      <c r="C294" s="247" t="s">
        <v>1004</v>
      </c>
      <c r="D294" s="182" t="s">
        <v>25</v>
      </c>
    </row>
    <row r="295">
      <c r="A295" s="245" t="s">
        <v>2695</v>
      </c>
      <c r="B295" s="248">
        <v>12.0</v>
      </c>
      <c r="C295" s="247" t="s">
        <v>1004</v>
      </c>
      <c r="D295" s="182" t="s">
        <v>25</v>
      </c>
    </row>
    <row r="296">
      <c r="A296" s="245" t="s">
        <v>2696</v>
      </c>
      <c r="B296" s="248">
        <v>12.0</v>
      </c>
      <c r="C296" s="247" t="s">
        <v>1004</v>
      </c>
      <c r="D296" s="182" t="s">
        <v>25</v>
      </c>
    </row>
    <row r="297">
      <c r="A297" s="245" t="s">
        <v>2697</v>
      </c>
      <c r="B297" s="248">
        <v>350.0</v>
      </c>
      <c r="C297" s="247" t="s">
        <v>1004</v>
      </c>
      <c r="D297" s="182" t="s">
        <v>25</v>
      </c>
    </row>
    <row r="298">
      <c r="A298" s="245" t="s">
        <v>2698</v>
      </c>
      <c r="B298" s="248">
        <v>225.0</v>
      </c>
      <c r="C298" s="247" t="s">
        <v>1004</v>
      </c>
      <c r="D298" s="182" t="s">
        <v>25</v>
      </c>
    </row>
    <row r="299">
      <c r="A299" s="245" t="s">
        <v>2699</v>
      </c>
      <c r="B299" s="248">
        <v>270.0</v>
      </c>
      <c r="C299" s="247" t="s">
        <v>1004</v>
      </c>
      <c r="D299" s="182" t="s">
        <v>25</v>
      </c>
    </row>
    <row r="300">
      <c r="A300" s="245" t="s">
        <v>2700</v>
      </c>
      <c r="B300" s="248">
        <v>180.0</v>
      </c>
      <c r="C300" s="247" t="s">
        <v>1004</v>
      </c>
      <c r="D300" s="182" t="s">
        <v>25</v>
      </c>
    </row>
    <row r="301">
      <c r="A301" s="245" t="s">
        <v>2701</v>
      </c>
      <c r="B301" s="248">
        <v>45.0</v>
      </c>
      <c r="C301" s="247" t="s">
        <v>1004</v>
      </c>
      <c r="D301" s="182" t="s">
        <v>25</v>
      </c>
    </row>
    <row r="302">
      <c r="A302" s="245" t="s">
        <v>2702</v>
      </c>
      <c r="B302" s="248">
        <v>225.0</v>
      </c>
      <c r="C302" s="247" t="s">
        <v>1004</v>
      </c>
      <c r="D302" s="182" t="s">
        <v>25</v>
      </c>
    </row>
    <row r="303">
      <c r="A303" s="245" t="s">
        <v>2703</v>
      </c>
      <c r="B303" s="248">
        <v>90.0</v>
      </c>
      <c r="C303" s="247" t="s">
        <v>1004</v>
      </c>
      <c r="D303" s="182" t="s">
        <v>25</v>
      </c>
    </row>
    <row r="304">
      <c r="A304" s="245" t="s">
        <v>2704</v>
      </c>
      <c r="B304" s="248">
        <v>22.0</v>
      </c>
      <c r="C304" s="247" t="s">
        <v>1004</v>
      </c>
      <c r="D304" s="182" t="s">
        <v>25</v>
      </c>
    </row>
    <row r="305">
      <c r="A305" s="245" t="s">
        <v>2705</v>
      </c>
      <c r="B305" s="248">
        <v>22.0</v>
      </c>
      <c r="C305" s="247" t="s">
        <v>1004</v>
      </c>
      <c r="D305" s="182" t="s">
        <v>25</v>
      </c>
    </row>
    <row r="306">
      <c r="A306" s="245" t="s">
        <v>2706</v>
      </c>
      <c r="B306" s="248">
        <v>55.0</v>
      </c>
      <c r="C306" s="247" t="s">
        <v>1004</v>
      </c>
      <c r="D306" s="182" t="s">
        <v>25</v>
      </c>
    </row>
    <row r="307">
      <c r="A307" s="245" t="s">
        <v>2707</v>
      </c>
      <c r="B307" s="248">
        <v>150.0</v>
      </c>
      <c r="C307" s="247" t="s">
        <v>1004</v>
      </c>
      <c r="D307" s="182" t="s">
        <v>25</v>
      </c>
    </row>
    <row r="308">
      <c r="A308" s="245" t="s">
        <v>2708</v>
      </c>
      <c r="B308" s="248">
        <v>200.0</v>
      </c>
      <c r="C308" s="247" t="s">
        <v>1004</v>
      </c>
      <c r="D308" s="182" t="s">
        <v>25</v>
      </c>
    </row>
    <row r="309">
      <c r="A309" s="245" t="s">
        <v>2709</v>
      </c>
      <c r="B309" s="248">
        <v>180.0</v>
      </c>
      <c r="C309" s="247" t="s">
        <v>1004</v>
      </c>
      <c r="D309" s="182" t="s">
        <v>25</v>
      </c>
    </row>
    <row r="310">
      <c r="A310" s="245" t="s">
        <v>2710</v>
      </c>
      <c r="B310" s="248">
        <v>270.0</v>
      </c>
      <c r="C310" s="247" t="s">
        <v>1004</v>
      </c>
      <c r="D310" s="182" t="s">
        <v>25</v>
      </c>
    </row>
    <row r="311">
      <c r="A311" s="245" t="s">
        <v>2711</v>
      </c>
      <c r="B311" s="248">
        <v>180.0</v>
      </c>
      <c r="C311" s="247" t="s">
        <v>1004</v>
      </c>
      <c r="D311" s="182" t="s">
        <v>25</v>
      </c>
    </row>
    <row r="312">
      <c r="A312" s="245" t="s">
        <v>2712</v>
      </c>
      <c r="B312" s="248">
        <v>90.0</v>
      </c>
      <c r="C312" s="247" t="s">
        <v>1004</v>
      </c>
      <c r="D312" s="182" t="s">
        <v>25</v>
      </c>
    </row>
    <row r="313">
      <c r="A313" s="245" t="s">
        <v>2713</v>
      </c>
      <c r="B313" s="248">
        <v>45.0</v>
      </c>
      <c r="C313" s="247" t="s">
        <v>1004</v>
      </c>
      <c r="D313" s="182" t="s">
        <v>25</v>
      </c>
    </row>
    <row r="314">
      <c r="A314" s="245" t="s">
        <v>2714</v>
      </c>
      <c r="B314" s="248">
        <v>45.0</v>
      </c>
      <c r="C314" s="247" t="s">
        <v>1004</v>
      </c>
      <c r="D314" s="182" t="s">
        <v>25</v>
      </c>
    </row>
    <row r="315">
      <c r="A315" s="245" t="s">
        <v>2715</v>
      </c>
      <c r="B315" s="248">
        <v>22.0</v>
      </c>
      <c r="C315" s="247" t="s">
        <v>1004</v>
      </c>
      <c r="D315" s="182" t="s">
        <v>25</v>
      </c>
    </row>
    <row r="316">
      <c r="A316" s="245" t="s">
        <v>2716</v>
      </c>
      <c r="B316" s="248">
        <v>22.0</v>
      </c>
      <c r="C316" s="247" t="s">
        <v>1004</v>
      </c>
      <c r="D316" s="182" t="s">
        <v>25</v>
      </c>
    </row>
    <row r="317">
      <c r="A317" s="245" t="s">
        <v>2717</v>
      </c>
      <c r="B317" s="248">
        <v>10.0</v>
      </c>
      <c r="C317" s="247" t="s">
        <v>1004</v>
      </c>
      <c r="D317" s="182" t="s">
        <v>25</v>
      </c>
    </row>
    <row r="318">
      <c r="A318" s="245" t="s">
        <v>2718</v>
      </c>
      <c r="B318" s="248">
        <v>10.0</v>
      </c>
      <c r="C318" s="247" t="s">
        <v>1004</v>
      </c>
      <c r="D318" s="182" t="s">
        <v>25</v>
      </c>
    </row>
    <row r="319">
      <c r="A319" s="245" t="s">
        <v>2719</v>
      </c>
      <c r="B319" s="248">
        <v>10.0</v>
      </c>
      <c r="C319" s="247" t="s">
        <v>1004</v>
      </c>
      <c r="D319" s="182" t="s">
        <v>25</v>
      </c>
    </row>
    <row r="320">
      <c r="A320" s="245" t="s">
        <v>2720</v>
      </c>
      <c r="B320" s="248">
        <v>10.0</v>
      </c>
      <c r="C320" s="247" t="s">
        <v>1004</v>
      </c>
      <c r="D320" s="182" t="s">
        <v>25</v>
      </c>
    </row>
    <row r="321">
      <c r="A321" s="245" t="s">
        <v>2721</v>
      </c>
      <c r="B321" s="248">
        <v>10.0</v>
      </c>
      <c r="C321" s="247" t="s">
        <v>1004</v>
      </c>
      <c r="D321" s="182" t="s">
        <v>25</v>
      </c>
    </row>
    <row r="322">
      <c r="A322" s="245" t="s">
        <v>2722</v>
      </c>
      <c r="B322" s="248">
        <v>45.0</v>
      </c>
      <c r="C322" s="247" t="s">
        <v>1004</v>
      </c>
      <c r="D322" s="182" t="s">
        <v>25</v>
      </c>
    </row>
    <row r="323">
      <c r="A323" s="245" t="s">
        <v>2723</v>
      </c>
      <c r="B323" s="248">
        <v>22.0</v>
      </c>
      <c r="C323" s="247" t="s">
        <v>1004</v>
      </c>
      <c r="D323" s="182" t="s">
        <v>25</v>
      </c>
    </row>
    <row r="324">
      <c r="A324" s="245" t="s">
        <v>2724</v>
      </c>
      <c r="B324" s="248">
        <v>22.0</v>
      </c>
      <c r="C324" s="247" t="s">
        <v>1004</v>
      </c>
      <c r="D324" s="182" t="s">
        <v>25</v>
      </c>
    </row>
    <row r="325">
      <c r="A325" s="245" t="s">
        <v>2725</v>
      </c>
      <c r="B325" s="248">
        <v>180.0</v>
      </c>
      <c r="C325" s="247" t="s">
        <v>1004</v>
      </c>
      <c r="D325" s="182" t="s">
        <v>25</v>
      </c>
    </row>
    <row r="326">
      <c r="A326" s="245" t="s">
        <v>2726</v>
      </c>
      <c r="B326" s="248">
        <v>500.0</v>
      </c>
      <c r="C326" s="247" t="s">
        <v>1004</v>
      </c>
      <c r="D326" s="182" t="s">
        <v>25</v>
      </c>
    </row>
    <row r="327">
      <c r="A327" s="245" t="s">
        <v>2727</v>
      </c>
      <c r="B327" s="248">
        <v>22.0</v>
      </c>
      <c r="C327" s="247" t="s">
        <v>1004</v>
      </c>
      <c r="D327" s="182" t="s">
        <v>25</v>
      </c>
    </row>
    <row r="328">
      <c r="A328" s="245" t="s">
        <v>2728</v>
      </c>
      <c r="B328" s="248">
        <v>22.0</v>
      </c>
      <c r="C328" s="247" t="s">
        <v>1004</v>
      </c>
      <c r="D328" s="182" t="s">
        <v>25</v>
      </c>
    </row>
    <row r="329">
      <c r="A329" s="245" t="s">
        <v>2729</v>
      </c>
      <c r="B329" s="248">
        <v>90.0</v>
      </c>
      <c r="C329" s="247" t="s">
        <v>1004</v>
      </c>
      <c r="D329" s="182" t="s">
        <v>25</v>
      </c>
    </row>
    <row r="330">
      <c r="A330" s="245" t="s">
        <v>2730</v>
      </c>
      <c r="B330" s="248">
        <v>45.0</v>
      </c>
      <c r="C330" s="247" t="s">
        <v>1004</v>
      </c>
      <c r="D330" s="182" t="s">
        <v>25</v>
      </c>
    </row>
    <row r="331">
      <c r="A331" s="245" t="s">
        <v>2723</v>
      </c>
      <c r="B331" s="248">
        <v>90.0</v>
      </c>
      <c r="C331" s="247" t="s">
        <v>1004</v>
      </c>
      <c r="D331" s="182" t="s">
        <v>25</v>
      </c>
    </row>
    <row r="332">
      <c r="A332" s="245" t="s">
        <v>2731</v>
      </c>
      <c r="B332" s="248">
        <v>45.0</v>
      </c>
      <c r="C332" s="247" t="s">
        <v>1004</v>
      </c>
      <c r="D332" s="182" t="s">
        <v>25</v>
      </c>
    </row>
    <row r="333">
      <c r="A333" s="245" t="s">
        <v>2732</v>
      </c>
      <c r="B333" s="248">
        <v>22.0</v>
      </c>
      <c r="C333" s="247" t="s">
        <v>1004</v>
      </c>
      <c r="D333" s="182" t="s">
        <v>25</v>
      </c>
    </row>
    <row r="334">
      <c r="A334" s="245" t="s">
        <v>2733</v>
      </c>
      <c r="B334" s="248">
        <v>5.5</v>
      </c>
      <c r="C334" s="247" t="s">
        <v>1004</v>
      </c>
      <c r="D334" s="182" t="s">
        <v>25</v>
      </c>
    </row>
    <row r="335">
      <c r="A335" s="245" t="s">
        <v>2734</v>
      </c>
      <c r="B335" s="248">
        <v>5.5</v>
      </c>
      <c r="C335" s="247" t="s">
        <v>1004</v>
      </c>
      <c r="D335" s="182" t="s">
        <v>25</v>
      </c>
    </row>
    <row r="336">
      <c r="A336" s="245" t="s">
        <v>2735</v>
      </c>
      <c r="B336" s="248">
        <v>5.5</v>
      </c>
      <c r="C336" s="247" t="s">
        <v>1004</v>
      </c>
      <c r="D336" s="182" t="s">
        <v>25</v>
      </c>
    </row>
    <row r="337">
      <c r="A337" s="245" t="s">
        <v>2736</v>
      </c>
      <c r="B337" s="248">
        <v>5.5</v>
      </c>
      <c r="C337" s="247" t="s">
        <v>1004</v>
      </c>
      <c r="D337" s="182" t="s">
        <v>25</v>
      </c>
    </row>
    <row r="338">
      <c r="A338" s="245" t="s">
        <v>2737</v>
      </c>
      <c r="B338" s="248">
        <v>450.0</v>
      </c>
      <c r="C338" s="247" t="s">
        <v>1004</v>
      </c>
      <c r="D338" s="182" t="s">
        <v>25</v>
      </c>
    </row>
    <row r="339">
      <c r="A339" s="245" t="s">
        <v>2738</v>
      </c>
      <c r="B339" s="248">
        <v>90.0</v>
      </c>
      <c r="C339" s="247" t="s">
        <v>1004</v>
      </c>
      <c r="D339" s="182" t="s">
        <v>25</v>
      </c>
    </row>
    <row r="340">
      <c r="A340" s="245" t="s">
        <v>2739</v>
      </c>
      <c r="B340" s="248">
        <v>100.0</v>
      </c>
      <c r="C340" s="247" t="s">
        <v>1004</v>
      </c>
      <c r="D340" s="182" t="s">
        <v>25</v>
      </c>
    </row>
    <row r="341">
      <c r="A341" s="245" t="s">
        <v>2740</v>
      </c>
      <c r="B341" s="248">
        <v>50.0</v>
      </c>
      <c r="C341" s="247" t="s">
        <v>1004</v>
      </c>
      <c r="D341" s="182" t="s">
        <v>25</v>
      </c>
    </row>
    <row r="342">
      <c r="A342" s="245" t="s">
        <v>2418</v>
      </c>
      <c r="B342" s="248">
        <v>22.17</v>
      </c>
      <c r="C342" s="247" t="s">
        <v>867</v>
      </c>
      <c r="D342" s="182" t="s">
        <v>25</v>
      </c>
    </row>
    <row r="343">
      <c r="A343" s="245" t="s">
        <v>2741</v>
      </c>
      <c r="B343" s="248">
        <v>1600.0</v>
      </c>
      <c r="C343" s="247" t="s">
        <v>1004</v>
      </c>
      <c r="D343" s="182" t="s">
        <v>25</v>
      </c>
    </row>
    <row r="344">
      <c r="A344" s="245" t="s">
        <v>2742</v>
      </c>
      <c r="B344" s="248">
        <v>150.0</v>
      </c>
      <c r="C344" s="247" t="s">
        <v>1004</v>
      </c>
      <c r="D344" s="182" t="s">
        <v>25</v>
      </c>
    </row>
    <row r="345">
      <c r="A345" s="245" t="s">
        <v>2743</v>
      </c>
      <c r="B345" s="248">
        <v>135.0</v>
      </c>
      <c r="C345" s="247" t="s">
        <v>1004</v>
      </c>
      <c r="D345" s="182" t="s">
        <v>25</v>
      </c>
    </row>
    <row r="346">
      <c r="A346" s="245" t="s">
        <v>2744</v>
      </c>
      <c r="B346" s="248">
        <v>150.0</v>
      </c>
      <c r="C346" s="247" t="s">
        <v>1004</v>
      </c>
      <c r="D346" s="182" t="s">
        <v>25</v>
      </c>
    </row>
    <row r="347">
      <c r="A347" s="245" t="s">
        <v>2745</v>
      </c>
      <c r="B347" s="248">
        <v>100.0</v>
      </c>
      <c r="C347" s="247" t="s">
        <v>1004</v>
      </c>
      <c r="D347" s="182" t="s">
        <v>25</v>
      </c>
    </row>
    <row r="348">
      <c r="A348" s="245" t="s">
        <v>2746</v>
      </c>
      <c r="B348" s="248">
        <v>15.0</v>
      </c>
      <c r="C348" s="247" t="s">
        <v>1004</v>
      </c>
      <c r="D348" s="182" t="s">
        <v>25</v>
      </c>
    </row>
    <row r="349">
      <c r="A349" s="245" t="s">
        <v>2747</v>
      </c>
      <c r="B349" s="248">
        <v>15.0</v>
      </c>
      <c r="C349" s="247" t="s">
        <v>1004</v>
      </c>
      <c r="D349" s="182" t="s">
        <v>25</v>
      </c>
    </row>
    <row r="350">
      <c r="A350" s="245" t="s">
        <v>2748</v>
      </c>
      <c r="B350" s="248">
        <v>15.0</v>
      </c>
      <c r="C350" s="247" t="s">
        <v>1004</v>
      </c>
      <c r="D350" s="182" t="s">
        <v>25</v>
      </c>
    </row>
    <row r="351">
      <c r="A351" s="245" t="s">
        <v>2749</v>
      </c>
      <c r="B351" s="248">
        <v>100.0</v>
      </c>
      <c r="C351" s="247" t="s">
        <v>1004</v>
      </c>
      <c r="D351" s="182" t="s">
        <v>25</v>
      </c>
    </row>
    <row r="352">
      <c r="A352" s="245" t="s">
        <v>2750</v>
      </c>
      <c r="B352" s="248">
        <v>360.0</v>
      </c>
      <c r="C352" s="247" t="s">
        <v>1004</v>
      </c>
      <c r="D352" s="182" t="s">
        <v>25</v>
      </c>
    </row>
    <row r="353">
      <c r="A353" s="245" t="s">
        <v>2751</v>
      </c>
      <c r="B353" s="248">
        <v>315.0</v>
      </c>
      <c r="C353" s="247" t="s">
        <v>1004</v>
      </c>
      <c r="D353" s="182" t="s">
        <v>25</v>
      </c>
    </row>
    <row r="354">
      <c r="A354" s="245" t="s">
        <v>2752</v>
      </c>
      <c r="B354" s="248">
        <v>45.0</v>
      </c>
      <c r="C354" s="247" t="s">
        <v>1004</v>
      </c>
      <c r="D354" s="182" t="s">
        <v>25</v>
      </c>
    </row>
    <row r="355">
      <c r="A355" s="245" t="s">
        <v>2753</v>
      </c>
      <c r="B355" s="248">
        <v>90.0</v>
      </c>
      <c r="C355" s="247" t="s">
        <v>1004</v>
      </c>
      <c r="D355" s="182" t="s">
        <v>25</v>
      </c>
    </row>
    <row r="356">
      <c r="A356" s="245" t="s">
        <v>2754</v>
      </c>
      <c r="B356" s="248">
        <v>100.0</v>
      </c>
      <c r="C356" s="247" t="s">
        <v>1004</v>
      </c>
      <c r="D356" s="182" t="s">
        <v>25</v>
      </c>
    </row>
    <row r="357">
      <c r="A357" s="245" t="s">
        <v>2755</v>
      </c>
      <c r="B357" s="248">
        <v>50.0</v>
      </c>
      <c r="C357" s="247" t="s">
        <v>1004</v>
      </c>
      <c r="D357" s="182" t="s">
        <v>25</v>
      </c>
    </row>
    <row r="358">
      <c r="A358" s="245" t="s">
        <v>2756</v>
      </c>
      <c r="B358" s="248">
        <v>15.0</v>
      </c>
      <c r="C358" s="247" t="s">
        <v>1004</v>
      </c>
      <c r="D358" s="182" t="s">
        <v>25</v>
      </c>
    </row>
    <row r="359">
      <c r="A359" s="245" t="s">
        <v>2757</v>
      </c>
      <c r="B359" s="248">
        <v>10.0</v>
      </c>
      <c r="C359" s="247" t="s">
        <v>1004</v>
      </c>
      <c r="D359" s="182" t="s">
        <v>25</v>
      </c>
    </row>
    <row r="360">
      <c r="A360" s="245" t="s">
        <v>2758</v>
      </c>
      <c r="B360" s="248">
        <v>10.0</v>
      </c>
      <c r="C360" s="247" t="s">
        <v>1004</v>
      </c>
      <c r="D360" s="182" t="s">
        <v>25</v>
      </c>
    </row>
    <row r="361">
      <c r="A361" s="245" t="s">
        <v>2759</v>
      </c>
      <c r="B361" s="248">
        <v>10.0</v>
      </c>
      <c r="C361" s="247" t="s">
        <v>1004</v>
      </c>
      <c r="D361" s="182" t="s">
        <v>25</v>
      </c>
    </row>
    <row r="362">
      <c r="A362" s="245" t="s">
        <v>2760</v>
      </c>
      <c r="B362" s="248">
        <v>10.0</v>
      </c>
      <c r="C362" s="247" t="s">
        <v>1004</v>
      </c>
      <c r="D362" s="182" t="s">
        <v>25</v>
      </c>
    </row>
    <row r="363">
      <c r="A363" s="245" t="s">
        <v>2761</v>
      </c>
      <c r="B363" s="248">
        <v>10.0</v>
      </c>
      <c r="C363" s="247" t="s">
        <v>1004</v>
      </c>
      <c r="D363" s="182" t="s">
        <v>25</v>
      </c>
    </row>
    <row r="364">
      <c r="A364" s="245" t="s">
        <v>2762</v>
      </c>
      <c r="B364" s="248">
        <v>10.0</v>
      </c>
      <c r="C364" s="247" t="s">
        <v>1004</v>
      </c>
      <c r="D364" s="182" t="s">
        <v>25</v>
      </c>
    </row>
    <row r="365">
      <c r="A365" s="245" t="s">
        <v>2763</v>
      </c>
      <c r="B365" s="248">
        <v>10.0</v>
      </c>
      <c r="C365" s="247" t="s">
        <v>1004</v>
      </c>
      <c r="D365" s="182" t="s">
        <v>25</v>
      </c>
    </row>
    <row r="366">
      <c r="A366" s="245" t="s">
        <v>2764</v>
      </c>
      <c r="B366" s="248">
        <v>10.0</v>
      </c>
      <c r="C366" s="247" t="s">
        <v>1004</v>
      </c>
      <c r="D366" s="182" t="s">
        <v>25</v>
      </c>
    </row>
    <row r="367">
      <c r="A367" s="245" t="s">
        <v>2765</v>
      </c>
      <c r="B367" s="248">
        <v>10.0</v>
      </c>
      <c r="C367" s="247" t="s">
        <v>1004</v>
      </c>
      <c r="D367" s="182" t="s">
        <v>25</v>
      </c>
    </row>
    <row r="368">
      <c r="A368" s="245" t="s">
        <v>2766</v>
      </c>
      <c r="B368" s="248">
        <v>10.0</v>
      </c>
      <c r="C368" s="247" t="s">
        <v>1004</v>
      </c>
      <c r="D368" s="182" t="s">
        <v>25</v>
      </c>
    </row>
    <row r="369">
      <c r="A369" s="245" t="s">
        <v>2767</v>
      </c>
      <c r="B369" s="248">
        <v>97.0</v>
      </c>
      <c r="C369" s="247" t="s">
        <v>1004</v>
      </c>
      <c r="D369" s="182" t="s">
        <v>25</v>
      </c>
    </row>
    <row r="370">
      <c r="A370" s="245" t="s">
        <v>2768</v>
      </c>
      <c r="B370" s="248">
        <v>450.0</v>
      </c>
      <c r="C370" s="247" t="s">
        <v>1004</v>
      </c>
      <c r="D370" s="182" t="s">
        <v>25</v>
      </c>
    </row>
    <row r="371">
      <c r="A371" s="245" t="s">
        <v>2769</v>
      </c>
      <c r="B371" s="248">
        <v>150.0</v>
      </c>
      <c r="C371" s="247" t="s">
        <v>1004</v>
      </c>
      <c r="D371" s="182" t="s">
        <v>25</v>
      </c>
    </row>
    <row r="372">
      <c r="A372" s="245" t="s">
        <v>2770</v>
      </c>
      <c r="B372" s="248">
        <v>45.0</v>
      </c>
      <c r="C372" s="247" t="s">
        <v>1004</v>
      </c>
      <c r="D372" s="182" t="s">
        <v>25</v>
      </c>
    </row>
    <row r="373">
      <c r="A373" s="245" t="s">
        <v>2771</v>
      </c>
      <c r="B373" s="248">
        <v>25.0</v>
      </c>
      <c r="C373" s="247" t="s">
        <v>1004</v>
      </c>
      <c r="D373" s="182" t="s">
        <v>25</v>
      </c>
    </row>
    <row r="374">
      <c r="A374" s="245" t="s">
        <v>2772</v>
      </c>
      <c r="B374" s="248">
        <v>25.0</v>
      </c>
      <c r="C374" s="247" t="s">
        <v>1004</v>
      </c>
      <c r="D374" s="182" t="s">
        <v>25</v>
      </c>
    </row>
    <row r="375">
      <c r="A375" s="245" t="s">
        <v>2773</v>
      </c>
      <c r="B375" s="248">
        <v>495.0</v>
      </c>
      <c r="C375" s="247" t="s">
        <v>1004</v>
      </c>
      <c r="D375" s="182" t="s">
        <v>25</v>
      </c>
    </row>
    <row r="376">
      <c r="A376" s="245" t="s">
        <v>2774</v>
      </c>
      <c r="B376" s="248">
        <v>100.0</v>
      </c>
      <c r="C376" s="247" t="s">
        <v>1004</v>
      </c>
      <c r="D376" s="182" t="s">
        <v>25</v>
      </c>
    </row>
    <row r="377">
      <c r="A377" s="245" t="s">
        <v>2775</v>
      </c>
      <c r="B377" s="248">
        <v>135.0</v>
      </c>
      <c r="C377" s="247" t="s">
        <v>1004</v>
      </c>
      <c r="D377" s="182" t="s">
        <v>25</v>
      </c>
    </row>
    <row r="378">
      <c r="A378" s="245" t="s">
        <v>2776</v>
      </c>
      <c r="B378" s="248">
        <v>45.0</v>
      </c>
      <c r="C378" s="247" t="s">
        <v>1004</v>
      </c>
      <c r="D378" s="182" t="s">
        <v>25</v>
      </c>
    </row>
    <row r="379">
      <c r="A379" s="245" t="s">
        <v>2777</v>
      </c>
      <c r="B379" s="248">
        <v>87.0</v>
      </c>
      <c r="C379" s="247" t="s">
        <v>1004</v>
      </c>
      <c r="D379" s="182" t="s">
        <v>25</v>
      </c>
    </row>
    <row r="380">
      <c r="A380" s="245" t="s">
        <v>2778</v>
      </c>
      <c r="B380" s="248">
        <v>175.0</v>
      </c>
      <c r="C380" s="247" t="s">
        <v>1004</v>
      </c>
      <c r="D380" s="182" t="s">
        <v>25</v>
      </c>
    </row>
    <row r="381">
      <c r="A381" s="245" t="s">
        <v>2779</v>
      </c>
      <c r="B381" s="248">
        <v>270.0</v>
      </c>
      <c r="C381" s="247" t="s">
        <v>1004</v>
      </c>
      <c r="D381" s="182" t="s">
        <v>25</v>
      </c>
    </row>
    <row r="382">
      <c r="A382" s="245" t="s">
        <v>2780</v>
      </c>
      <c r="B382" s="248">
        <v>22.0</v>
      </c>
      <c r="C382" s="247" t="s">
        <v>1004</v>
      </c>
      <c r="D382" s="182" t="s">
        <v>25</v>
      </c>
    </row>
    <row r="383">
      <c r="A383" s="245" t="s">
        <v>2781</v>
      </c>
      <c r="B383" s="248">
        <v>22.0</v>
      </c>
      <c r="C383" s="247" t="s">
        <v>1004</v>
      </c>
      <c r="D383" s="182" t="s">
        <v>25</v>
      </c>
    </row>
    <row r="384">
      <c r="A384" s="245" t="s">
        <v>2782</v>
      </c>
      <c r="B384" s="248">
        <v>22.5</v>
      </c>
      <c r="C384" s="247" t="s">
        <v>1004</v>
      </c>
      <c r="D384" s="182" t="s">
        <v>25</v>
      </c>
    </row>
    <row r="385">
      <c r="A385" s="245" t="s">
        <v>2783</v>
      </c>
      <c r="B385" s="248">
        <v>22.5</v>
      </c>
      <c r="C385" s="247" t="s">
        <v>1004</v>
      </c>
      <c r="D385" s="182" t="s">
        <v>25</v>
      </c>
    </row>
    <row r="386">
      <c r="A386" s="245" t="s">
        <v>2784</v>
      </c>
      <c r="B386" s="248">
        <v>50.0</v>
      </c>
      <c r="C386" s="247" t="s">
        <v>1004</v>
      </c>
      <c r="D386" s="182" t="s">
        <v>25</v>
      </c>
    </row>
    <row r="387">
      <c r="A387" s="245" t="s">
        <v>2785</v>
      </c>
      <c r="B387" s="248">
        <v>45.0</v>
      </c>
      <c r="C387" s="247" t="s">
        <v>1004</v>
      </c>
      <c r="D387" s="182" t="s">
        <v>25</v>
      </c>
    </row>
    <row r="388">
      <c r="A388" s="245" t="s">
        <v>2786</v>
      </c>
      <c r="B388" s="248">
        <v>22.5</v>
      </c>
      <c r="C388" s="247" t="s">
        <v>1004</v>
      </c>
      <c r="D388" s="182" t="s">
        <v>25</v>
      </c>
    </row>
    <row r="389">
      <c r="A389" s="245" t="s">
        <v>2787</v>
      </c>
      <c r="B389" s="248">
        <v>22.5</v>
      </c>
      <c r="C389" s="247" t="s">
        <v>1004</v>
      </c>
      <c r="D389" s="182" t="s">
        <v>25</v>
      </c>
    </row>
    <row r="390">
      <c r="A390" s="245" t="s">
        <v>2788</v>
      </c>
      <c r="B390" s="248">
        <v>22.0</v>
      </c>
      <c r="C390" s="247" t="s">
        <v>1004</v>
      </c>
      <c r="D390" s="182" t="s">
        <v>25</v>
      </c>
    </row>
    <row r="391">
      <c r="A391" s="245" t="s">
        <v>2789</v>
      </c>
      <c r="B391" s="248">
        <v>22.0</v>
      </c>
      <c r="C391" s="247" t="s">
        <v>1004</v>
      </c>
      <c r="D391" s="182" t="s">
        <v>25</v>
      </c>
    </row>
    <row r="392">
      <c r="A392" s="245" t="s">
        <v>2790</v>
      </c>
      <c r="B392" s="248">
        <v>22.0</v>
      </c>
      <c r="C392" s="247" t="s">
        <v>1004</v>
      </c>
      <c r="D392" s="182" t="s">
        <v>25</v>
      </c>
    </row>
    <row r="393">
      <c r="A393" s="245" t="s">
        <v>2791</v>
      </c>
      <c r="B393" s="248">
        <v>135.0</v>
      </c>
      <c r="C393" s="247" t="s">
        <v>1004</v>
      </c>
      <c r="D393" s="182" t="s">
        <v>25</v>
      </c>
    </row>
    <row r="394">
      <c r="A394" s="245" t="s">
        <v>2792</v>
      </c>
      <c r="B394" s="248">
        <v>22.0</v>
      </c>
      <c r="C394" s="247" t="s">
        <v>1004</v>
      </c>
      <c r="D394" s="182" t="s">
        <v>25</v>
      </c>
    </row>
    <row r="395">
      <c r="A395" s="245" t="s">
        <v>2793</v>
      </c>
      <c r="B395" s="248">
        <v>200.0</v>
      </c>
      <c r="C395" s="247" t="s">
        <v>1004</v>
      </c>
      <c r="D395" s="182" t="s">
        <v>25</v>
      </c>
    </row>
    <row r="396">
      <c r="A396" s="245" t="s">
        <v>2794</v>
      </c>
      <c r="B396" s="248">
        <v>175.0</v>
      </c>
      <c r="C396" s="247" t="s">
        <v>1004</v>
      </c>
      <c r="D396" s="182" t="s">
        <v>25</v>
      </c>
    </row>
    <row r="397">
      <c r="A397" s="245" t="s">
        <v>2795</v>
      </c>
      <c r="B397" s="248">
        <v>360.0</v>
      </c>
      <c r="C397" s="247" t="s">
        <v>1004</v>
      </c>
      <c r="D397" s="182" t="s">
        <v>25</v>
      </c>
    </row>
    <row r="398">
      <c r="A398" s="245" t="s">
        <v>2796</v>
      </c>
      <c r="B398" s="248">
        <v>22.0</v>
      </c>
      <c r="C398" s="247" t="s">
        <v>1004</v>
      </c>
      <c r="D398" s="182" t="s">
        <v>25</v>
      </c>
    </row>
    <row r="399">
      <c r="A399" s="245" t="s">
        <v>2797</v>
      </c>
      <c r="B399" s="248">
        <v>45.0</v>
      </c>
      <c r="C399" s="247" t="s">
        <v>1004</v>
      </c>
      <c r="D399" s="182" t="s">
        <v>25</v>
      </c>
    </row>
    <row r="400">
      <c r="A400" s="245" t="s">
        <v>2798</v>
      </c>
      <c r="B400" s="248">
        <v>45.0</v>
      </c>
      <c r="C400" s="247" t="s">
        <v>1004</v>
      </c>
      <c r="D400" s="182" t="s">
        <v>25</v>
      </c>
    </row>
    <row r="401">
      <c r="A401" s="245" t="s">
        <v>2799</v>
      </c>
      <c r="B401" s="248">
        <v>500.0</v>
      </c>
      <c r="C401" s="247" t="s">
        <v>1004</v>
      </c>
      <c r="D401" s="182" t="s">
        <v>25</v>
      </c>
    </row>
    <row r="402">
      <c r="A402" s="245" t="s">
        <v>2800</v>
      </c>
      <c r="B402" s="248">
        <v>200.0</v>
      </c>
      <c r="C402" s="247" t="s">
        <v>1004</v>
      </c>
      <c r="D402" s="182" t="s">
        <v>25</v>
      </c>
    </row>
    <row r="403">
      <c r="A403" s="245" t="s">
        <v>2801</v>
      </c>
      <c r="B403" s="248">
        <v>50.0</v>
      </c>
      <c r="C403" s="247" t="s">
        <v>1004</v>
      </c>
      <c r="D403" s="182" t="s">
        <v>25</v>
      </c>
    </row>
    <row r="404">
      <c r="A404" s="245" t="s">
        <v>2802</v>
      </c>
      <c r="B404" s="248">
        <v>90.0</v>
      </c>
      <c r="C404" s="247" t="s">
        <v>1004</v>
      </c>
      <c r="D404" s="182" t="s">
        <v>25</v>
      </c>
    </row>
    <row r="405">
      <c r="A405" s="245" t="s">
        <v>2803</v>
      </c>
      <c r="B405" s="248">
        <v>50.0</v>
      </c>
      <c r="C405" s="247" t="s">
        <v>1004</v>
      </c>
      <c r="D405" s="182" t="s">
        <v>25</v>
      </c>
    </row>
    <row r="406">
      <c r="A406" s="245" t="s">
        <v>2804</v>
      </c>
      <c r="B406" s="248">
        <v>45.0</v>
      </c>
      <c r="C406" s="247" t="s">
        <v>1004</v>
      </c>
      <c r="D406" s="182" t="s">
        <v>25</v>
      </c>
    </row>
    <row r="407">
      <c r="A407" s="245" t="s">
        <v>2805</v>
      </c>
      <c r="B407" s="248">
        <v>100.0</v>
      </c>
      <c r="C407" s="247" t="s">
        <v>1004</v>
      </c>
      <c r="D407" s="182" t="s">
        <v>25</v>
      </c>
    </row>
    <row r="408">
      <c r="A408" s="245" t="s">
        <v>2806</v>
      </c>
      <c r="B408" s="248">
        <v>45.0</v>
      </c>
      <c r="C408" s="247" t="s">
        <v>1004</v>
      </c>
      <c r="D408" s="182" t="s">
        <v>25</v>
      </c>
    </row>
    <row r="409">
      <c r="A409" s="245" t="s">
        <v>2807</v>
      </c>
      <c r="B409" s="248">
        <v>45.0</v>
      </c>
      <c r="C409" s="247" t="s">
        <v>1004</v>
      </c>
      <c r="D409" s="182" t="s">
        <v>25</v>
      </c>
    </row>
    <row r="410">
      <c r="A410" s="245" t="s">
        <v>2808</v>
      </c>
      <c r="B410" s="248">
        <v>450.0</v>
      </c>
      <c r="C410" s="247" t="s">
        <v>1004</v>
      </c>
      <c r="D410" s="182" t="s">
        <v>25</v>
      </c>
    </row>
    <row r="411">
      <c r="A411" s="245" t="s">
        <v>2809</v>
      </c>
      <c r="B411" s="248">
        <v>920.0</v>
      </c>
      <c r="C411" s="247" t="s">
        <v>1004</v>
      </c>
      <c r="D411" s="182" t="s">
        <v>25</v>
      </c>
    </row>
    <row r="412">
      <c r="A412" s="245" t="s">
        <v>2810</v>
      </c>
      <c r="B412" s="248">
        <v>112.0</v>
      </c>
      <c r="C412" s="247" t="s">
        <v>1004</v>
      </c>
      <c r="D412" s="182" t="s">
        <v>25</v>
      </c>
    </row>
    <row r="413">
      <c r="A413" s="245" t="s">
        <v>2811</v>
      </c>
      <c r="B413" s="248">
        <v>112.0</v>
      </c>
      <c r="C413" s="247" t="s">
        <v>1004</v>
      </c>
      <c r="D413" s="182" t="s">
        <v>25</v>
      </c>
    </row>
    <row r="414">
      <c r="A414" s="245" t="s">
        <v>2812</v>
      </c>
      <c r="B414" s="248">
        <v>150.0</v>
      </c>
      <c r="C414" s="247" t="s">
        <v>1004</v>
      </c>
      <c r="D414" s="182" t="s">
        <v>25</v>
      </c>
    </row>
    <row r="415">
      <c r="A415" s="245" t="s">
        <v>2813</v>
      </c>
      <c r="B415" s="248">
        <v>360.0</v>
      </c>
      <c r="C415" s="247" t="s">
        <v>1004</v>
      </c>
      <c r="D415" s="182" t="s">
        <v>25</v>
      </c>
    </row>
    <row r="416">
      <c r="A416" s="245" t="s">
        <v>2814</v>
      </c>
      <c r="B416" s="248">
        <v>45.0</v>
      </c>
      <c r="C416" s="247" t="s">
        <v>1004</v>
      </c>
      <c r="D416" s="182" t="s">
        <v>25</v>
      </c>
    </row>
    <row r="417">
      <c r="A417" s="245" t="s">
        <v>2815</v>
      </c>
      <c r="B417" s="248">
        <v>180.0</v>
      </c>
      <c r="C417" s="247" t="s">
        <v>1004</v>
      </c>
      <c r="D417" s="182" t="s">
        <v>25</v>
      </c>
    </row>
    <row r="418">
      <c r="A418" s="245" t="s">
        <v>1383</v>
      </c>
      <c r="B418" s="248">
        <v>135.0</v>
      </c>
      <c r="C418" s="247" t="s">
        <v>1004</v>
      </c>
      <c r="D418" s="182" t="s">
        <v>25</v>
      </c>
    </row>
    <row r="419">
      <c r="A419" s="245" t="s">
        <v>2816</v>
      </c>
      <c r="B419" s="248">
        <v>135.0</v>
      </c>
      <c r="C419" s="247" t="s">
        <v>1004</v>
      </c>
      <c r="D419" s="182" t="s">
        <v>25</v>
      </c>
    </row>
    <row r="420">
      <c r="A420" s="245" t="s">
        <v>2817</v>
      </c>
      <c r="B420" s="248">
        <v>100.0</v>
      </c>
      <c r="C420" s="247" t="s">
        <v>1004</v>
      </c>
      <c r="D420" s="182" t="s">
        <v>25</v>
      </c>
    </row>
    <row r="421">
      <c r="A421" s="245" t="s">
        <v>2818</v>
      </c>
      <c r="B421" s="248">
        <v>22.5</v>
      </c>
      <c r="C421" s="247" t="s">
        <v>1004</v>
      </c>
      <c r="D421" s="182" t="s">
        <v>25</v>
      </c>
    </row>
    <row r="422">
      <c r="A422" s="245" t="s">
        <v>2819</v>
      </c>
      <c r="B422" s="248">
        <v>22.5</v>
      </c>
      <c r="C422" s="247" t="s">
        <v>1004</v>
      </c>
      <c r="D422" s="182" t="s">
        <v>25</v>
      </c>
    </row>
    <row r="423">
      <c r="A423" s="245" t="s">
        <v>2820</v>
      </c>
      <c r="B423" s="248">
        <v>33.75</v>
      </c>
      <c r="C423" s="247" t="s">
        <v>1004</v>
      </c>
      <c r="D423" s="182" t="s">
        <v>25</v>
      </c>
    </row>
    <row r="424">
      <c r="A424" s="245" t="s">
        <v>2821</v>
      </c>
      <c r="B424" s="248">
        <v>33.75</v>
      </c>
      <c r="C424" s="247" t="s">
        <v>1004</v>
      </c>
      <c r="D424" s="182" t="s">
        <v>25</v>
      </c>
    </row>
    <row r="425">
      <c r="A425" s="245" t="s">
        <v>2822</v>
      </c>
      <c r="B425" s="248">
        <v>33.75</v>
      </c>
      <c r="C425" s="247" t="s">
        <v>1004</v>
      </c>
      <c r="D425" s="182" t="s">
        <v>25</v>
      </c>
    </row>
    <row r="426">
      <c r="A426" s="245" t="s">
        <v>2823</v>
      </c>
      <c r="B426" s="248">
        <v>33.75</v>
      </c>
      <c r="C426" s="247" t="s">
        <v>1004</v>
      </c>
      <c r="D426" s="182" t="s">
        <v>25</v>
      </c>
    </row>
    <row r="427">
      <c r="A427" s="245" t="s">
        <v>2824</v>
      </c>
      <c r="B427" s="248">
        <v>90.0</v>
      </c>
      <c r="C427" s="247" t="s">
        <v>1004</v>
      </c>
      <c r="D427" s="182" t="s">
        <v>25</v>
      </c>
    </row>
    <row r="428">
      <c r="A428" s="245" t="s">
        <v>2825</v>
      </c>
      <c r="B428" s="248">
        <v>100.0</v>
      </c>
      <c r="C428" s="247" t="s">
        <v>1004</v>
      </c>
      <c r="D428" s="182" t="s">
        <v>25</v>
      </c>
    </row>
    <row r="429">
      <c r="A429" s="245" t="s">
        <v>2826</v>
      </c>
      <c r="B429" s="248">
        <v>25.0</v>
      </c>
      <c r="C429" s="247" t="s">
        <v>1004</v>
      </c>
      <c r="D429" s="182" t="s">
        <v>25</v>
      </c>
    </row>
    <row r="430">
      <c r="A430" s="245" t="s">
        <v>2827</v>
      </c>
      <c r="B430" s="248">
        <v>25.0</v>
      </c>
      <c r="C430" s="247" t="s">
        <v>1004</v>
      </c>
      <c r="D430" s="182" t="s">
        <v>25</v>
      </c>
    </row>
    <row r="431">
      <c r="A431" s="245" t="s">
        <v>2828</v>
      </c>
      <c r="B431" s="248">
        <v>630.0</v>
      </c>
      <c r="C431" s="247" t="s">
        <v>1004</v>
      </c>
      <c r="D431" s="182" t="s">
        <v>25</v>
      </c>
    </row>
    <row r="432">
      <c r="A432" s="245" t="s">
        <v>2829</v>
      </c>
      <c r="B432" s="248">
        <v>135.0</v>
      </c>
      <c r="C432" s="247" t="s">
        <v>1004</v>
      </c>
      <c r="D432" s="182" t="s">
        <v>25</v>
      </c>
    </row>
    <row r="433">
      <c r="A433" s="245" t="s">
        <v>2830</v>
      </c>
      <c r="B433" s="248">
        <v>90.0</v>
      </c>
      <c r="C433" s="247" t="s">
        <v>1004</v>
      </c>
      <c r="D433" s="182" t="s">
        <v>25</v>
      </c>
    </row>
    <row r="434">
      <c r="A434" s="245" t="s">
        <v>2831</v>
      </c>
      <c r="B434" s="248">
        <v>110.0</v>
      </c>
      <c r="C434" s="247" t="s">
        <v>1004</v>
      </c>
      <c r="D434" s="182" t="s">
        <v>25</v>
      </c>
    </row>
    <row r="435">
      <c r="A435" s="245" t="s">
        <v>2832</v>
      </c>
      <c r="B435" s="248">
        <v>110.0</v>
      </c>
      <c r="C435" s="247" t="s">
        <v>1004</v>
      </c>
      <c r="D435" s="182" t="s">
        <v>25</v>
      </c>
    </row>
    <row r="436">
      <c r="A436" s="245" t="s">
        <v>2833</v>
      </c>
      <c r="B436" s="248">
        <v>27.5</v>
      </c>
      <c r="C436" s="247" t="s">
        <v>1004</v>
      </c>
      <c r="D436" s="182" t="s">
        <v>25</v>
      </c>
    </row>
    <row r="437">
      <c r="A437" s="245" t="s">
        <v>2834</v>
      </c>
      <c r="B437" s="248">
        <v>27.5</v>
      </c>
      <c r="C437" s="247" t="s">
        <v>1004</v>
      </c>
      <c r="D437" s="182" t="s">
        <v>25</v>
      </c>
    </row>
    <row r="438">
      <c r="A438" s="245" t="s">
        <v>2835</v>
      </c>
      <c r="B438" s="248">
        <v>330.0</v>
      </c>
      <c r="C438" s="247" t="s">
        <v>1004</v>
      </c>
      <c r="D438" s="182" t="s">
        <v>25</v>
      </c>
    </row>
    <row r="439">
      <c r="A439" s="245" t="s">
        <v>2836</v>
      </c>
      <c r="B439" s="248">
        <v>27.5</v>
      </c>
      <c r="C439" s="247" t="s">
        <v>1004</v>
      </c>
      <c r="D439" s="182" t="s">
        <v>25</v>
      </c>
    </row>
    <row r="440">
      <c r="A440" s="245" t="s">
        <v>2837</v>
      </c>
      <c r="B440" s="248">
        <v>27.5</v>
      </c>
      <c r="C440" s="247" t="s">
        <v>1004</v>
      </c>
      <c r="D440" s="182" t="s">
        <v>25</v>
      </c>
    </row>
    <row r="441">
      <c r="A441" s="245" t="s">
        <v>2838</v>
      </c>
      <c r="B441" s="248">
        <v>27.5</v>
      </c>
      <c r="C441" s="247" t="s">
        <v>1004</v>
      </c>
      <c r="D441" s="182" t="s">
        <v>25</v>
      </c>
    </row>
    <row r="442">
      <c r="A442" s="245" t="s">
        <v>2839</v>
      </c>
      <c r="B442" s="248">
        <v>27.5</v>
      </c>
      <c r="C442" s="247" t="s">
        <v>1004</v>
      </c>
      <c r="D442" s="182" t="s">
        <v>25</v>
      </c>
    </row>
    <row r="443">
      <c r="A443" s="245" t="s">
        <v>2840</v>
      </c>
      <c r="B443" s="248">
        <v>55.0</v>
      </c>
      <c r="C443" s="247" t="s">
        <v>1004</v>
      </c>
      <c r="D443" s="182" t="s">
        <v>25</v>
      </c>
    </row>
    <row r="444">
      <c r="A444" s="245" t="s">
        <v>2841</v>
      </c>
      <c r="B444" s="248">
        <v>165.0</v>
      </c>
      <c r="C444" s="247" t="s">
        <v>1004</v>
      </c>
      <c r="D444" s="182" t="s">
        <v>25</v>
      </c>
    </row>
    <row r="445">
      <c r="A445" s="245" t="s">
        <v>2842</v>
      </c>
      <c r="B445" s="248">
        <v>140.0</v>
      </c>
      <c r="C445" s="247" t="s">
        <v>1004</v>
      </c>
      <c r="D445" s="182" t="s">
        <v>25</v>
      </c>
    </row>
    <row r="446">
      <c r="A446" s="245" t="s">
        <v>2843</v>
      </c>
      <c r="B446" s="248">
        <v>110.0</v>
      </c>
      <c r="C446" s="247" t="s">
        <v>1004</v>
      </c>
      <c r="D446" s="182" t="s">
        <v>25</v>
      </c>
    </row>
    <row r="447">
      <c r="A447" s="245" t="s">
        <v>2844</v>
      </c>
      <c r="B447" s="248">
        <v>110.0</v>
      </c>
      <c r="C447" s="247" t="s">
        <v>1004</v>
      </c>
      <c r="D447" s="182" t="s">
        <v>25</v>
      </c>
    </row>
    <row r="448">
      <c r="A448" s="245" t="s">
        <v>2845</v>
      </c>
      <c r="B448" s="248">
        <v>55.0</v>
      </c>
      <c r="C448" s="247" t="s">
        <v>1004</v>
      </c>
      <c r="D448" s="182" t="s">
        <v>25</v>
      </c>
    </row>
    <row r="449">
      <c r="A449" s="245" t="s">
        <v>2846</v>
      </c>
      <c r="B449" s="248">
        <v>140.0</v>
      </c>
      <c r="C449" s="247" t="s">
        <v>1004</v>
      </c>
      <c r="D449" s="182" t="s">
        <v>25</v>
      </c>
    </row>
    <row r="450">
      <c r="A450" s="245" t="s">
        <v>2847</v>
      </c>
      <c r="B450" s="248">
        <v>1120.0</v>
      </c>
      <c r="C450" s="247" t="s">
        <v>1004</v>
      </c>
      <c r="D450" s="182" t="s">
        <v>25</v>
      </c>
    </row>
    <row r="451">
      <c r="A451" s="245" t="s">
        <v>2848</v>
      </c>
      <c r="B451" s="248">
        <v>220.0</v>
      </c>
      <c r="C451" s="247" t="s">
        <v>1004</v>
      </c>
      <c r="D451" s="182" t="s">
        <v>25</v>
      </c>
    </row>
    <row r="452">
      <c r="A452" s="245" t="s">
        <v>2849</v>
      </c>
      <c r="B452" s="248">
        <v>440.0</v>
      </c>
      <c r="C452" s="247" t="s">
        <v>1004</v>
      </c>
      <c r="D452" s="182" t="s">
        <v>25</v>
      </c>
    </row>
    <row r="453">
      <c r="A453" s="245" t="s">
        <v>2850</v>
      </c>
      <c r="B453" s="248">
        <v>55.0</v>
      </c>
      <c r="C453" s="247" t="s">
        <v>1004</v>
      </c>
      <c r="D453" s="182" t="s">
        <v>25</v>
      </c>
    </row>
    <row r="454">
      <c r="A454" s="245" t="s">
        <v>2851</v>
      </c>
      <c r="B454" s="248">
        <v>55.0</v>
      </c>
      <c r="C454" s="247" t="s">
        <v>1004</v>
      </c>
      <c r="D454" s="182" t="s">
        <v>25</v>
      </c>
    </row>
    <row r="455">
      <c r="A455" s="245" t="s">
        <v>2852</v>
      </c>
      <c r="B455" s="248">
        <v>165.0</v>
      </c>
      <c r="C455" s="247" t="s">
        <v>1004</v>
      </c>
      <c r="D455" s="182" t="s">
        <v>25</v>
      </c>
    </row>
    <row r="456">
      <c r="A456" s="245" t="s">
        <v>2853</v>
      </c>
      <c r="B456" s="248">
        <v>55.0</v>
      </c>
      <c r="C456" s="247" t="s">
        <v>1004</v>
      </c>
      <c r="D456" s="182" t="s">
        <v>25</v>
      </c>
    </row>
    <row r="457">
      <c r="A457" s="245" t="s">
        <v>2854</v>
      </c>
      <c r="B457" s="248">
        <v>25.0</v>
      </c>
      <c r="C457" s="247" t="s">
        <v>1004</v>
      </c>
      <c r="D457" s="182" t="s">
        <v>25</v>
      </c>
    </row>
    <row r="458">
      <c r="A458" s="245" t="s">
        <v>2855</v>
      </c>
      <c r="B458" s="248">
        <v>220.0</v>
      </c>
      <c r="C458" s="247" t="s">
        <v>1004</v>
      </c>
      <c r="D458" s="182" t="s">
        <v>25</v>
      </c>
    </row>
    <row r="459">
      <c r="A459" s="245" t="s">
        <v>2856</v>
      </c>
      <c r="B459" s="248">
        <v>165.0</v>
      </c>
      <c r="C459" s="247" t="s">
        <v>1004</v>
      </c>
      <c r="D459" s="182" t="s">
        <v>25</v>
      </c>
    </row>
    <row r="460">
      <c r="A460" s="245" t="s">
        <v>2857</v>
      </c>
      <c r="B460" s="248">
        <v>55.0</v>
      </c>
      <c r="C460" s="247" t="s">
        <v>1004</v>
      </c>
      <c r="D460" s="182" t="s">
        <v>25</v>
      </c>
    </row>
    <row r="461">
      <c r="A461" s="245" t="s">
        <v>2858</v>
      </c>
      <c r="B461" s="248">
        <v>275.0</v>
      </c>
      <c r="C461" s="247" t="s">
        <v>1004</v>
      </c>
      <c r="D461" s="182" t="s">
        <v>25</v>
      </c>
    </row>
    <row r="462">
      <c r="A462" s="245" t="s">
        <v>2859</v>
      </c>
      <c r="B462" s="248">
        <v>27.5</v>
      </c>
      <c r="C462" s="247" t="s">
        <v>1004</v>
      </c>
      <c r="D462" s="182" t="s">
        <v>25</v>
      </c>
    </row>
    <row r="463">
      <c r="A463" s="245" t="s">
        <v>2860</v>
      </c>
      <c r="B463" s="248">
        <v>27.5</v>
      </c>
      <c r="C463" s="247" t="s">
        <v>1004</v>
      </c>
      <c r="D463" s="182" t="s">
        <v>25</v>
      </c>
    </row>
    <row r="464">
      <c r="A464" s="245" t="s">
        <v>2861</v>
      </c>
      <c r="B464" s="248">
        <v>70.0</v>
      </c>
      <c r="C464" s="247" t="s">
        <v>1004</v>
      </c>
      <c r="D464" s="182" t="s">
        <v>25</v>
      </c>
    </row>
    <row r="465">
      <c r="A465" s="245" t="s">
        <v>2862</v>
      </c>
      <c r="B465" s="248">
        <v>1190.0</v>
      </c>
      <c r="C465" s="247" t="s">
        <v>1004</v>
      </c>
      <c r="D465" s="182" t="s">
        <v>25</v>
      </c>
    </row>
    <row r="466">
      <c r="A466" s="245" t="s">
        <v>2863</v>
      </c>
      <c r="B466" s="248">
        <v>490.0</v>
      </c>
      <c r="C466" s="247" t="s">
        <v>1004</v>
      </c>
      <c r="D466" s="182" t="s">
        <v>25</v>
      </c>
    </row>
    <row r="467">
      <c r="A467" s="245" t="s">
        <v>2864</v>
      </c>
      <c r="B467" s="248">
        <v>110.0</v>
      </c>
      <c r="C467" s="247" t="s">
        <v>1004</v>
      </c>
      <c r="D467" s="182" t="s">
        <v>25</v>
      </c>
    </row>
    <row r="468">
      <c r="A468" s="245" t="s">
        <v>2865</v>
      </c>
      <c r="B468" s="248">
        <v>210.0</v>
      </c>
      <c r="C468" s="247" t="s">
        <v>1004</v>
      </c>
      <c r="D468" s="182" t="s">
        <v>25</v>
      </c>
    </row>
    <row r="469">
      <c r="A469" s="245" t="s">
        <v>2866</v>
      </c>
      <c r="B469" s="248">
        <v>165.0</v>
      </c>
      <c r="C469" s="247" t="s">
        <v>1004</v>
      </c>
      <c r="D469" s="182" t="s">
        <v>25</v>
      </c>
    </row>
    <row r="470">
      <c r="A470" s="245" t="s">
        <v>2867</v>
      </c>
      <c r="B470" s="248">
        <v>2930.0</v>
      </c>
      <c r="C470" s="247" t="s">
        <v>1004</v>
      </c>
      <c r="D470" s="182" t="s">
        <v>25</v>
      </c>
    </row>
    <row r="471">
      <c r="A471" s="245" t="s">
        <v>2868</v>
      </c>
      <c r="B471" s="248">
        <v>70.0</v>
      </c>
      <c r="C471" s="247" t="s">
        <v>1004</v>
      </c>
      <c r="D471" s="182" t="s">
        <v>25</v>
      </c>
    </row>
    <row r="472">
      <c r="A472" s="245" t="s">
        <v>2869</v>
      </c>
      <c r="B472" s="248">
        <v>27.5</v>
      </c>
      <c r="C472" s="247" t="s">
        <v>1004</v>
      </c>
      <c r="D472" s="182" t="s">
        <v>25</v>
      </c>
    </row>
    <row r="473">
      <c r="A473" s="245" t="s">
        <v>2870</v>
      </c>
      <c r="B473" s="248">
        <v>175.0</v>
      </c>
      <c r="C473" s="247" t="s">
        <v>1004</v>
      </c>
      <c r="D473" s="182" t="s">
        <v>25</v>
      </c>
    </row>
    <row r="474">
      <c r="A474" s="245" t="s">
        <v>2871</v>
      </c>
      <c r="B474" s="248">
        <v>55.0</v>
      </c>
      <c r="C474" s="247" t="s">
        <v>1004</v>
      </c>
      <c r="D474" s="182" t="s">
        <v>25</v>
      </c>
    </row>
    <row r="475">
      <c r="A475" s="250" t="s">
        <v>1612</v>
      </c>
      <c r="B475" s="248">
        <v>55.0</v>
      </c>
      <c r="C475" s="247" t="s">
        <v>1004</v>
      </c>
      <c r="D475" s="182" t="s">
        <v>25</v>
      </c>
    </row>
    <row r="476">
      <c r="A476" s="250" t="s">
        <v>1615</v>
      </c>
      <c r="B476" s="248">
        <v>55.0</v>
      </c>
      <c r="C476" s="247" t="s">
        <v>1004</v>
      </c>
      <c r="D476" s="182" t="s">
        <v>25</v>
      </c>
    </row>
    <row r="477">
      <c r="A477" s="250" t="s">
        <v>1617</v>
      </c>
      <c r="B477" s="248">
        <v>55.0</v>
      </c>
      <c r="C477" s="247" t="s">
        <v>1004</v>
      </c>
      <c r="D477" s="182" t="s">
        <v>25</v>
      </c>
    </row>
    <row r="478">
      <c r="A478" s="250" t="s">
        <v>1620</v>
      </c>
      <c r="B478" s="248">
        <v>110.0</v>
      </c>
      <c r="C478" s="247" t="s">
        <v>1004</v>
      </c>
      <c r="D478" s="182" t="s">
        <v>25</v>
      </c>
    </row>
    <row r="479">
      <c r="A479" s="250" t="s">
        <v>2872</v>
      </c>
      <c r="B479" s="248">
        <v>27.5</v>
      </c>
      <c r="C479" s="247" t="s">
        <v>1004</v>
      </c>
      <c r="D479" s="182" t="s">
        <v>25</v>
      </c>
    </row>
    <row r="480">
      <c r="A480" s="250" t="s">
        <v>2873</v>
      </c>
      <c r="B480" s="248">
        <v>27.5</v>
      </c>
      <c r="C480" s="247" t="s">
        <v>1004</v>
      </c>
      <c r="D480" s="182" t="s">
        <v>25</v>
      </c>
    </row>
    <row r="481">
      <c r="A481" s="250" t="s">
        <v>2874</v>
      </c>
      <c r="B481" s="248">
        <v>137.5</v>
      </c>
      <c r="C481" s="247" t="s">
        <v>1004</v>
      </c>
      <c r="D481" s="182" t="s">
        <v>25</v>
      </c>
    </row>
    <row r="482">
      <c r="A482" s="250" t="s">
        <v>2875</v>
      </c>
      <c r="B482" s="248">
        <v>82.0</v>
      </c>
      <c r="C482" s="247" t="s">
        <v>1004</v>
      </c>
      <c r="D482" s="182" t="s">
        <v>25</v>
      </c>
    </row>
    <row r="483">
      <c r="A483" s="250" t="s">
        <v>2876</v>
      </c>
      <c r="B483" s="248">
        <v>70.0</v>
      </c>
      <c r="C483" s="247" t="s">
        <v>1004</v>
      </c>
      <c r="D483" s="182" t="s">
        <v>25</v>
      </c>
    </row>
    <row r="484">
      <c r="A484" s="250" t="s">
        <v>2877</v>
      </c>
      <c r="B484" s="248">
        <v>110.0</v>
      </c>
      <c r="C484" s="247" t="s">
        <v>1004</v>
      </c>
      <c r="D484" s="182" t="s">
        <v>25</v>
      </c>
    </row>
    <row r="485">
      <c r="A485" s="250" t="s">
        <v>2878</v>
      </c>
      <c r="B485" s="248">
        <v>165.0</v>
      </c>
      <c r="C485" s="247" t="s">
        <v>1004</v>
      </c>
      <c r="D485" s="182" t="s">
        <v>25</v>
      </c>
    </row>
    <row r="486">
      <c r="A486" s="250" t="s">
        <v>2879</v>
      </c>
      <c r="B486" s="248">
        <v>165.0</v>
      </c>
      <c r="C486" s="247" t="s">
        <v>1004</v>
      </c>
      <c r="D486" s="182" t="s">
        <v>25</v>
      </c>
    </row>
    <row r="487">
      <c r="A487" s="250" t="s">
        <v>2880</v>
      </c>
      <c r="B487" s="248">
        <v>55.0</v>
      </c>
      <c r="C487" s="247" t="s">
        <v>1004</v>
      </c>
      <c r="D487" s="182" t="s">
        <v>25</v>
      </c>
    </row>
    <row r="488">
      <c r="A488" s="250" t="s">
        <v>2881</v>
      </c>
      <c r="B488" s="248">
        <v>27.5</v>
      </c>
      <c r="C488" s="247" t="s">
        <v>1004</v>
      </c>
      <c r="D488" s="182" t="s">
        <v>25</v>
      </c>
    </row>
    <row r="489">
      <c r="A489" s="250" t="s">
        <v>2882</v>
      </c>
      <c r="B489" s="248">
        <v>110.0</v>
      </c>
      <c r="C489" s="247" t="s">
        <v>1004</v>
      </c>
      <c r="D489" s="182" t="s">
        <v>25</v>
      </c>
    </row>
    <row r="490">
      <c r="A490" s="245" t="s">
        <v>2883</v>
      </c>
      <c r="B490" s="248">
        <v>165.0</v>
      </c>
      <c r="C490" s="247" t="s">
        <v>1004</v>
      </c>
      <c r="D490" s="182" t="s">
        <v>25</v>
      </c>
    </row>
    <row r="491">
      <c r="A491" s="245" t="s">
        <v>2884</v>
      </c>
      <c r="B491" s="248">
        <v>330.0</v>
      </c>
      <c r="C491" s="247" t="s">
        <v>1004</v>
      </c>
      <c r="D491" s="182" t="s">
        <v>25</v>
      </c>
    </row>
    <row r="492">
      <c r="A492" s="245" t="s">
        <v>2885</v>
      </c>
      <c r="B492" s="248">
        <v>165.0</v>
      </c>
      <c r="C492" s="247" t="s">
        <v>1004</v>
      </c>
      <c r="D492" s="182" t="s">
        <v>25</v>
      </c>
    </row>
    <row r="493">
      <c r="A493" s="245" t="s">
        <v>2886</v>
      </c>
      <c r="B493" s="248">
        <v>385.0</v>
      </c>
      <c r="C493" s="247" t="s">
        <v>1004</v>
      </c>
      <c r="D493" s="182" t="s">
        <v>25</v>
      </c>
    </row>
    <row r="494">
      <c r="A494" s="245" t="s">
        <v>2887</v>
      </c>
      <c r="B494" s="248">
        <v>220.0</v>
      </c>
      <c r="C494" s="247" t="s">
        <v>1004</v>
      </c>
      <c r="D494" s="182" t="s">
        <v>25</v>
      </c>
    </row>
    <row r="495">
      <c r="A495" s="245" t="s">
        <v>2888</v>
      </c>
      <c r="B495" s="248">
        <v>55.0</v>
      </c>
      <c r="C495" s="247" t="s">
        <v>1004</v>
      </c>
      <c r="D495" s="182" t="s">
        <v>25</v>
      </c>
    </row>
    <row r="496">
      <c r="A496" s="245" t="s">
        <v>2889</v>
      </c>
      <c r="B496" s="248">
        <v>55.0</v>
      </c>
      <c r="C496" s="247" t="s">
        <v>1004</v>
      </c>
      <c r="D496" s="182" t="s">
        <v>25</v>
      </c>
    </row>
    <row r="497">
      <c r="A497" s="245" t="s">
        <v>2890</v>
      </c>
      <c r="B497" s="248">
        <v>1540.0</v>
      </c>
      <c r="C497" s="247" t="s">
        <v>1004</v>
      </c>
      <c r="D497" s="182" t="s">
        <v>25</v>
      </c>
    </row>
    <row r="498">
      <c r="A498" s="245" t="s">
        <v>2891</v>
      </c>
      <c r="B498" s="248">
        <v>110.0</v>
      </c>
      <c r="C498" s="247" t="s">
        <v>1004</v>
      </c>
      <c r="D498" s="182" t="s">
        <v>25</v>
      </c>
    </row>
    <row r="499">
      <c r="A499" s="245" t="s">
        <v>2892</v>
      </c>
      <c r="B499" s="248">
        <v>165.0</v>
      </c>
      <c r="C499" s="247" t="s">
        <v>1004</v>
      </c>
      <c r="D499" s="182" t="s">
        <v>25</v>
      </c>
    </row>
    <row r="500">
      <c r="A500" s="256" t="s">
        <v>2893</v>
      </c>
      <c r="B500" s="257">
        <v>165.0</v>
      </c>
      <c r="C500" s="258" t="s">
        <v>1004</v>
      </c>
      <c r="D500" s="182" t="s">
        <v>25</v>
      </c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>
      <c r="A501" s="250" t="s">
        <v>2894</v>
      </c>
      <c r="B501" s="259">
        <v>170.0</v>
      </c>
      <c r="C501" s="260" t="s">
        <v>867</v>
      </c>
      <c r="D501" s="182" t="s">
        <v>25</v>
      </c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>
      <c r="A502" s="250" t="s">
        <v>2895</v>
      </c>
      <c r="B502" s="259">
        <v>75.0</v>
      </c>
      <c r="C502" s="260" t="s">
        <v>867</v>
      </c>
      <c r="D502" s="182" t="s">
        <v>25</v>
      </c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>
      <c r="A503" s="250" t="s">
        <v>2896</v>
      </c>
      <c r="B503" s="259">
        <v>330.0</v>
      </c>
      <c r="C503" s="260" t="s">
        <v>1004</v>
      </c>
      <c r="D503" s="182" t="s">
        <v>25</v>
      </c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>
      <c r="A504" s="250" t="s">
        <v>2897</v>
      </c>
      <c r="B504" s="259">
        <v>55.0</v>
      </c>
      <c r="C504" s="260" t="s">
        <v>1004</v>
      </c>
      <c r="D504" s="182" t="s">
        <v>25</v>
      </c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>
      <c r="A505" s="250" t="s">
        <v>2898</v>
      </c>
      <c r="B505" s="259">
        <v>27.5</v>
      </c>
      <c r="C505" s="260" t="s">
        <v>1004</v>
      </c>
      <c r="D505" s="182" t="s">
        <v>25</v>
      </c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>
      <c r="A506" s="250" t="s">
        <v>2899</v>
      </c>
      <c r="B506" s="259">
        <v>27.5</v>
      </c>
      <c r="C506" s="260" t="s">
        <v>1004</v>
      </c>
      <c r="D506" s="182" t="s">
        <v>25</v>
      </c>
    </row>
    <row r="507">
      <c r="A507" s="250" t="s">
        <v>2900</v>
      </c>
      <c r="B507" s="259">
        <v>250.0</v>
      </c>
      <c r="C507" s="260" t="s">
        <v>1004</v>
      </c>
      <c r="D507" s="182" t="s">
        <v>25</v>
      </c>
    </row>
    <row r="508">
      <c r="A508" s="250" t="s">
        <v>1714</v>
      </c>
      <c r="B508" s="259">
        <v>50.0</v>
      </c>
      <c r="C508" s="260" t="s">
        <v>1004</v>
      </c>
      <c r="D508" s="182" t="s">
        <v>25</v>
      </c>
    </row>
    <row r="509">
      <c r="A509" s="250" t="s">
        <v>2901</v>
      </c>
      <c r="B509" s="259">
        <v>150.0</v>
      </c>
      <c r="C509" s="260" t="s">
        <v>1004</v>
      </c>
      <c r="D509" s="182" t="s">
        <v>25</v>
      </c>
    </row>
    <row r="510">
      <c r="A510" s="250" t="s">
        <v>1720</v>
      </c>
      <c r="B510" s="259">
        <v>50.0</v>
      </c>
      <c r="C510" s="260" t="s">
        <v>1004</v>
      </c>
      <c r="D510" s="182" t="s">
        <v>25</v>
      </c>
    </row>
    <row r="511">
      <c r="A511" s="250" t="s">
        <v>2902</v>
      </c>
      <c r="B511" s="259">
        <v>50.0</v>
      </c>
      <c r="C511" s="260" t="s">
        <v>1004</v>
      </c>
      <c r="D511" s="182" t="s">
        <v>25</v>
      </c>
    </row>
    <row r="512">
      <c r="A512" s="250" t="s">
        <v>2903</v>
      </c>
      <c r="B512" s="259">
        <v>175.0</v>
      </c>
      <c r="C512" s="260" t="s">
        <v>1004</v>
      </c>
      <c r="D512" s="182" t="s">
        <v>25</v>
      </c>
    </row>
    <row r="513">
      <c r="A513" s="250" t="s">
        <v>2904</v>
      </c>
      <c r="B513" s="259">
        <v>250.0</v>
      </c>
      <c r="C513" s="260" t="s">
        <v>1004</v>
      </c>
      <c r="D513" s="182" t="s">
        <v>25</v>
      </c>
    </row>
    <row r="514">
      <c r="A514" s="250" t="s">
        <v>2905</v>
      </c>
      <c r="B514" s="259">
        <v>400.0</v>
      </c>
      <c r="C514" s="260" t="s">
        <v>1004</v>
      </c>
      <c r="D514" s="182" t="s">
        <v>25</v>
      </c>
    </row>
    <row r="515">
      <c r="A515" s="250" t="s">
        <v>2906</v>
      </c>
      <c r="B515" s="259">
        <v>50.0</v>
      </c>
      <c r="C515" s="260" t="s">
        <v>1004</v>
      </c>
      <c r="D515" s="182" t="s">
        <v>25</v>
      </c>
    </row>
    <row r="516">
      <c r="A516" s="250" t="s">
        <v>2907</v>
      </c>
      <c r="B516" s="259">
        <v>50.0</v>
      </c>
      <c r="C516" s="260" t="s">
        <v>1004</v>
      </c>
      <c r="D516" s="182" t="s">
        <v>25</v>
      </c>
    </row>
    <row r="517">
      <c r="A517" s="250" t="s">
        <v>2908</v>
      </c>
      <c r="B517" s="259">
        <v>25.0</v>
      </c>
      <c r="C517" s="260" t="s">
        <v>1004</v>
      </c>
      <c r="D517" s="182" t="s">
        <v>25</v>
      </c>
    </row>
    <row r="518">
      <c r="A518" s="250" t="s">
        <v>2909</v>
      </c>
      <c r="B518" s="259">
        <v>25.0</v>
      </c>
      <c r="C518" s="260" t="s">
        <v>1004</v>
      </c>
      <c r="D518" s="182" t="s">
        <v>25</v>
      </c>
    </row>
    <row r="519">
      <c r="A519" s="250" t="s">
        <v>2910</v>
      </c>
      <c r="B519" s="259">
        <v>100.0</v>
      </c>
      <c r="C519" s="260" t="s">
        <v>1004</v>
      </c>
      <c r="D519" s="182" t="s">
        <v>25</v>
      </c>
    </row>
    <row r="520">
      <c r="A520" s="250" t="s">
        <v>2911</v>
      </c>
      <c r="B520" s="259">
        <v>1000.0</v>
      </c>
      <c r="C520" s="260" t="s">
        <v>1004</v>
      </c>
      <c r="D520" s="182" t="s">
        <v>25</v>
      </c>
    </row>
    <row r="521">
      <c r="A521" s="240" t="s">
        <v>2912</v>
      </c>
      <c r="B521" s="241">
        <v>500.0</v>
      </c>
      <c r="C521" s="261" t="s">
        <v>1004</v>
      </c>
      <c r="D521" s="182" t="s">
        <v>25</v>
      </c>
    </row>
    <row r="522">
      <c r="A522" s="250" t="s">
        <v>2913</v>
      </c>
      <c r="B522" s="259">
        <v>100.0</v>
      </c>
      <c r="C522" s="260" t="s">
        <v>1004</v>
      </c>
      <c r="D522" s="182" t="s">
        <v>25</v>
      </c>
    </row>
    <row r="523">
      <c r="A523" s="250" t="s">
        <v>2914</v>
      </c>
      <c r="B523" s="259">
        <v>50.0</v>
      </c>
      <c r="C523" s="260" t="s">
        <v>1004</v>
      </c>
      <c r="D523" s="182" t="s">
        <v>25</v>
      </c>
    </row>
    <row r="524">
      <c r="A524" s="250" t="s">
        <v>2915</v>
      </c>
      <c r="B524" s="259">
        <v>175.0</v>
      </c>
      <c r="C524" s="260" t="s">
        <v>1004</v>
      </c>
      <c r="D524" s="182" t="s">
        <v>25</v>
      </c>
    </row>
    <row r="525">
      <c r="A525" s="250" t="s">
        <v>2916</v>
      </c>
      <c r="B525" s="259">
        <v>100.0</v>
      </c>
      <c r="C525" s="260" t="s">
        <v>1004</v>
      </c>
      <c r="D525" s="182" t="s">
        <v>25</v>
      </c>
    </row>
    <row r="526">
      <c r="A526" s="250" t="s">
        <v>2917</v>
      </c>
      <c r="B526" s="259">
        <v>50.0</v>
      </c>
      <c r="C526" s="260" t="s">
        <v>1004</v>
      </c>
      <c r="D526" s="182" t="s">
        <v>25</v>
      </c>
    </row>
    <row r="527">
      <c r="A527" s="250" t="s">
        <v>2918</v>
      </c>
      <c r="B527" s="259">
        <v>250.0</v>
      </c>
      <c r="C527" s="260" t="s">
        <v>1004</v>
      </c>
      <c r="D527" s="182" t="s">
        <v>25</v>
      </c>
    </row>
    <row r="528">
      <c r="A528" s="250" t="s">
        <v>2919</v>
      </c>
      <c r="B528" s="259">
        <v>300.0</v>
      </c>
      <c r="C528" s="260" t="s">
        <v>1004</v>
      </c>
      <c r="D528" s="182" t="s">
        <v>25</v>
      </c>
    </row>
    <row r="529">
      <c r="A529" s="250" t="s">
        <v>2920</v>
      </c>
      <c r="B529" s="259">
        <v>100.0</v>
      </c>
      <c r="C529" s="260" t="s">
        <v>1004</v>
      </c>
      <c r="D529" s="182" t="s">
        <v>25</v>
      </c>
    </row>
    <row r="530">
      <c r="A530" s="240" t="s">
        <v>2921</v>
      </c>
      <c r="B530" s="241">
        <v>50.0</v>
      </c>
      <c r="C530" s="261" t="s">
        <v>1004</v>
      </c>
      <c r="D530" s="262" t="s">
        <v>25</v>
      </c>
    </row>
    <row r="531">
      <c r="A531" s="250" t="s">
        <v>2922</v>
      </c>
      <c r="B531" s="259">
        <v>175.0</v>
      </c>
      <c r="C531" s="260" t="s">
        <v>1004</v>
      </c>
      <c r="D531" s="262" t="s">
        <v>25</v>
      </c>
    </row>
    <row r="532">
      <c r="A532" s="240" t="s">
        <v>2923</v>
      </c>
      <c r="B532" s="241">
        <v>50.0</v>
      </c>
      <c r="C532" s="261" t="s">
        <v>1004</v>
      </c>
      <c r="D532" s="262" t="s">
        <v>25</v>
      </c>
    </row>
    <row r="533">
      <c r="A533" s="250" t="s">
        <v>2924</v>
      </c>
      <c r="B533" s="259">
        <v>3200.0</v>
      </c>
      <c r="C533" s="260" t="s">
        <v>1004</v>
      </c>
      <c r="D533" s="262" t="s">
        <v>25</v>
      </c>
    </row>
    <row r="534">
      <c r="A534" s="250" t="s">
        <v>2925</v>
      </c>
      <c r="B534" s="259">
        <v>200.0</v>
      </c>
      <c r="C534" s="260" t="s">
        <v>1004</v>
      </c>
      <c r="D534" s="262" t="s">
        <v>25</v>
      </c>
    </row>
    <row r="535">
      <c r="A535" s="250" t="s">
        <v>2926</v>
      </c>
      <c r="B535" s="259">
        <v>40.0</v>
      </c>
      <c r="C535" s="260" t="s">
        <v>867</v>
      </c>
      <c r="D535" s="262" t="s">
        <v>25</v>
      </c>
    </row>
    <row r="536">
      <c r="A536" s="250" t="s">
        <v>2927</v>
      </c>
      <c r="B536" s="259">
        <v>600.0</v>
      </c>
      <c r="C536" s="260" t="s">
        <v>1004</v>
      </c>
      <c r="D536" s="262" t="s">
        <v>25</v>
      </c>
    </row>
    <row r="537">
      <c r="A537" s="250" t="s">
        <v>2928</v>
      </c>
      <c r="B537" s="259">
        <v>75.0</v>
      </c>
      <c r="C537" s="260" t="s">
        <v>1004</v>
      </c>
      <c r="D537" s="262" t="s">
        <v>25</v>
      </c>
    </row>
    <row r="538">
      <c r="A538" s="240" t="s">
        <v>2929</v>
      </c>
      <c r="B538" s="241">
        <v>25.0</v>
      </c>
      <c r="C538" s="261" t="s">
        <v>1004</v>
      </c>
      <c r="D538" s="262" t="s">
        <v>25</v>
      </c>
    </row>
    <row r="539">
      <c r="A539" s="240" t="s">
        <v>2930</v>
      </c>
      <c r="B539" s="241">
        <v>300.0</v>
      </c>
      <c r="C539" s="261" t="s">
        <v>1004</v>
      </c>
      <c r="D539" s="262" t="s">
        <v>25</v>
      </c>
    </row>
    <row r="540">
      <c r="A540" s="240" t="s">
        <v>1804</v>
      </c>
      <c r="B540" s="241">
        <v>50.0</v>
      </c>
      <c r="C540" s="261" t="s">
        <v>1004</v>
      </c>
      <c r="D540" s="262" t="s">
        <v>25</v>
      </c>
    </row>
    <row r="541">
      <c r="A541" s="240" t="s">
        <v>2931</v>
      </c>
      <c r="B541" s="241">
        <v>55.0</v>
      </c>
      <c r="C541" s="261" t="s">
        <v>1004</v>
      </c>
      <c r="D541" s="262" t="s">
        <v>25</v>
      </c>
    </row>
    <row r="542">
      <c r="A542" s="240" t="s">
        <v>2932</v>
      </c>
      <c r="B542" s="241">
        <v>54.0</v>
      </c>
      <c r="C542" s="261" t="s">
        <v>1004</v>
      </c>
      <c r="D542" s="262" t="s">
        <v>25</v>
      </c>
    </row>
    <row r="543">
      <c r="A543" s="250" t="s">
        <v>2933</v>
      </c>
      <c r="B543" s="259">
        <v>400.0</v>
      </c>
      <c r="C543" s="260" t="s">
        <v>1004</v>
      </c>
      <c r="D543" s="262" t="s">
        <v>25</v>
      </c>
    </row>
    <row r="544">
      <c r="A544" s="250" t="s">
        <v>2934</v>
      </c>
      <c r="B544" s="259">
        <v>25.0</v>
      </c>
      <c r="C544" s="260" t="s">
        <v>1004</v>
      </c>
      <c r="D544" s="262" t="s">
        <v>25</v>
      </c>
    </row>
    <row r="545">
      <c r="A545" s="240" t="s">
        <v>2935</v>
      </c>
      <c r="B545" s="241">
        <v>25.0</v>
      </c>
      <c r="C545" s="261" t="s">
        <v>1004</v>
      </c>
      <c r="D545" s="262" t="s">
        <v>25</v>
      </c>
    </row>
    <row r="546">
      <c r="A546" s="240" t="s">
        <v>1819</v>
      </c>
      <c r="B546" s="241">
        <v>350.0</v>
      </c>
      <c r="C546" s="261" t="s">
        <v>1004</v>
      </c>
      <c r="D546" s="262" t="s">
        <v>25</v>
      </c>
    </row>
    <row r="547">
      <c r="A547" s="240" t="s">
        <v>2936</v>
      </c>
      <c r="B547" s="241">
        <v>100.0</v>
      </c>
      <c r="C547" s="261" t="s">
        <v>1004</v>
      </c>
      <c r="D547" s="262" t="s">
        <v>25</v>
      </c>
    </row>
    <row r="548">
      <c r="A548" s="250" t="s">
        <v>2937</v>
      </c>
      <c r="B548" s="259">
        <v>250.0</v>
      </c>
      <c r="C548" s="260" t="s">
        <v>1004</v>
      </c>
      <c r="D548" s="262" t="s">
        <v>25</v>
      </c>
    </row>
    <row r="549">
      <c r="A549" s="250" t="s">
        <v>2938</v>
      </c>
      <c r="B549" s="259">
        <v>150.0</v>
      </c>
      <c r="C549" s="260" t="s">
        <v>1004</v>
      </c>
      <c r="D549" s="262" t="s">
        <v>25</v>
      </c>
      <c r="F549" s="263"/>
    </row>
    <row r="550">
      <c r="A550" s="240" t="s">
        <v>2939</v>
      </c>
      <c r="B550" s="241">
        <v>150.0</v>
      </c>
      <c r="C550" s="261" t="s">
        <v>1004</v>
      </c>
      <c r="D550" s="262" t="s">
        <v>25</v>
      </c>
    </row>
    <row r="551">
      <c r="A551" s="250" t="s">
        <v>2940</v>
      </c>
      <c r="B551" s="259">
        <v>400.0</v>
      </c>
      <c r="C551" s="260" t="s">
        <v>1004</v>
      </c>
      <c r="D551" s="262" t="s">
        <v>25</v>
      </c>
    </row>
    <row r="552">
      <c r="A552" s="250" t="s">
        <v>2941</v>
      </c>
      <c r="B552" s="259">
        <v>950.0</v>
      </c>
      <c r="C552" s="260" t="s">
        <v>1004</v>
      </c>
      <c r="D552" s="262" t="s">
        <v>25</v>
      </c>
    </row>
    <row r="553">
      <c r="A553" s="250" t="s">
        <v>2942</v>
      </c>
      <c r="B553" s="259">
        <v>50.0</v>
      </c>
      <c r="C553" s="260" t="s">
        <v>1004</v>
      </c>
      <c r="D553" s="262" t="s">
        <v>25</v>
      </c>
    </row>
    <row r="554">
      <c r="A554" s="250" t="s">
        <v>2943</v>
      </c>
      <c r="B554" s="259">
        <v>50.0</v>
      </c>
      <c r="C554" s="260" t="s">
        <v>1004</v>
      </c>
      <c r="D554" s="262" t="s">
        <v>25</v>
      </c>
    </row>
    <row r="555">
      <c r="A555" s="250" t="s">
        <v>2944</v>
      </c>
      <c r="B555" s="259">
        <v>300.0</v>
      </c>
      <c r="C555" s="260" t="s">
        <v>1004</v>
      </c>
      <c r="D555" s="262" t="s">
        <v>25</v>
      </c>
    </row>
    <row r="556">
      <c r="A556" s="250" t="s">
        <v>2945</v>
      </c>
      <c r="B556" s="259">
        <v>200.0</v>
      </c>
      <c r="C556" s="260" t="s">
        <v>1004</v>
      </c>
      <c r="D556" s="262" t="s">
        <v>25</v>
      </c>
    </row>
    <row r="557">
      <c r="A557" s="240" t="s">
        <v>2946</v>
      </c>
      <c r="B557" s="241">
        <v>175.0</v>
      </c>
      <c r="C557" s="261" t="s">
        <v>1004</v>
      </c>
      <c r="D557" s="262" t="s">
        <v>25</v>
      </c>
    </row>
    <row r="558">
      <c r="A558" s="240" t="s">
        <v>2947</v>
      </c>
      <c r="B558" s="241">
        <v>175.0</v>
      </c>
      <c r="C558" s="261" t="s">
        <v>1004</v>
      </c>
      <c r="D558" s="262" t="s">
        <v>25</v>
      </c>
    </row>
    <row r="559">
      <c r="A559" s="250" t="s">
        <v>2948</v>
      </c>
      <c r="B559" s="259">
        <v>50.0</v>
      </c>
      <c r="C559" s="260" t="s">
        <v>1004</v>
      </c>
      <c r="D559" s="262" t="s">
        <v>25</v>
      </c>
    </row>
    <row r="560">
      <c r="A560" s="250" t="s">
        <v>2949</v>
      </c>
      <c r="B560" s="259">
        <v>100.0</v>
      </c>
      <c r="C560" s="260" t="s">
        <v>1004</v>
      </c>
      <c r="D560" s="262" t="s">
        <v>25</v>
      </c>
    </row>
    <row r="561">
      <c r="A561" s="240" t="s">
        <v>2950</v>
      </c>
      <c r="B561" s="241">
        <v>150.0</v>
      </c>
      <c r="C561" s="261" t="s">
        <v>1004</v>
      </c>
      <c r="D561" s="262" t="s">
        <v>25</v>
      </c>
    </row>
    <row r="562">
      <c r="A562" s="250" t="s">
        <v>2951</v>
      </c>
      <c r="B562" s="259">
        <v>54.0</v>
      </c>
      <c r="C562" s="260" t="s">
        <v>1004</v>
      </c>
      <c r="D562" s="262" t="s">
        <v>25</v>
      </c>
    </row>
    <row r="563">
      <c r="A563" s="250" t="s">
        <v>1847</v>
      </c>
      <c r="B563" s="259">
        <v>50.0</v>
      </c>
      <c r="C563" s="260" t="s">
        <v>1004</v>
      </c>
      <c r="D563" s="262" t="s">
        <v>25</v>
      </c>
    </row>
    <row r="564">
      <c r="A564" s="250" t="s">
        <v>2952</v>
      </c>
      <c r="B564" s="259">
        <v>500.0</v>
      </c>
      <c r="C564" s="260" t="s">
        <v>1004</v>
      </c>
      <c r="D564" s="262" t="s">
        <v>25</v>
      </c>
    </row>
    <row r="565">
      <c r="A565" s="250" t="s">
        <v>2953</v>
      </c>
      <c r="B565" s="259">
        <v>50.0</v>
      </c>
      <c r="C565" s="260" t="s">
        <v>1004</v>
      </c>
      <c r="D565" s="262" t="s">
        <v>25</v>
      </c>
    </row>
    <row r="566">
      <c r="A566" s="250" t="s">
        <v>2954</v>
      </c>
      <c r="B566" s="259">
        <v>50.0</v>
      </c>
      <c r="C566" s="260" t="s">
        <v>1004</v>
      </c>
      <c r="D566" s="262" t="s">
        <v>25</v>
      </c>
    </row>
    <row r="567">
      <c r="A567" s="250" t="s">
        <v>1894</v>
      </c>
      <c r="B567" s="259">
        <v>400.0</v>
      </c>
      <c r="C567" s="260" t="s">
        <v>1004</v>
      </c>
      <c r="D567" s="262" t="s">
        <v>25</v>
      </c>
    </row>
    <row r="568">
      <c r="A568" s="250" t="s">
        <v>2955</v>
      </c>
      <c r="B568" s="259">
        <v>50.0</v>
      </c>
      <c r="C568" s="260" t="s">
        <v>1004</v>
      </c>
      <c r="D568" s="262" t="s">
        <v>25</v>
      </c>
    </row>
    <row r="569">
      <c r="A569" s="240" t="s">
        <v>2956</v>
      </c>
      <c r="B569" s="241">
        <v>100.0</v>
      </c>
      <c r="C569" s="261" t="s">
        <v>1004</v>
      </c>
      <c r="D569" s="262" t="s">
        <v>25</v>
      </c>
    </row>
    <row r="570">
      <c r="A570" s="240" t="s">
        <v>2957</v>
      </c>
      <c r="B570" s="241">
        <v>50.0</v>
      </c>
      <c r="C570" s="261" t="s">
        <v>1004</v>
      </c>
      <c r="D570" s="262" t="s">
        <v>25</v>
      </c>
    </row>
    <row r="571">
      <c r="A571" s="240" t="s">
        <v>2958</v>
      </c>
      <c r="B571" s="241">
        <v>2650.0</v>
      </c>
      <c r="C571" s="261" t="s">
        <v>1004</v>
      </c>
      <c r="D571" s="262" t="s">
        <v>25</v>
      </c>
    </row>
    <row r="572">
      <c r="A572" s="250" t="s">
        <v>2959</v>
      </c>
      <c r="B572" s="259">
        <v>1450.0</v>
      </c>
      <c r="C572" s="260" t="s">
        <v>1004</v>
      </c>
      <c r="D572" s="262" t="s">
        <v>25</v>
      </c>
    </row>
    <row r="573">
      <c r="A573" s="250" t="s">
        <v>2960</v>
      </c>
      <c r="B573" s="259">
        <v>50.0</v>
      </c>
      <c r="C573" s="260" t="s">
        <v>1004</v>
      </c>
      <c r="D573" s="262" t="s">
        <v>25</v>
      </c>
    </row>
    <row r="574">
      <c r="A574" s="250" t="s">
        <v>2961</v>
      </c>
      <c r="B574" s="259">
        <v>150.0</v>
      </c>
      <c r="C574" s="260" t="s">
        <v>1004</v>
      </c>
      <c r="D574" s="262" t="s">
        <v>25</v>
      </c>
    </row>
    <row r="575">
      <c r="A575" s="250" t="s">
        <v>2962</v>
      </c>
      <c r="B575" s="259">
        <v>50.0</v>
      </c>
      <c r="C575" s="260" t="s">
        <v>1004</v>
      </c>
      <c r="D575" s="262" t="s">
        <v>25</v>
      </c>
    </row>
    <row r="576">
      <c r="A576" s="250" t="s">
        <v>2963</v>
      </c>
      <c r="B576" s="259">
        <v>350.0</v>
      </c>
      <c r="C576" s="260" t="s">
        <v>1004</v>
      </c>
      <c r="D576" s="262" t="s">
        <v>25</v>
      </c>
    </row>
    <row r="577">
      <c r="A577" s="250" t="s">
        <v>2964</v>
      </c>
      <c r="B577" s="259">
        <v>150.0</v>
      </c>
      <c r="C577" s="260" t="s">
        <v>1004</v>
      </c>
      <c r="D577" s="262" t="s">
        <v>25</v>
      </c>
    </row>
    <row r="578">
      <c r="A578" s="250" t="s">
        <v>2965</v>
      </c>
      <c r="B578" s="259">
        <v>23.56</v>
      </c>
      <c r="C578" s="260" t="s">
        <v>1004</v>
      </c>
      <c r="D578" s="262" t="s">
        <v>25</v>
      </c>
    </row>
    <row r="579">
      <c r="A579" s="250" t="s">
        <v>2966</v>
      </c>
      <c r="B579" s="259">
        <v>23.56</v>
      </c>
      <c r="C579" s="260" t="s">
        <v>1004</v>
      </c>
      <c r="D579" s="262" t="s">
        <v>25</v>
      </c>
    </row>
    <row r="580">
      <c r="A580" s="250" t="s">
        <v>2967</v>
      </c>
      <c r="B580" s="259">
        <v>36.19</v>
      </c>
      <c r="C580" s="260" t="s">
        <v>1004</v>
      </c>
      <c r="D580" s="262" t="s">
        <v>25</v>
      </c>
    </row>
    <row r="581">
      <c r="A581" s="250" t="s">
        <v>2968</v>
      </c>
      <c r="B581" s="259">
        <v>23.56</v>
      </c>
      <c r="C581" s="260" t="s">
        <v>1004</v>
      </c>
      <c r="D581" s="262" t="s">
        <v>25</v>
      </c>
    </row>
    <row r="582">
      <c r="A582" s="250" t="s">
        <v>2969</v>
      </c>
      <c r="B582" s="259">
        <v>50.0</v>
      </c>
      <c r="C582" s="260" t="s">
        <v>1004</v>
      </c>
      <c r="D582" s="262" t="s">
        <v>25</v>
      </c>
    </row>
    <row r="583">
      <c r="A583" s="250" t="s">
        <v>2970</v>
      </c>
      <c r="B583" s="259">
        <v>50.0</v>
      </c>
      <c r="C583" s="260" t="s">
        <v>1004</v>
      </c>
      <c r="D583" s="262" t="s">
        <v>25</v>
      </c>
    </row>
    <row r="584">
      <c r="A584" s="250" t="s">
        <v>2971</v>
      </c>
      <c r="B584" s="259">
        <v>100.0</v>
      </c>
      <c r="C584" s="260" t="s">
        <v>1004</v>
      </c>
      <c r="D584" s="262" t="s">
        <v>25</v>
      </c>
    </row>
    <row r="585">
      <c r="A585" s="250" t="s">
        <v>2972</v>
      </c>
      <c r="B585" s="259">
        <v>100.0</v>
      </c>
      <c r="C585" s="260" t="s">
        <v>1004</v>
      </c>
      <c r="D585" s="262" t="s">
        <v>25</v>
      </c>
    </row>
    <row r="586">
      <c r="A586" s="250" t="s">
        <v>2973</v>
      </c>
      <c r="B586" s="259">
        <v>550.0</v>
      </c>
      <c r="C586" s="260" t="s">
        <v>1004</v>
      </c>
      <c r="D586" s="262" t="s">
        <v>25</v>
      </c>
    </row>
    <row r="587">
      <c r="A587" s="250" t="s">
        <v>2974</v>
      </c>
      <c r="B587" s="259">
        <v>800.0</v>
      </c>
      <c r="C587" s="260" t="s">
        <v>1004</v>
      </c>
      <c r="D587" s="262" t="s">
        <v>25</v>
      </c>
    </row>
    <row r="588">
      <c r="A588" s="250" t="s">
        <v>2975</v>
      </c>
      <c r="B588" s="259">
        <v>50.0</v>
      </c>
      <c r="C588" s="260" t="s">
        <v>1004</v>
      </c>
      <c r="D588" s="262" t="s">
        <v>25</v>
      </c>
    </row>
    <row r="589">
      <c r="A589" s="250" t="s">
        <v>2976</v>
      </c>
      <c r="B589" s="259">
        <v>175.0</v>
      </c>
      <c r="C589" s="260" t="s">
        <v>1004</v>
      </c>
      <c r="D589" s="262" t="s">
        <v>25</v>
      </c>
    </row>
    <row r="590">
      <c r="A590" s="250" t="s">
        <v>2977</v>
      </c>
      <c r="B590" s="259">
        <v>175.0</v>
      </c>
      <c r="C590" s="260" t="s">
        <v>1004</v>
      </c>
      <c r="D590" s="262" t="s">
        <v>25</v>
      </c>
    </row>
    <row r="591">
      <c r="A591" s="250" t="s">
        <v>2978</v>
      </c>
      <c r="B591" s="259">
        <v>175.0</v>
      </c>
      <c r="C591" s="260" t="s">
        <v>1004</v>
      </c>
      <c r="D591" s="262" t="s">
        <v>25</v>
      </c>
    </row>
    <row r="592">
      <c r="A592" s="250" t="s">
        <v>2979</v>
      </c>
      <c r="B592" s="259">
        <v>25.0</v>
      </c>
      <c r="C592" s="260" t="s">
        <v>1004</v>
      </c>
      <c r="D592" s="262" t="s">
        <v>25</v>
      </c>
    </row>
    <row r="593">
      <c r="A593" s="250" t="s">
        <v>2980</v>
      </c>
      <c r="B593" s="259">
        <v>25.0</v>
      </c>
      <c r="C593" s="260" t="s">
        <v>1004</v>
      </c>
      <c r="D593" s="262" t="s">
        <v>25</v>
      </c>
    </row>
    <row r="594">
      <c r="A594" s="250" t="s">
        <v>2981</v>
      </c>
      <c r="B594" s="259">
        <v>25.0</v>
      </c>
      <c r="C594" s="260" t="s">
        <v>1004</v>
      </c>
      <c r="D594" s="262" t="s">
        <v>25</v>
      </c>
    </row>
    <row r="595">
      <c r="A595" s="250" t="s">
        <v>2982</v>
      </c>
      <c r="B595" s="259">
        <v>250.0</v>
      </c>
      <c r="C595" s="260" t="s">
        <v>1004</v>
      </c>
      <c r="D595" s="262" t="s">
        <v>25</v>
      </c>
    </row>
    <row r="596">
      <c r="A596" s="250" t="s">
        <v>2983</v>
      </c>
      <c r="B596" s="259">
        <v>150.0</v>
      </c>
      <c r="C596" s="260" t="s">
        <v>1004</v>
      </c>
      <c r="D596" s="262" t="s">
        <v>25</v>
      </c>
    </row>
    <row r="597">
      <c r="A597" s="250" t="s">
        <v>2984</v>
      </c>
      <c r="B597" s="259">
        <v>50.0</v>
      </c>
      <c r="C597" s="260" t="s">
        <v>1004</v>
      </c>
      <c r="D597" s="262" t="s">
        <v>25</v>
      </c>
    </row>
    <row r="598">
      <c r="A598" s="250" t="s">
        <v>2985</v>
      </c>
      <c r="B598" s="259">
        <v>250.0</v>
      </c>
      <c r="C598" s="260" t="s">
        <v>1004</v>
      </c>
      <c r="D598" s="262" t="s">
        <v>25</v>
      </c>
    </row>
    <row r="599">
      <c r="A599" s="250" t="s">
        <v>2986</v>
      </c>
      <c r="B599" s="259">
        <v>850.0</v>
      </c>
      <c r="C599" s="260" t="s">
        <v>1004</v>
      </c>
      <c r="D599" s="262" t="s">
        <v>25</v>
      </c>
    </row>
    <row r="600">
      <c r="A600" s="250" t="s">
        <v>2987</v>
      </c>
      <c r="B600" s="259">
        <v>35.75</v>
      </c>
      <c r="C600" s="260" t="s">
        <v>1004</v>
      </c>
      <c r="D600" s="262" t="s">
        <v>25</v>
      </c>
    </row>
    <row r="601">
      <c r="A601" s="250" t="s">
        <v>2988</v>
      </c>
      <c r="B601" s="259">
        <v>450.0</v>
      </c>
      <c r="C601" s="260" t="s">
        <v>1004</v>
      </c>
      <c r="D601" s="262" t="s">
        <v>25</v>
      </c>
    </row>
    <row r="602">
      <c r="A602" s="250" t="s">
        <v>2989</v>
      </c>
      <c r="B602" s="259">
        <v>50.0</v>
      </c>
      <c r="C602" s="260" t="s">
        <v>1004</v>
      </c>
      <c r="D602" s="262" t="s">
        <v>25</v>
      </c>
    </row>
    <row r="603">
      <c r="A603" s="250" t="s">
        <v>2990</v>
      </c>
      <c r="B603" s="259">
        <v>150.0</v>
      </c>
      <c r="C603" s="260" t="s">
        <v>1004</v>
      </c>
      <c r="D603" s="262" t="s">
        <v>25</v>
      </c>
    </row>
    <row r="604">
      <c r="A604" s="250" t="s">
        <v>2991</v>
      </c>
      <c r="B604" s="259">
        <v>100.0</v>
      </c>
      <c r="C604" s="260" t="s">
        <v>1004</v>
      </c>
      <c r="D604" s="262" t="s">
        <v>25</v>
      </c>
    </row>
    <row r="605">
      <c r="A605" s="250" t="s">
        <v>2992</v>
      </c>
      <c r="B605" s="259">
        <v>250.0</v>
      </c>
      <c r="C605" s="260" t="s">
        <v>1004</v>
      </c>
      <c r="D605" s="262" t="s">
        <v>25</v>
      </c>
    </row>
    <row r="606">
      <c r="A606" s="250" t="s">
        <v>2993</v>
      </c>
      <c r="B606" s="259">
        <v>200.0</v>
      </c>
      <c r="C606" s="260" t="s">
        <v>1004</v>
      </c>
      <c r="D606" s="262" t="s">
        <v>25</v>
      </c>
    </row>
    <row r="607">
      <c r="A607" s="250" t="s">
        <v>2994</v>
      </c>
      <c r="B607" s="259">
        <v>1100.0</v>
      </c>
      <c r="C607" s="260" t="s">
        <v>1004</v>
      </c>
      <c r="D607" s="262" t="s">
        <v>25</v>
      </c>
    </row>
    <row r="608">
      <c r="A608" s="250" t="s">
        <v>1964</v>
      </c>
      <c r="B608" s="259">
        <v>100.0</v>
      </c>
      <c r="C608" s="260" t="s">
        <v>1004</v>
      </c>
      <c r="D608" s="262" t="s">
        <v>25</v>
      </c>
    </row>
    <row r="609">
      <c r="A609" s="250" t="s">
        <v>2995</v>
      </c>
      <c r="B609" s="259">
        <v>50.0</v>
      </c>
      <c r="C609" s="260" t="s">
        <v>1004</v>
      </c>
      <c r="D609" s="262" t="s">
        <v>25</v>
      </c>
    </row>
    <row r="610">
      <c r="A610" s="250" t="s">
        <v>2996</v>
      </c>
      <c r="B610" s="259">
        <v>50.0</v>
      </c>
      <c r="C610" s="260" t="s">
        <v>1004</v>
      </c>
      <c r="D610" s="262" t="s">
        <v>25</v>
      </c>
    </row>
    <row r="611">
      <c r="A611" s="250" t="s">
        <v>2997</v>
      </c>
      <c r="B611" s="259">
        <v>50.0</v>
      </c>
      <c r="C611" s="260" t="s">
        <v>1004</v>
      </c>
      <c r="D611" s="262" t="s">
        <v>25</v>
      </c>
    </row>
    <row r="612">
      <c r="A612" s="250" t="s">
        <v>2998</v>
      </c>
      <c r="B612" s="259">
        <v>300.0</v>
      </c>
      <c r="C612" s="260" t="s">
        <v>1004</v>
      </c>
      <c r="D612" s="262" t="s">
        <v>25</v>
      </c>
    </row>
    <row r="613">
      <c r="A613" s="250" t="s">
        <v>2999</v>
      </c>
      <c r="B613" s="259">
        <v>175.0</v>
      </c>
      <c r="C613" s="260" t="s">
        <v>1004</v>
      </c>
      <c r="D613" s="262" t="s">
        <v>25</v>
      </c>
    </row>
    <row r="614">
      <c r="A614" s="250" t="s">
        <v>3000</v>
      </c>
      <c r="B614" s="259">
        <v>50.0</v>
      </c>
      <c r="C614" s="260" t="s">
        <v>1004</v>
      </c>
      <c r="D614" s="262" t="s">
        <v>25</v>
      </c>
    </row>
    <row r="615">
      <c r="A615" s="250" t="s">
        <v>3001</v>
      </c>
      <c r="B615" s="259">
        <v>50.0</v>
      </c>
      <c r="C615" s="260" t="s">
        <v>1004</v>
      </c>
      <c r="D615" s="262" t="s">
        <v>25</v>
      </c>
    </row>
    <row r="616">
      <c r="A616" s="250" t="s">
        <v>3002</v>
      </c>
      <c r="B616" s="259">
        <v>600.0</v>
      </c>
      <c r="C616" s="260" t="s">
        <v>1004</v>
      </c>
      <c r="D616" s="262" t="s">
        <v>25</v>
      </c>
    </row>
    <row r="617">
      <c r="A617" s="250" t="s">
        <v>3003</v>
      </c>
      <c r="B617" s="259">
        <v>36.0</v>
      </c>
      <c r="C617" s="260" t="s">
        <v>1004</v>
      </c>
      <c r="D617" s="262" t="s">
        <v>25</v>
      </c>
    </row>
    <row r="618">
      <c r="A618" s="250" t="s">
        <v>3004</v>
      </c>
      <c r="B618" s="259">
        <v>175.0</v>
      </c>
      <c r="C618" s="260" t="s">
        <v>1004</v>
      </c>
      <c r="D618" s="262" t="s">
        <v>25</v>
      </c>
    </row>
    <row r="619">
      <c r="A619" s="250" t="s">
        <v>3005</v>
      </c>
      <c r="B619" s="259">
        <v>100.0</v>
      </c>
      <c r="C619" s="260" t="s">
        <v>1004</v>
      </c>
      <c r="D619" s="262" t="s">
        <v>25</v>
      </c>
    </row>
    <row r="620">
      <c r="A620" s="250" t="s">
        <v>3006</v>
      </c>
      <c r="B620" s="259">
        <v>50.0</v>
      </c>
      <c r="C620" s="260" t="s">
        <v>1004</v>
      </c>
      <c r="D620" s="262" t="s">
        <v>25</v>
      </c>
    </row>
    <row r="621">
      <c r="A621" s="250" t="s">
        <v>3007</v>
      </c>
      <c r="B621" s="259">
        <v>150.0</v>
      </c>
      <c r="C621" s="260" t="s">
        <v>1004</v>
      </c>
      <c r="D621" s="262" t="s">
        <v>25</v>
      </c>
    </row>
    <row r="622">
      <c r="A622" s="250" t="s">
        <v>3008</v>
      </c>
      <c r="B622" s="259">
        <v>2700.0</v>
      </c>
      <c r="C622" s="260" t="s">
        <v>1004</v>
      </c>
      <c r="D622" s="262" t="s">
        <v>25</v>
      </c>
    </row>
    <row r="623">
      <c r="A623" s="250" t="s">
        <v>2034</v>
      </c>
      <c r="B623" s="259">
        <v>150.0</v>
      </c>
      <c r="C623" s="260" t="s">
        <v>1004</v>
      </c>
      <c r="D623" s="262" t="s">
        <v>25</v>
      </c>
    </row>
    <row r="624">
      <c r="A624" s="250" t="s">
        <v>3009</v>
      </c>
      <c r="B624" s="259">
        <v>400.0</v>
      </c>
      <c r="C624" s="260" t="s">
        <v>1004</v>
      </c>
      <c r="D624" s="262" t="s">
        <v>25</v>
      </c>
    </row>
    <row r="625">
      <c r="A625" s="250" t="s">
        <v>3010</v>
      </c>
      <c r="B625" s="259">
        <v>50.0</v>
      </c>
      <c r="C625" s="260" t="s">
        <v>1004</v>
      </c>
      <c r="D625" s="262" t="s">
        <v>25</v>
      </c>
    </row>
    <row r="626">
      <c r="A626" s="250" t="s">
        <v>3011</v>
      </c>
      <c r="B626" s="259">
        <v>100.0</v>
      </c>
      <c r="C626" s="260" t="s">
        <v>1004</v>
      </c>
      <c r="D626" s="262" t="s">
        <v>25</v>
      </c>
    </row>
    <row r="627">
      <c r="A627" s="250" t="s">
        <v>3012</v>
      </c>
      <c r="B627" s="259">
        <v>150.0</v>
      </c>
      <c r="C627" s="260" t="s">
        <v>1004</v>
      </c>
      <c r="D627" s="262" t="s">
        <v>25</v>
      </c>
    </row>
    <row r="628">
      <c r="A628" s="250" t="s">
        <v>3013</v>
      </c>
      <c r="B628" s="259">
        <v>50.0</v>
      </c>
      <c r="C628" s="260" t="s">
        <v>1004</v>
      </c>
      <c r="D628" s="262" t="s">
        <v>25</v>
      </c>
    </row>
    <row r="629">
      <c r="A629" s="250" t="s">
        <v>3014</v>
      </c>
      <c r="B629" s="259">
        <v>300.0</v>
      </c>
      <c r="C629" s="260" t="s">
        <v>1004</v>
      </c>
      <c r="D629" s="262" t="s">
        <v>25</v>
      </c>
    </row>
    <row r="630">
      <c r="A630" s="250" t="s">
        <v>3015</v>
      </c>
      <c r="B630" s="259">
        <v>57.0</v>
      </c>
      <c r="C630" s="260" t="s">
        <v>1004</v>
      </c>
      <c r="D630" s="262" t="s">
        <v>25</v>
      </c>
    </row>
    <row r="631">
      <c r="A631" s="250" t="s">
        <v>3016</v>
      </c>
      <c r="B631" s="259">
        <v>57.0</v>
      </c>
      <c r="C631" s="260" t="s">
        <v>1004</v>
      </c>
      <c r="D631" s="262" t="s">
        <v>25</v>
      </c>
    </row>
    <row r="632">
      <c r="A632" s="250" t="s">
        <v>3017</v>
      </c>
      <c r="B632" s="259">
        <v>35.75</v>
      </c>
      <c r="C632" s="260" t="s">
        <v>1004</v>
      </c>
      <c r="D632" s="262" t="s">
        <v>25</v>
      </c>
    </row>
    <row r="633">
      <c r="A633" s="250" t="s">
        <v>3018</v>
      </c>
      <c r="B633" s="259">
        <v>58.0</v>
      </c>
      <c r="C633" s="260" t="s">
        <v>1004</v>
      </c>
      <c r="D633" s="262" t="s">
        <v>25</v>
      </c>
    </row>
    <row r="634">
      <c r="A634" s="250" t="s">
        <v>3019</v>
      </c>
      <c r="B634" s="259">
        <v>600.0</v>
      </c>
      <c r="C634" s="260" t="s">
        <v>1004</v>
      </c>
      <c r="D634" s="262" t="s">
        <v>25</v>
      </c>
    </row>
    <row r="635">
      <c r="A635" s="250" t="s">
        <v>3020</v>
      </c>
      <c r="B635" s="259">
        <v>200.0</v>
      </c>
      <c r="C635" s="260" t="s">
        <v>1004</v>
      </c>
      <c r="D635" s="262" t="s">
        <v>25</v>
      </c>
    </row>
    <row r="636">
      <c r="A636" s="250" t="s">
        <v>3021</v>
      </c>
      <c r="B636" s="259">
        <v>100.0</v>
      </c>
      <c r="C636" s="260" t="s">
        <v>1004</v>
      </c>
      <c r="D636" s="262" t="s">
        <v>25</v>
      </c>
    </row>
    <row r="637">
      <c r="A637" s="250" t="s">
        <v>3022</v>
      </c>
      <c r="B637" s="259">
        <v>35.75</v>
      </c>
      <c r="C637" s="260" t="s">
        <v>1004</v>
      </c>
      <c r="D637" s="262" t="s">
        <v>25</v>
      </c>
    </row>
    <row r="638">
      <c r="A638" s="250" t="s">
        <v>3023</v>
      </c>
      <c r="B638" s="259">
        <v>35.75</v>
      </c>
      <c r="C638" s="260" t="s">
        <v>1004</v>
      </c>
      <c r="D638" s="262" t="s">
        <v>25</v>
      </c>
    </row>
    <row r="639">
      <c r="A639" s="250" t="s">
        <v>3024</v>
      </c>
      <c r="B639" s="259">
        <v>35.75</v>
      </c>
      <c r="C639" s="260" t="s">
        <v>1004</v>
      </c>
      <c r="D639" s="262" t="s">
        <v>25</v>
      </c>
    </row>
    <row r="640">
      <c r="A640" s="250" t="s">
        <v>3025</v>
      </c>
      <c r="B640" s="259">
        <v>100.0</v>
      </c>
      <c r="C640" s="260" t="s">
        <v>1004</v>
      </c>
      <c r="D640" s="262" t="s">
        <v>25</v>
      </c>
    </row>
    <row r="641">
      <c r="A641" s="250" t="s">
        <v>3026</v>
      </c>
      <c r="B641" s="259">
        <v>175.0</v>
      </c>
      <c r="C641" s="260" t="s">
        <v>1004</v>
      </c>
      <c r="D641" s="262" t="s">
        <v>25</v>
      </c>
    </row>
    <row r="642">
      <c r="A642" s="250" t="s">
        <v>3027</v>
      </c>
      <c r="B642" s="259">
        <v>150.0</v>
      </c>
      <c r="C642" s="260" t="s">
        <v>1004</v>
      </c>
      <c r="D642" s="262" t="s">
        <v>25</v>
      </c>
    </row>
    <row r="643">
      <c r="A643" s="250" t="s">
        <v>3028</v>
      </c>
      <c r="B643" s="259">
        <v>50.0</v>
      </c>
      <c r="C643" s="260" t="s">
        <v>1004</v>
      </c>
      <c r="D643" s="262" t="s">
        <v>25</v>
      </c>
    </row>
    <row r="644">
      <c r="A644" s="250" t="s">
        <v>3029</v>
      </c>
      <c r="B644" s="259">
        <v>100.0</v>
      </c>
      <c r="C644" s="260" t="s">
        <v>1004</v>
      </c>
      <c r="D644" s="262" t="s">
        <v>25</v>
      </c>
    </row>
    <row r="645">
      <c r="A645" s="250" t="s">
        <v>3030</v>
      </c>
      <c r="B645" s="259">
        <v>100.0</v>
      </c>
      <c r="C645" s="260" t="s">
        <v>1004</v>
      </c>
      <c r="D645" s="262" t="s">
        <v>25</v>
      </c>
    </row>
    <row r="646">
      <c r="A646" s="250" t="s">
        <v>2077</v>
      </c>
      <c r="B646" s="259">
        <v>225.0</v>
      </c>
      <c r="C646" s="260" t="s">
        <v>1004</v>
      </c>
      <c r="D646" s="262" t="s">
        <v>25</v>
      </c>
    </row>
    <row r="647">
      <c r="A647" s="250" t="s">
        <v>3031</v>
      </c>
      <c r="B647" s="259">
        <v>225.0</v>
      </c>
      <c r="C647" s="260" t="s">
        <v>1004</v>
      </c>
      <c r="D647" s="262" t="s">
        <v>25</v>
      </c>
    </row>
    <row r="648">
      <c r="A648" s="250" t="s">
        <v>3032</v>
      </c>
      <c r="B648" s="259">
        <v>175.0</v>
      </c>
      <c r="C648" s="260" t="s">
        <v>1004</v>
      </c>
      <c r="D648" s="262" t="s">
        <v>25</v>
      </c>
    </row>
    <row r="649">
      <c r="A649" s="250" t="s">
        <v>3033</v>
      </c>
      <c r="B649" s="259">
        <v>175.0</v>
      </c>
      <c r="C649" s="260" t="s">
        <v>1004</v>
      </c>
      <c r="D649" s="262" t="s">
        <v>25</v>
      </c>
    </row>
    <row r="650">
      <c r="A650" s="250" t="s">
        <v>3034</v>
      </c>
      <c r="B650" s="259">
        <v>175.0</v>
      </c>
      <c r="C650" s="260" t="s">
        <v>1004</v>
      </c>
      <c r="D650" s="262" t="s">
        <v>25</v>
      </c>
    </row>
    <row r="651">
      <c r="A651" s="250" t="s">
        <v>3035</v>
      </c>
      <c r="B651" s="259">
        <v>200.0</v>
      </c>
      <c r="C651" s="260" t="s">
        <v>1004</v>
      </c>
      <c r="D651" s="262" t="s">
        <v>25</v>
      </c>
    </row>
    <row r="652">
      <c r="A652" s="250" t="s">
        <v>3036</v>
      </c>
      <c r="B652" s="259">
        <v>300.0</v>
      </c>
      <c r="C652" s="260" t="s">
        <v>1004</v>
      </c>
      <c r="D652" s="262" t="s">
        <v>25</v>
      </c>
    </row>
    <row r="653">
      <c r="A653" s="250" t="s">
        <v>3037</v>
      </c>
      <c r="B653" s="259">
        <v>600.0</v>
      </c>
      <c r="C653" s="260" t="s">
        <v>1004</v>
      </c>
      <c r="D653" s="262" t="s">
        <v>25</v>
      </c>
    </row>
    <row r="654">
      <c r="A654" s="250" t="s">
        <v>3038</v>
      </c>
      <c r="B654" s="259">
        <v>500.0</v>
      </c>
      <c r="C654" s="260" t="s">
        <v>1004</v>
      </c>
      <c r="D654" s="262" t="s">
        <v>25</v>
      </c>
    </row>
    <row r="655">
      <c r="A655" s="250" t="s">
        <v>3039</v>
      </c>
      <c r="B655" s="259">
        <v>2075.0</v>
      </c>
      <c r="C655" s="260" t="s">
        <v>1004</v>
      </c>
      <c r="D655" s="262" t="s">
        <v>25</v>
      </c>
    </row>
    <row r="656">
      <c r="A656" s="250" t="s">
        <v>3040</v>
      </c>
      <c r="B656" s="259">
        <v>625.0</v>
      </c>
      <c r="C656" s="260" t="s">
        <v>1004</v>
      </c>
      <c r="D656" s="262" t="s">
        <v>25</v>
      </c>
    </row>
    <row r="657">
      <c r="A657" s="250" t="s">
        <v>2124</v>
      </c>
      <c r="B657" s="259">
        <v>200.0</v>
      </c>
      <c r="C657" s="260" t="s">
        <v>1004</v>
      </c>
      <c r="D657" s="262" t="s">
        <v>25</v>
      </c>
    </row>
    <row r="658">
      <c r="A658" s="250" t="s">
        <v>3041</v>
      </c>
      <c r="B658" s="259">
        <v>200.0</v>
      </c>
      <c r="C658" s="260" t="s">
        <v>1004</v>
      </c>
      <c r="D658" s="262" t="s">
        <v>25</v>
      </c>
    </row>
    <row r="659">
      <c r="A659" s="250" t="s">
        <v>3042</v>
      </c>
      <c r="B659" s="259">
        <v>50.0</v>
      </c>
      <c r="C659" s="260" t="s">
        <v>1004</v>
      </c>
      <c r="D659" s="262" t="s">
        <v>25</v>
      </c>
    </row>
    <row r="660">
      <c r="A660" s="264" t="s">
        <v>3043</v>
      </c>
      <c r="B660" s="265">
        <v>50.0</v>
      </c>
      <c r="C660" s="266" t="s">
        <v>1004</v>
      </c>
      <c r="D660" s="262" t="s">
        <v>20</v>
      </c>
    </row>
    <row r="661">
      <c r="A661" s="250" t="s">
        <v>3044</v>
      </c>
      <c r="B661" s="259">
        <v>100.0</v>
      </c>
      <c r="C661" s="260" t="s">
        <v>1004</v>
      </c>
      <c r="D661" s="262" t="s">
        <v>25</v>
      </c>
    </row>
    <row r="662">
      <c r="A662" s="250" t="s">
        <v>3045</v>
      </c>
      <c r="B662" s="259">
        <v>35.75</v>
      </c>
      <c r="C662" s="260" t="s">
        <v>1004</v>
      </c>
      <c r="D662" s="262" t="s">
        <v>25</v>
      </c>
    </row>
    <row r="663">
      <c r="A663" s="250" t="s">
        <v>3046</v>
      </c>
      <c r="B663" s="259">
        <v>100.0</v>
      </c>
      <c r="C663" s="260" t="s">
        <v>1004</v>
      </c>
      <c r="D663" s="262" t="s">
        <v>25</v>
      </c>
    </row>
    <row r="664">
      <c r="A664" s="250" t="s">
        <v>3047</v>
      </c>
      <c r="B664" s="259">
        <v>50.0</v>
      </c>
      <c r="C664" s="260" t="s">
        <v>1004</v>
      </c>
      <c r="D664" s="262" t="s">
        <v>25</v>
      </c>
    </row>
    <row r="665">
      <c r="A665" s="250" t="s">
        <v>3048</v>
      </c>
      <c r="B665" s="259">
        <v>1550.0</v>
      </c>
      <c r="C665" s="260" t="s">
        <v>1004</v>
      </c>
      <c r="D665" s="262" t="s">
        <v>25</v>
      </c>
    </row>
    <row r="666">
      <c r="A666" s="250" t="s">
        <v>3049</v>
      </c>
      <c r="B666" s="259">
        <v>100.0</v>
      </c>
      <c r="C666" s="260" t="s">
        <v>1004</v>
      </c>
      <c r="D666" s="262" t="s">
        <v>25</v>
      </c>
    </row>
    <row r="667">
      <c r="A667" s="250" t="s">
        <v>3050</v>
      </c>
      <c r="B667" s="259">
        <v>50.0</v>
      </c>
      <c r="C667" s="260" t="s">
        <v>1004</v>
      </c>
      <c r="D667" s="262" t="s">
        <v>25</v>
      </c>
    </row>
    <row r="668">
      <c r="A668" s="250" t="s">
        <v>3051</v>
      </c>
      <c r="B668" s="259">
        <v>175.0</v>
      </c>
      <c r="C668" s="260" t="s">
        <v>1004</v>
      </c>
      <c r="D668" s="262" t="s">
        <v>25</v>
      </c>
    </row>
    <row r="669">
      <c r="A669" s="250" t="s">
        <v>2434</v>
      </c>
      <c r="B669" s="259">
        <v>10.0</v>
      </c>
      <c r="C669" s="260" t="s">
        <v>867</v>
      </c>
      <c r="D669" s="262" t="s">
        <v>25</v>
      </c>
    </row>
    <row r="670">
      <c r="A670" s="264" t="s">
        <v>3052</v>
      </c>
      <c r="B670" s="265">
        <v>450.0</v>
      </c>
      <c r="C670" s="266" t="s">
        <v>1004</v>
      </c>
      <c r="D670" s="262" t="s">
        <v>20</v>
      </c>
    </row>
    <row r="671">
      <c r="A671" s="264" t="s">
        <v>3053</v>
      </c>
      <c r="B671" s="265">
        <v>33.33</v>
      </c>
      <c r="C671" s="266" t="s">
        <v>1004</v>
      </c>
      <c r="D671" s="262" t="s">
        <v>20</v>
      </c>
    </row>
    <row r="672">
      <c r="A672" s="264" t="s">
        <v>3054</v>
      </c>
      <c r="B672" s="265">
        <v>33.33</v>
      </c>
      <c r="C672" s="266" t="s">
        <v>1004</v>
      </c>
      <c r="D672" s="262" t="s">
        <v>20</v>
      </c>
    </row>
    <row r="673">
      <c r="A673" s="264" t="s">
        <v>3055</v>
      </c>
      <c r="B673" s="265">
        <v>33.33</v>
      </c>
      <c r="C673" s="266" t="s">
        <v>1004</v>
      </c>
      <c r="D673" s="262" t="s">
        <v>20</v>
      </c>
    </row>
    <row r="674">
      <c r="A674" s="250" t="s">
        <v>3056</v>
      </c>
      <c r="B674" s="259">
        <v>450.0</v>
      </c>
      <c r="C674" s="260" t="s">
        <v>1004</v>
      </c>
      <c r="D674" s="262" t="s">
        <v>25</v>
      </c>
    </row>
    <row r="675">
      <c r="A675" s="250" t="s">
        <v>2436</v>
      </c>
      <c r="B675" s="259">
        <v>51.73</v>
      </c>
      <c r="C675" s="260" t="s">
        <v>867</v>
      </c>
      <c r="D675" s="262" t="s">
        <v>25</v>
      </c>
    </row>
    <row r="676">
      <c r="A676" s="264" t="s">
        <v>3057</v>
      </c>
      <c r="B676" s="265">
        <v>2952.44</v>
      </c>
      <c r="C676" s="266" t="s">
        <v>1004</v>
      </c>
      <c r="D676" s="262" t="s">
        <v>20</v>
      </c>
    </row>
    <row r="677">
      <c r="A677" s="267" t="s">
        <v>3058</v>
      </c>
      <c r="B677" s="268">
        <v>47.62</v>
      </c>
      <c r="C677" s="266" t="s">
        <v>1004</v>
      </c>
      <c r="D677" s="269" t="s">
        <v>20</v>
      </c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>
      <c r="A678" s="264" t="s">
        <v>3059</v>
      </c>
      <c r="B678" s="265">
        <v>50.0</v>
      </c>
      <c r="C678" s="266" t="s">
        <v>1004</v>
      </c>
      <c r="D678" s="270" t="s">
        <v>20</v>
      </c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>
      <c r="A679" s="250" t="s">
        <v>3060</v>
      </c>
      <c r="B679" s="259">
        <v>563.0</v>
      </c>
      <c r="C679" s="260" t="s">
        <v>1004</v>
      </c>
      <c r="D679" s="262" t="s">
        <v>25</v>
      </c>
    </row>
    <row r="680">
      <c r="A680" s="264" t="s">
        <v>3061</v>
      </c>
      <c r="B680" s="265">
        <v>19.33</v>
      </c>
      <c r="C680" s="266" t="s">
        <v>1004</v>
      </c>
      <c r="D680" s="270" t="s">
        <v>20</v>
      </c>
    </row>
    <row r="681">
      <c r="A681" s="264" t="s">
        <v>3062</v>
      </c>
      <c r="B681" s="265">
        <v>65.0</v>
      </c>
      <c r="C681" s="266" t="s">
        <v>1004</v>
      </c>
      <c r="D681" s="270" t="s">
        <v>20</v>
      </c>
    </row>
    <row r="682">
      <c r="A682" s="264" t="s">
        <v>3063</v>
      </c>
      <c r="B682" s="265">
        <v>65.0</v>
      </c>
      <c r="C682" s="266" t="s">
        <v>1004</v>
      </c>
      <c r="D682" s="270" t="s">
        <v>20</v>
      </c>
    </row>
    <row r="683">
      <c r="A683" s="242" t="s">
        <v>3064</v>
      </c>
      <c r="B683" s="243">
        <v>50.0</v>
      </c>
      <c r="C683" s="266" t="s">
        <v>1004</v>
      </c>
      <c r="D683" s="270" t="s">
        <v>20</v>
      </c>
    </row>
    <row r="684">
      <c r="A684" s="242" t="s">
        <v>3065</v>
      </c>
      <c r="B684" s="243">
        <v>22.5</v>
      </c>
      <c r="C684" s="266" t="s">
        <v>1004</v>
      </c>
      <c r="D684" s="270" t="s">
        <v>20</v>
      </c>
    </row>
    <row r="685">
      <c r="A685" s="245" t="s">
        <v>3066</v>
      </c>
      <c r="B685" s="248">
        <v>22.5</v>
      </c>
      <c r="C685" s="260" t="s">
        <v>1004</v>
      </c>
      <c r="D685" s="262" t="s">
        <v>25</v>
      </c>
    </row>
    <row r="686">
      <c r="A686" s="242" t="s">
        <v>3067</v>
      </c>
      <c r="B686" s="243">
        <v>1485.0</v>
      </c>
      <c r="C686" s="266" t="s">
        <v>1004</v>
      </c>
      <c r="D686" s="270" t="s">
        <v>20</v>
      </c>
    </row>
    <row r="687">
      <c r="A687" s="242" t="s">
        <v>3068</v>
      </c>
      <c r="B687" s="243">
        <v>90.0</v>
      </c>
      <c r="C687" s="266" t="s">
        <v>1004</v>
      </c>
      <c r="D687" s="270" t="s">
        <v>20</v>
      </c>
    </row>
    <row r="688">
      <c r="A688" s="242" t="s">
        <v>3069</v>
      </c>
      <c r="B688" s="243">
        <v>45.0</v>
      </c>
      <c r="C688" s="266" t="s">
        <v>1004</v>
      </c>
      <c r="D688" s="270" t="s">
        <v>20</v>
      </c>
    </row>
    <row r="689">
      <c r="A689" s="242" t="s">
        <v>3070</v>
      </c>
      <c r="B689" s="243">
        <v>19.46</v>
      </c>
      <c r="C689" s="266" t="s">
        <v>1004</v>
      </c>
      <c r="D689" s="270" t="s">
        <v>20</v>
      </c>
    </row>
    <row r="690">
      <c r="A690" s="242" t="s">
        <v>3071</v>
      </c>
      <c r="B690" s="243">
        <v>37.44</v>
      </c>
      <c r="C690" s="266" t="s">
        <v>1004</v>
      </c>
      <c r="D690" s="270" t="s">
        <v>20</v>
      </c>
    </row>
    <row r="691">
      <c r="A691" s="242" t="s">
        <v>3072</v>
      </c>
      <c r="B691" s="243">
        <v>54.5</v>
      </c>
      <c r="C691" s="266" t="s">
        <v>1004</v>
      </c>
      <c r="D691" s="270" t="s">
        <v>20</v>
      </c>
    </row>
    <row r="692">
      <c r="A692" s="242" t="s">
        <v>3073</v>
      </c>
      <c r="B692" s="243">
        <v>135.0</v>
      </c>
      <c r="C692" s="266" t="s">
        <v>1004</v>
      </c>
      <c r="D692" s="270" t="s">
        <v>20</v>
      </c>
    </row>
    <row r="693">
      <c r="A693" s="242" t="s">
        <v>3074</v>
      </c>
      <c r="B693" s="243">
        <v>45.0</v>
      </c>
      <c r="C693" s="266" t="s">
        <v>1004</v>
      </c>
      <c r="D693" s="270" t="s">
        <v>20</v>
      </c>
    </row>
    <row r="694">
      <c r="A694" s="242" t="s">
        <v>3075</v>
      </c>
      <c r="B694" s="243">
        <v>180.0</v>
      </c>
      <c r="C694" s="266" t="s">
        <v>1004</v>
      </c>
      <c r="D694" s="270" t="s">
        <v>20</v>
      </c>
    </row>
    <row r="695">
      <c r="A695" s="242" t="s">
        <v>3076</v>
      </c>
      <c r="B695" s="243">
        <v>45.0</v>
      </c>
      <c r="C695" s="266" t="s">
        <v>1004</v>
      </c>
      <c r="D695" s="270" t="s">
        <v>20</v>
      </c>
    </row>
    <row r="696">
      <c r="A696" s="242" t="s">
        <v>3077</v>
      </c>
      <c r="B696" s="243">
        <v>175.0</v>
      </c>
      <c r="C696" s="266" t="s">
        <v>1004</v>
      </c>
      <c r="D696" s="270" t="s">
        <v>20</v>
      </c>
    </row>
    <row r="697">
      <c r="A697" s="242" t="s">
        <v>3078</v>
      </c>
      <c r="B697" s="243">
        <v>175.0</v>
      </c>
      <c r="C697" s="266" t="s">
        <v>1004</v>
      </c>
      <c r="D697" s="270" t="s">
        <v>20</v>
      </c>
    </row>
    <row r="698">
      <c r="A698" s="242" t="s">
        <v>3079</v>
      </c>
      <c r="B698" s="243">
        <v>810.0</v>
      </c>
      <c r="C698" s="266" t="s">
        <v>1004</v>
      </c>
      <c r="D698" s="270" t="s">
        <v>20</v>
      </c>
    </row>
    <row r="699">
      <c r="A699" s="242" t="s">
        <v>3080</v>
      </c>
      <c r="B699" s="243">
        <v>225.0</v>
      </c>
      <c r="C699" s="266" t="s">
        <v>1004</v>
      </c>
      <c r="D699" s="270" t="s">
        <v>20</v>
      </c>
    </row>
    <row r="700">
      <c r="A700" s="242"/>
      <c r="B700" s="243"/>
      <c r="C700" s="266"/>
      <c r="D700" s="270" t="s">
        <v>20</v>
      </c>
    </row>
    <row r="701">
      <c r="A701" s="242"/>
      <c r="B701" s="243"/>
      <c r="C701" s="266"/>
      <c r="D701" s="270" t="s">
        <v>20</v>
      </c>
    </row>
    <row r="702">
      <c r="A702" s="242"/>
      <c r="B702" s="243"/>
      <c r="C702" s="266"/>
      <c r="D702" s="270" t="s">
        <v>20</v>
      </c>
    </row>
    <row r="703">
      <c r="A703" s="242"/>
      <c r="B703" s="243"/>
      <c r="C703" s="266"/>
      <c r="D703" s="270" t="s">
        <v>20</v>
      </c>
    </row>
    <row r="704">
      <c r="A704" s="242"/>
      <c r="B704" s="243"/>
      <c r="C704" s="266"/>
      <c r="D704" s="270" t="s">
        <v>20</v>
      </c>
    </row>
    <row r="705">
      <c r="A705" s="242"/>
      <c r="B705" s="243"/>
      <c r="C705" s="266"/>
      <c r="D705" s="270" t="s">
        <v>20</v>
      </c>
    </row>
    <row r="706">
      <c r="A706" s="242"/>
      <c r="B706" s="243"/>
      <c r="C706" s="266"/>
      <c r="D706" s="270" t="s">
        <v>20</v>
      </c>
    </row>
    <row r="707">
      <c r="A707" s="242"/>
      <c r="B707" s="243"/>
      <c r="C707" s="266"/>
      <c r="D707" s="270" t="s">
        <v>20</v>
      </c>
    </row>
    <row r="708">
      <c r="A708" s="242"/>
      <c r="B708" s="243"/>
      <c r="C708" s="266"/>
      <c r="D708" s="270" t="s">
        <v>20</v>
      </c>
    </row>
    <row r="709">
      <c r="A709" s="242"/>
      <c r="B709" s="243"/>
      <c r="C709" s="266"/>
      <c r="D709" s="270" t="s">
        <v>20</v>
      </c>
    </row>
    <row r="710">
      <c r="B710" s="271"/>
      <c r="C710" s="272"/>
    </row>
    <row r="711">
      <c r="B711" s="271"/>
      <c r="C711" s="272"/>
    </row>
    <row r="712">
      <c r="B712" s="271"/>
      <c r="C712" s="272"/>
    </row>
    <row r="713">
      <c r="B713" s="271"/>
      <c r="C713" s="272"/>
    </row>
    <row r="714">
      <c r="B714" s="271"/>
      <c r="C714" s="272"/>
    </row>
    <row r="715">
      <c r="B715" s="271"/>
      <c r="C715" s="272"/>
    </row>
    <row r="716">
      <c r="B716" s="271"/>
      <c r="C716" s="272"/>
    </row>
    <row r="717">
      <c r="B717" s="271"/>
      <c r="C717" s="272"/>
    </row>
    <row r="718">
      <c r="B718" s="271"/>
      <c r="C718" s="272"/>
    </row>
    <row r="719">
      <c r="B719" s="271"/>
      <c r="C719" s="272"/>
    </row>
    <row r="720">
      <c r="B720" s="271"/>
      <c r="C720" s="272"/>
    </row>
    <row r="721">
      <c r="B721" s="271"/>
      <c r="C721" s="272"/>
    </row>
    <row r="722">
      <c r="B722" s="271"/>
      <c r="C722" s="272"/>
    </row>
    <row r="723">
      <c r="B723" s="271"/>
      <c r="C723" s="272"/>
    </row>
    <row r="724">
      <c r="B724" s="271"/>
      <c r="C724" s="272"/>
    </row>
    <row r="725">
      <c r="B725" s="271"/>
      <c r="C725" s="272"/>
    </row>
    <row r="726">
      <c r="B726" s="271"/>
      <c r="C726" s="272"/>
    </row>
    <row r="727">
      <c r="B727" s="271"/>
      <c r="C727" s="272"/>
    </row>
    <row r="728">
      <c r="B728" s="271"/>
      <c r="C728" s="272"/>
    </row>
    <row r="729">
      <c r="B729" s="271"/>
      <c r="C729" s="272"/>
    </row>
    <row r="730">
      <c r="B730" s="271"/>
      <c r="C730" s="272"/>
    </row>
    <row r="731">
      <c r="B731" s="271"/>
      <c r="C731" s="272"/>
    </row>
    <row r="732">
      <c r="B732" s="271"/>
      <c r="C732" s="272"/>
    </row>
    <row r="733">
      <c r="B733" s="271"/>
      <c r="C733" s="272"/>
    </row>
    <row r="734">
      <c r="B734" s="271"/>
      <c r="C734" s="272"/>
    </row>
    <row r="735">
      <c r="B735" s="271"/>
      <c r="C735" s="272"/>
    </row>
    <row r="736">
      <c r="B736" s="271"/>
      <c r="C736" s="272"/>
    </row>
    <row r="737">
      <c r="B737" s="271"/>
      <c r="C737" s="272"/>
    </row>
    <row r="738">
      <c r="B738" s="271"/>
      <c r="C738" s="272"/>
    </row>
    <row r="739">
      <c r="B739" s="271"/>
      <c r="C739" s="272"/>
    </row>
    <row r="740">
      <c r="B740" s="271"/>
      <c r="C740" s="272"/>
    </row>
    <row r="741">
      <c r="B741" s="271"/>
      <c r="C741" s="272"/>
    </row>
    <row r="742">
      <c r="B742" s="271"/>
      <c r="C742" s="272"/>
    </row>
    <row r="743">
      <c r="B743" s="271"/>
      <c r="C743" s="272"/>
    </row>
    <row r="744">
      <c r="B744" s="271"/>
      <c r="C744" s="272"/>
    </row>
    <row r="745">
      <c r="B745" s="271"/>
      <c r="C745" s="272"/>
    </row>
    <row r="746">
      <c r="B746" s="271"/>
      <c r="C746" s="272"/>
    </row>
    <row r="747">
      <c r="B747" s="271"/>
      <c r="C747" s="272"/>
    </row>
    <row r="748">
      <c r="B748" s="271"/>
      <c r="C748" s="272"/>
    </row>
    <row r="749">
      <c r="B749" s="271"/>
      <c r="C749" s="272"/>
    </row>
    <row r="750">
      <c r="B750" s="271"/>
      <c r="C750" s="272"/>
    </row>
    <row r="751">
      <c r="B751" s="271"/>
      <c r="C751" s="272"/>
    </row>
    <row r="752">
      <c r="B752" s="271"/>
      <c r="C752" s="272"/>
    </row>
    <row r="753">
      <c r="B753" s="271"/>
      <c r="C753" s="272"/>
    </row>
    <row r="754">
      <c r="B754" s="271"/>
      <c r="C754" s="272"/>
    </row>
    <row r="755">
      <c r="B755" s="271"/>
      <c r="C755" s="272"/>
    </row>
    <row r="756">
      <c r="B756" s="271"/>
      <c r="C756" s="272"/>
    </row>
    <row r="757">
      <c r="B757" s="271"/>
      <c r="C757" s="272"/>
    </row>
    <row r="758">
      <c r="B758" s="271"/>
      <c r="C758" s="272"/>
    </row>
    <row r="759">
      <c r="B759" s="271"/>
      <c r="C759" s="272"/>
    </row>
    <row r="760">
      <c r="B760" s="271"/>
      <c r="C760" s="272"/>
    </row>
    <row r="761">
      <c r="B761" s="271"/>
      <c r="C761" s="272"/>
    </row>
    <row r="762">
      <c r="B762" s="271"/>
      <c r="C762" s="272"/>
    </row>
    <row r="763">
      <c r="B763" s="271"/>
      <c r="C763" s="272"/>
    </row>
    <row r="764">
      <c r="B764" s="271"/>
      <c r="C764" s="272"/>
    </row>
    <row r="765">
      <c r="B765" s="271"/>
      <c r="C765" s="272"/>
    </row>
    <row r="766">
      <c r="B766" s="271"/>
      <c r="C766" s="272"/>
    </row>
    <row r="767">
      <c r="B767" s="271"/>
      <c r="C767" s="272"/>
    </row>
    <row r="768">
      <c r="B768" s="271"/>
      <c r="C768" s="272"/>
    </row>
    <row r="769">
      <c r="B769" s="271"/>
      <c r="C769" s="272"/>
    </row>
    <row r="770">
      <c r="B770" s="271"/>
      <c r="C770" s="272"/>
    </row>
    <row r="771">
      <c r="B771" s="271"/>
      <c r="C771" s="272"/>
    </row>
    <row r="772">
      <c r="B772" s="271"/>
      <c r="C772" s="272"/>
    </row>
    <row r="773">
      <c r="B773" s="271"/>
      <c r="C773" s="272"/>
    </row>
    <row r="774">
      <c r="B774" s="271"/>
      <c r="C774" s="272"/>
    </row>
    <row r="775">
      <c r="B775" s="271"/>
      <c r="C775" s="272"/>
    </row>
    <row r="776">
      <c r="B776" s="271"/>
      <c r="C776" s="272"/>
    </row>
    <row r="777">
      <c r="B777" s="271"/>
      <c r="C777" s="272"/>
    </row>
    <row r="778">
      <c r="B778" s="271"/>
      <c r="C778" s="272"/>
    </row>
    <row r="779">
      <c r="B779" s="271"/>
      <c r="C779" s="272"/>
    </row>
    <row r="780">
      <c r="B780" s="271"/>
      <c r="C780" s="272"/>
    </row>
    <row r="781">
      <c r="B781" s="271"/>
      <c r="C781" s="272"/>
    </row>
    <row r="782">
      <c r="B782" s="271"/>
      <c r="C782" s="272"/>
    </row>
    <row r="783">
      <c r="B783" s="271"/>
      <c r="C783" s="272"/>
    </row>
    <row r="784">
      <c r="B784" s="271"/>
      <c r="C784" s="272"/>
    </row>
    <row r="785">
      <c r="B785" s="271"/>
      <c r="C785" s="272"/>
    </row>
    <row r="786">
      <c r="B786" s="271"/>
      <c r="C786" s="272"/>
    </row>
    <row r="787">
      <c r="B787" s="271"/>
      <c r="C787" s="272"/>
    </row>
    <row r="788">
      <c r="B788" s="271"/>
      <c r="C788" s="272"/>
    </row>
    <row r="789">
      <c r="B789" s="271"/>
      <c r="C789" s="272"/>
    </row>
    <row r="790">
      <c r="B790" s="271"/>
      <c r="C790" s="272"/>
    </row>
    <row r="791">
      <c r="B791" s="271"/>
      <c r="C791" s="272"/>
    </row>
    <row r="792">
      <c r="B792" s="271"/>
      <c r="C792" s="272"/>
    </row>
    <row r="793">
      <c r="B793" s="271"/>
      <c r="C793" s="272"/>
    </row>
    <row r="794">
      <c r="B794" s="271"/>
      <c r="C794" s="272"/>
    </row>
    <row r="795">
      <c r="B795" s="271"/>
      <c r="C795" s="272"/>
    </row>
    <row r="796">
      <c r="B796" s="271"/>
      <c r="C796" s="272"/>
    </row>
    <row r="797">
      <c r="B797" s="271"/>
      <c r="C797" s="272"/>
    </row>
    <row r="798">
      <c r="B798" s="271"/>
      <c r="C798" s="272"/>
    </row>
    <row r="799">
      <c r="B799" s="271"/>
      <c r="C799" s="272"/>
    </row>
    <row r="800">
      <c r="B800" s="271"/>
      <c r="C800" s="272"/>
    </row>
    <row r="801">
      <c r="B801" s="271"/>
      <c r="C801" s="272"/>
    </row>
    <row r="802">
      <c r="B802" s="271"/>
      <c r="C802" s="272"/>
    </row>
    <row r="803">
      <c r="B803" s="271"/>
      <c r="C803" s="272"/>
    </row>
    <row r="804">
      <c r="B804" s="271"/>
      <c r="C804" s="272"/>
    </row>
    <row r="805">
      <c r="B805" s="271"/>
      <c r="C805" s="272"/>
    </row>
    <row r="806">
      <c r="B806" s="271"/>
      <c r="C806" s="272"/>
    </row>
    <row r="807">
      <c r="B807" s="271"/>
      <c r="C807" s="272"/>
    </row>
    <row r="808">
      <c r="B808" s="271"/>
      <c r="C808" s="272"/>
    </row>
    <row r="809">
      <c r="B809" s="271"/>
      <c r="C809" s="272"/>
    </row>
    <row r="810">
      <c r="B810" s="271"/>
      <c r="C810" s="272"/>
    </row>
    <row r="811">
      <c r="B811" s="271"/>
      <c r="C811" s="272"/>
    </row>
    <row r="812">
      <c r="B812" s="271"/>
      <c r="C812" s="272"/>
    </row>
    <row r="813">
      <c r="B813" s="271"/>
      <c r="C813" s="272"/>
    </row>
    <row r="814">
      <c r="B814" s="271"/>
      <c r="C814" s="272"/>
    </row>
    <row r="815">
      <c r="B815" s="271"/>
      <c r="C815" s="272"/>
    </row>
    <row r="816">
      <c r="B816" s="271"/>
      <c r="C816" s="272"/>
    </row>
    <row r="817">
      <c r="B817" s="271"/>
      <c r="C817" s="272"/>
    </row>
    <row r="818">
      <c r="B818" s="271"/>
      <c r="C818" s="272"/>
    </row>
    <row r="819">
      <c r="B819" s="271"/>
      <c r="C819" s="272"/>
    </row>
    <row r="820">
      <c r="B820" s="271"/>
      <c r="C820" s="272"/>
    </row>
    <row r="821">
      <c r="B821" s="271"/>
      <c r="C821" s="272"/>
    </row>
    <row r="822">
      <c r="B822" s="271"/>
      <c r="C822" s="272"/>
    </row>
    <row r="823">
      <c r="B823" s="271"/>
      <c r="C823" s="272"/>
    </row>
    <row r="824">
      <c r="B824" s="271"/>
      <c r="C824" s="272"/>
    </row>
    <row r="825">
      <c r="B825" s="271"/>
      <c r="C825" s="272"/>
    </row>
    <row r="826">
      <c r="B826" s="271"/>
      <c r="C826" s="272"/>
    </row>
    <row r="827">
      <c r="B827" s="271"/>
      <c r="C827" s="272"/>
    </row>
    <row r="828">
      <c r="B828" s="271"/>
      <c r="C828" s="272"/>
    </row>
    <row r="829">
      <c r="B829" s="271"/>
      <c r="C829" s="272"/>
    </row>
    <row r="830">
      <c r="B830" s="271"/>
      <c r="C830" s="272"/>
    </row>
    <row r="831">
      <c r="B831" s="271"/>
      <c r="C831" s="272"/>
    </row>
    <row r="832">
      <c r="B832" s="271"/>
      <c r="C832" s="272"/>
    </row>
    <row r="833">
      <c r="B833" s="271"/>
      <c r="C833" s="272"/>
    </row>
    <row r="834">
      <c r="B834" s="271"/>
      <c r="C834" s="272"/>
    </row>
    <row r="835">
      <c r="B835" s="271"/>
      <c r="C835" s="272"/>
    </row>
    <row r="836">
      <c r="B836" s="271"/>
      <c r="C836" s="272"/>
    </row>
    <row r="837">
      <c r="B837" s="271"/>
      <c r="C837" s="272"/>
    </row>
    <row r="838">
      <c r="B838" s="271"/>
      <c r="C838" s="272"/>
    </row>
    <row r="839">
      <c r="B839" s="271"/>
      <c r="C839" s="272"/>
    </row>
    <row r="840">
      <c r="B840" s="271"/>
      <c r="C840" s="272"/>
    </row>
    <row r="841">
      <c r="B841" s="271"/>
      <c r="C841" s="272"/>
    </row>
    <row r="842">
      <c r="B842" s="271"/>
      <c r="C842" s="272"/>
    </row>
    <row r="843">
      <c r="B843" s="271"/>
      <c r="C843" s="272"/>
    </row>
    <row r="844">
      <c r="B844" s="271"/>
      <c r="C844" s="272"/>
    </row>
    <row r="845">
      <c r="B845" s="271"/>
      <c r="C845" s="272"/>
    </row>
    <row r="846">
      <c r="B846" s="271"/>
      <c r="C846" s="272"/>
    </row>
    <row r="847">
      <c r="B847" s="271"/>
      <c r="C847" s="272"/>
    </row>
    <row r="848">
      <c r="B848" s="271"/>
      <c r="C848" s="272"/>
    </row>
    <row r="849">
      <c r="B849" s="271"/>
      <c r="C849" s="272"/>
    </row>
    <row r="850">
      <c r="B850" s="271"/>
      <c r="C850" s="272"/>
    </row>
    <row r="851">
      <c r="B851" s="271"/>
      <c r="C851" s="272"/>
    </row>
    <row r="852">
      <c r="B852" s="271"/>
      <c r="C852" s="272"/>
    </row>
    <row r="853">
      <c r="B853" s="271"/>
      <c r="C853" s="272"/>
    </row>
    <row r="854">
      <c r="B854" s="271"/>
      <c r="C854" s="272"/>
    </row>
    <row r="855">
      <c r="B855" s="271"/>
      <c r="C855" s="272"/>
    </row>
    <row r="856">
      <c r="B856" s="271"/>
      <c r="C856" s="272"/>
    </row>
    <row r="857">
      <c r="B857" s="271"/>
      <c r="C857" s="272"/>
    </row>
    <row r="858">
      <c r="B858" s="271"/>
      <c r="C858" s="272"/>
    </row>
    <row r="859">
      <c r="B859" s="271"/>
      <c r="C859" s="272"/>
    </row>
    <row r="860">
      <c r="B860" s="271"/>
      <c r="C860" s="272"/>
    </row>
    <row r="861">
      <c r="B861" s="271"/>
      <c r="C861" s="272"/>
    </row>
    <row r="862">
      <c r="B862" s="271"/>
      <c r="C862" s="272"/>
    </row>
    <row r="863">
      <c r="B863" s="271"/>
      <c r="C863" s="272"/>
    </row>
    <row r="864">
      <c r="B864" s="271"/>
      <c r="C864" s="272"/>
    </row>
    <row r="865">
      <c r="B865" s="271"/>
      <c r="C865" s="272"/>
    </row>
    <row r="866">
      <c r="B866" s="271"/>
      <c r="C866" s="272"/>
    </row>
    <row r="867">
      <c r="B867" s="271"/>
      <c r="C867" s="272"/>
    </row>
    <row r="868">
      <c r="B868" s="271"/>
      <c r="C868" s="272"/>
    </row>
    <row r="869">
      <c r="B869" s="271"/>
      <c r="C869" s="272"/>
    </row>
    <row r="870">
      <c r="B870" s="271"/>
      <c r="C870" s="272"/>
    </row>
    <row r="871">
      <c r="B871" s="271"/>
      <c r="C871" s="272"/>
    </row>
    <row r="872">
      <c r="B872" s="271"/>
      <c r="C872" s="272"/>
    </row>
    <row r="873">
      <c r="B873" s="271"/>
      <c r="C873" s="272"/>
    </row>
    <row r="874">
      <c r="B874" s="271"/>
      <c r="C874" s="272"/>
    </row>
    <row r="875">
      <c r="B875" s="271"/>
      <c r="C875" s="272"/>
    </row>
    <row r="876">
      <c r="B876" s="271"/>
      <c r="C876" s="272"/>
    </row>
    <row r="877">
      <c r="B877" s="271"/>
      <c r="C877" s="272"/>
    </row>
    <row r="878">
      <c r="B878" s="271"/>
      <c r="C878" s="272"/>
    </row>
    <row r="879">
      <c r="B879" s="271"/>
      <c r="C879" s="272"/>
    </row>
    <row r="880">
      <c r="B880" s="271"/>
      <c r="C880" s="272"/>
    </row>
    <row r="881">
      <c r="B881" s="271"/>
      <c r="C881" s="272"/>
    </row>
    <row r="882">
      <c r="B882" s="271"/>
      <c r="C882" s="272"/>
    </row>
    <row r="883">
      <c r="B883" s="271"/>
      <c r="C883" s="272"/>
    </row>
    <row r="884">
      <c r="B884" s="271"/>
      <c r="C884" s="272"/>
    </row>
    <row r="885">
      <c r="B885" s="271"/>
      <c r="C885" s="272"/>
    </row>
    <row r="886">
      <c r="B886" s="271"/>
      <c r="C886" s="272"/>
    </row>
    <row r="887">
      <c r="B887" s="271"/>
      <c r="C887" s="272"/>
    </row>
    <row r="888">
      <c r="B888" s="271"/>
      <c r="C888" s="272"/>
    </row>
    <row r="889">
      <c r="B889" s="271"/>
      <c r="C889" s="272"/>
    </row>
    <row r="890">
      <c r="B890" s="271"/>
      <c r="C890" s="272"/>
    </row>
    <row r="891">
      <c r="B891" s="271"/>
      <c r="C891" s="272"/>
    </row>
    <row r="892">
      <c r="B892" s="271"/>
      <c r="C892" s="272"/>
    </row>
    <row r="893">
      <c r="B893" s="271"/>
      <c r="C893" s="272"/>
    </row>
    <row r="894">
      <c r="B894" s="271"/>
      <c r="C894" s="272"/>
    </row>
    <row r="895">
      <c r="B895" s="271"/>
      <c r="C895" s="272"/>
    </row>
    <row r="896">
      <c r="B896" s="271"/>
      <c r="C896" s="272"/>
    </row>
    <row r="897">
      <c r="B897" s="271"/>
      <c r="C897" s="272"/>
    </row>
    <row r="898">
      <c r="B898" s="271"/>
      <c r="C898" s="272"/>
    </row>
    <row r="899">
      <c r="B899" s="271"/>
      <c r="C899" s="272"/>
    </row>
    <row r="900">
      <c r="B900" s="271"/>
      <c r="C900" s="272"/>
    </row>
    <row r="901">
      <c r="B901" s="271"/>
      <c r="C901" s="272"/>
    </row>
    <row r="902">
      <c r="B902" s="271"/>
      <c r="C902" s="272"/>
    </row>
    <row r="903">
      <c r="B903" s="271"/>
      <c r="C903" s="272"/>
    </row>
    <row r="904">
      <c r="B904" s="271"/>
      <c r="C904" s="272"/>
    </row>
    <row r="905">
      <c r="B905" s="271"/>
      <c r="C905" s="272"/>
    </row>
    <row r="906">
      <c r="B906" s="271"/>
      <c r="C906" s="272"/>
    </row>
    <row r="907">
      <c r="B907" s="271"/>
      <c r="C907" s="272"/>
    </row>
    <row r="908">
      <c r="B908" s="271"/>
      <c r="C908" s="272"/>
    </row>
    <row r="909">
      <c r="B909" s="271"/>
      <c r="C909" s="272"/>
    </row>
    <row r="910">
      <c r="B910" s="271"/>
      <c r="C910" s="272"/>
    </row>
    <row r="911">
      <c r="B911" s="271"/>
      <c r="C911" s="272"/>
    </row>
    <row r="912">
      <c r="B912" s="271"/>
      <c r="C912" s="272"/>
    </row>
    <row r="913">
      <c r="B913" s="271"/>
      <c r="C913" s="272"/>
    </row>
    <row r="914">
      <c r="B914" s="271"/>
      <c r="C914" s="272"/>
    </row>
    <row r="915">
      <c r="B915" s="271"/>
      <c r="C915" s="272"/>
    </row>
    <row r="916">
      <c r="B916" s="271"/>
      <c r="C916" s="272"/>
    </row>
    <row r="917">
      <c r="B917" s="271"/>
      <c r="C917" s="272"/>
    </row>
    <row r="918">
      <c r="B918" s="271"/>
      <c r="C918" s="272"/>
    </row>
    <row r="919">
      <c r="B919" s="271"/>
      <c r="C919" s="272"/>
    </row>
    <row r="920">
      <c r="B920" s="271"/>
      <c r="C920" s="272"/>
    </row>
    <row r="921">
      <c r="B921" s="271"/>
      <c r="C921" s="272"/>
    </row>
    <row r="922">
      <c r="B922" s="271"/>
      <c r="C922" s="272"/>
    </row>
    <row r="923">
      <c r="B923" s="271"/>
      <c r="C923" s="272"/>
    </row>
    <row r="924">
      <c r="B924" s="271"/>
      <c r="C924" s="272"/>
    </row>
    <row r="925">
      <c r="B925" s="271"/>
      <c r="C925" s="272"/>
    </row>
    <row r="926">
      <c r="B926" s="271"/>
      <c r="C926" s="272"/>
    </row>
    <row r="927">
      <c r="B927" s="271"/>
      <c r="C927" s="272"/>
    </row>
    <row r="928">
      <c r="B928" s="271"/>
      <c r="C928" s="272"/>
    </row>
    <row r="929">
      <c r="B929" s="271"/>
      <c r="C929" s="272"/>
    </row>
    <row r="930">
      <c r="B930" s="271"/>
      <c r="C930" s="272"/>
    </row>
    <row r="931">
      <c r="B931" s="271"/>
      <c r="C931" s="272"/>
    </row>
    <row r="932">
      <c r="B932" s="271"/>
      <c r="C932" s="272"/>
    </row>
    <row r="933">
      <c r="B933" s="271"/>
      <c r="C933" s="272"/>
    </row>
    <row r="934">
      <c r="B934" s="271"/>
      <c r="C934" s="272"/>
    </row>
    <row r="935">
      <c r="B935" s="271"/>
      <c r="C935" s="272"/>
    </row>
    <row r="936">
      <c r="B936" s="271"/>
      <c r="C936" s="272"/>
    </row>
    <row r="937">
      <c r="B937" s="271"/>
      <c r="C937" s="272"/>
    </row>
    <row r="938">
      <c r="B938" s="271"/>
      <c r="C938" s="272"/>
    </row>
    <row r="939">
      <c r="B939" s="271"/>
      <c r="C939" s="272"/>
    </row>
    <row r="940">
      <c r="B940" s="271"/>
      <c r="C940" s="272"/>
    </row>
    <row r="941">
      <c r="B941" s="271"/>
      <c r="C941" s="272"/>
    </row>
    <row r="942">
      <c r="B942" s="271"/>
      <c r="C942" s="272"/>
    </row>
    <row r="943">
      <c r="B943" s="271"/>
      <c r="C943" s="272"/>
    </row>
    <row r="944">
      <c r="B944" s="271"/>
      <c r="C944" s="272"/>
    </row>
    <row r="945">
      <c r="B945" s="271"/>
      <c r="C945" s="272"/>
    </row>
    <row r="946">
      <c r="B946" s="271"/>
      <c r="C946" s="272"/>
    </row>
    <row r="947">
      <c r="B947" s="271"/>
      <c r="C947" s="272"/>
    </row>
    <row r="948">
      <c r="B948" s="271"/>
      <c r="C948" s="272"/>
    </row>
    <row r="949">
      <c r="B949" s="271"/>
      <c r="C949" s="272"/>
    </row>
    <row r="950">
      <c r="B950" s="271"/>
      <c r="C950" s="272"/>
    </row>
    <row r="951">
      <c r="B951" s="271"/>
      <c r="C951" s="272"/>
    </row>
    <row r="952">
      <c r="B952" s="271"/>
      <c r="C952" s="272"/>
    </row>
    <row r="953">
      <c r="B953" s="271"/>
      <c r="C953" s="272"/>
    </row>
    <row r="954">
      <c r="B954" s="271"/>
      <c r="C954" s="272"/>
    </row>
    <row r="955">
      <c r="B955" s="271"/>
      <c r="C955" s="272"/>
    </row>
    <row r="956">
      <c r="B956" s="271"/>
      <c r="C956" s="272"/>
    </row>
    <row r="957">
      <c r="B957" s="271"/>
      <c r="C957" s="272"/>
    </row>
    <row r="958">
      <c r="B958" s="271"/>
      <c r="C958" s="272"/>
    </row>
    <row r="959">
      <c r="B959" s="271"/>
      <c r="C959" s="272"/>
    </row>
    <row r="960">
      <c r="B960" s="271"/>
      <c r="C960" s="272"/>
    </row>
    <row r="961">
      <c r="B961" s="271"/>
      <c r="C961" s="272"/>
    </row>
    <row r="962">
      <c r="B962" s="271"/>
      <c r="C962" s="272"/>
    </row>
    <row r="963">
      <c r="B963" s="271"/>
      <c r="C963" s="272"/>
    </row>
    <row r="964">
      <c r="B964" s="271"/>
      <c r="C964" s="272"/>
    </row>
    <row r="965">
      <c r="B965" s="271"/>
      <c r="C965" s="272"/>
    </row>
    <row r="966">
      <c r="B966" s="271"/>
      <c r="C966" s="272"/>
    </row>
    <row r="967">
      <c r="B967" s="271"/>
      <c r="C967" s="272"/>
    </row>
    <row r="968">
      <c r="B968" s="271"/>
      <c r="C968" s="272"/>
    </row>
    <row r="969">
      <c r="B969" s="271"/>
      <c r="C969" s="272"/>
    </row>
    <row r="970">
      <c r="B970" s="271"/>
      <c r="C970" s="272"/>
    </row>
    <row r="971">
      <c r="B971" s="271"/>
      <c r="C971" s="272"/>
    </row>
    <row r="972">
      <c r="B972" s="271"/>
      <c r="C972" s="272"/>
    </row>
    <row r="973">
      <c r="B973" s="271"/>
      <c r="C973" s="272"/>
    </row>
    <row r="974">
      <c r="B974" s="271"/>
      <c r="C974" s="272"/>
    </row>
    <row r="975">
      <c r="B975" s="271"/>
      <c r="C975" s="272"/>
    </row>
    <row r="976">
      <c r="B976" s="271"/>
      <c r="C976" s="272"/>
    </row>
    <row r="977">
      <c r="B977" s="271"/>
      <c r="C977" s="272"/>
    </row>
    <row r="978">
      <c r="B978" s="271"/>
      <c r="C978" s="272"/>
    </row>
    <row r="979">
      <c r="B979" s="271"/>
      <c r="C979" s="272"/>
    </row>
    <row r="980">
      <c r="B980" s="271"/>
      <c r="C980" s="272"/>
    </row>
    <row r="981">
      <c r="B981" s="271"/>
      <c r="C981" s="272"/>
    </row>
    <row r="982">
      <c r="B982" s="271"/>
      <c r="C982" s="272"/>
    </row>
    <row r="983">
      <c r="B983" s="271"/>
      <c r="C983" s="272"/>
    </row>
    <row r="984">
      <c r="B984" s="271"/>
      <c r="C984" s="272"/>
    </row>
    <row r="985">
      <c r="B985" s="271"/>
      <c r="C985" s="272"/>
    </row>
    <row r="986">
      <c r="B986" s="271"/>
      <c r="C986" s="272"/>
    </row>
    <row r="987">
      <c r="B987" s="271"/>
      <c r="C987" s="272"/>
    </row>
    <row r="988">
      <c r="B988" s="271"/>
      <c r="C988" s="272"/>
    </row>
    <row r="989">
      <c r="B989" s="271"/>
      <c r="C989" s="272"/>
    </row>
    <row r="990">
      <c r="B990" s="271"/>
      <c r="C990" s="272"/>
    </row>
    <row r="991">
      <c r="B991" s="271"/>
      <c r="C991" s="272"/>
    </row>
    <row r="992">
      <c r="B992" s="271"/>
      <c r="C992" s="272"/>
    </row>
    <row r="993">
      <c r="B993" s="271"/>
      <c r="C993" s="272"/>
    </row>
    <row r="994">
      <c r="B994" s="271"/>
      <c r="C994" s="272"/>
    </row>
    <row r="995">
      <c r="B995" s="271"/>
      <c r="C995" s="272"/>
    </row>
    <row r="996">
      <c r="B996" s="271"/>
      <c r="C996" s="272"/>
    </row>
    <row r="997">
      <c r="B997" s="271"/>
      <c r="C997" s="272"/>
    </row>
  </sheetData>
  <autoFilter ref="$F$33"/>
  <mergeCells count="3">
    <mergeCell ref="F5:H5"/>
    <mergeCell ref="F6:H6"/>
    <mergeCell ref="F14:H14"/>
  </mergeCells>
  <dataValidations>
    <dataValidation type="list" allowBlank="1" showErrorMessage="1" sqref="D4:D709">
      <formula1>"SI,NO"</formula1>
    </dataValidation>
  </dataValidations>
  <hyperlinks>
    <hyperlink r:id="rId1" ref="A216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2023-03-31T01:01:30Z</dcterms:created>
  <dc:creator>CRESPO, Federico</dc:creator>
</cp:coreProperties>
</file>